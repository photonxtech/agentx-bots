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L:\Avenue Homes (fka The Run Group, LLC)\10910 Huston Street\Construction\"/>
    </mc:Choice>
  </mc:AlternateContent>
  <xr:revisionPtr revIDLastSave="0" documentId="13_ncr:1_{D8784C02-4C92-4219-9329-ED0024F86AB6}" xr6:coauthVersionLast="47" xr6:coauthVersionMax="47" xr10:uidLastSave="{00000000-0000-0000-0000-000000000000}"/>
  <workbookProtection workbookPassword="83AF" lockStructure="1"/>
  <bookViews>
    <workbookView xWindow="-120" yWindow="-120" windowWidth="29040" windowHeight="15720" tabRatio="956" xr2:uid="{00000000-000D-0000-FFFF-FFFF00000000}"/>
  </bookViews>
  <sheets>
    <sheet name="SCHEDULE OF VALUE WORKSHEET" sheetId="5" r:id="rId1"/>
    <sheet name="Draw #1" sheetId="4" r:id="rId2"/>
    <sheet name="Draw #2" sheetId="6" r:id="rId3"/>
    <sheet name="Draw #3" sheetId="7" r:id="rId4"/>
    <sheet name="Draw #4" sheetId="8" r:id="rId5"/>
    <sheet name="Draw #5" sheetId="9" r:id="rId6"/>
    <sheet name="Draw #6" sheetId="10" r:id="rId7"/>
    <sheet name="Draw #7" sheetId="11" r:id="rId8"/>
    <sheet name="Draw #8" sheetId="12" r:id="rId9"/>
    <sheet name="Draw #9" sheetId="13" r:id="rId10"/>
    <sheet name="Draw #10" sheetId="14" r:id="rId11"/>
    <sheet name="Draw #11" sheetId="21" r:id="rId12"/>
    <sheet name="Draw #12" sheetId="22" r:id="rId13"/>
    <sheet name="Draw #13" sheetId="23" r:id="rId14"/>
    <sheet name="Draw #14" sheetId="24" r:id="rId15"/>
    <sheet name="Draw #15" sheetId="25" r:id="rId16"/>
    <sheet name="Draw #16" sheetId="26" r:id="rId17"/>
    <sheet name="Draw #17" sheetId="27" r:id="rId18"/>
    <sheet name="Draw #18" sheetId="28" r:id="rId19"/>
    <sheet name="Draw #19" sheetId="29" r:id="rId20"/>
    <sheet name="Draw #20" sheetId="30" r:id="rId21"/>
  </sheets>
  <definedNames>
    <definedName name="_xlnm.Print_Area" localSheetId="1">'Draw #1'!$A$1:$J$137</definedName>
    <definedName name="_xlnm.Print_Area" localSheetId="10">'Draw #10'!$A$1:$K$139</definedName>
    <definedName name="_xlnm.Print_Area" localSheetId="11">'Draw #11'!$A$1:$K$137</definedName>
    <definedName name="_xlnm.Print_Area" localSheetId="12">'Draw #12'!$A$1:$K$139</definedName>
    <definedName name="_xlnm.Print_Area" localSheetId="13">'Draw #13'!$A$1:$K$139</definedName>
    <definedName name="_xlnm.Print_Area" localSheetId="14">'Draw #14'!$A$1:$K$139</definedName>
    <definedName name="_xlnm.Print_Area" localSheetId="15">'Draw #15'!$A$1:$K$139</definedName>
    <definedName name="_xlnm.Print_Area" localSheetId="16">'Draw #16'!$A$1:$K$139</definedName>
    <definedName name="_xlnm.Print_Area" localSheetId="17">'Draw #17'!$A$1:$K$139</definedName>
    <definedName name="_xlnm.Print_Area" localSheetId="18">'Draw #18'!$A$1:$K$139</definedName>
    <definedName name="_xlnm.Print_Area" localSheetId="19">'Draw #19'!$A$1:$K$139</definedName>
    <definedName name="_xlnm.Print_Area" localSheetId="2">'Draw #2'!$A$1:$K$139</definedName>
    <definedName name="_xlnm.Print_Area" localSheetId="20">'Draw #20'!$A$1:$K$139</definedName>
    <definedName name="_xlnm.Print_Area" localSheetId="3">'Draw #3'!$A$1:$K$139</definedName>
    <definedName name="_xlnm.Print_Area" localSheetId="4">'Draw #4'!$A$1:$K$139</definedName>
    <definedName name="_xlnm.Print_Area" localSheetId="5">'Draw #5'!$A$1:$K$139</definedName>
    <definedName name="_xlnm.Print_Area" localSheetId="6">'Draw #6'!$A$1:$K$139</definedName>
    <definedName name="_xlnm.Print_Area" localSheetId="7">'Draw #7'!$A$1:$K$139</definedName>
    <definedName name="_xlnm.Print_Area" localSheetId="8">'Draw #8'!$A$1:$K$139</definedName>
    <definedName name="_xlnm.Print_Area" localSheetId="9">'Draw #9'!$A$1:$K$139</definedName>
    <definedName name="_xlnm.Print_Area" localSheetId="0">'SCHEDULE OF VALUE WORKSHEET'!$A$1:$G$106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6" i="5" l="1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20" i="5"/>
  <c r="E21" i="5"/>
  <c r="E22" i="5"/>
  <c r="E23" i="5"/>
  <c r="E24" i="5"/>
  <c r="E25" i="5"/>
  <c r="E26" i="5"/>
  <c r="E27" i="5"/>
  <c r="E28" i="5"/>
  <c r="E9" i="5"/>
  <c r="E10" i="5"/>
  <c r="E11" i="5"/>
  <c r="E12" i="5"/>
  <c r="E13" i="5"/>
  <c r="E14" i="5"/>
  <c r="E15" i="5"/>
  <c r="E16" i="5"/>
  <c r="E17" i="5"/>
  <c r="E18" i="5"/>
  <c r="E19" i="5"/>
  <c r="E8" i="5"/>
  <c r="D106" i="5"/>
  <c r="E106" i="5" l="1"/>
  <c r="K50" i="5" l="1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9" i="5"/>
  <c r="K70" i="5"/>
  <c r="K71" i="5"/>
  <c r="K72" i="5"/>
  <c r="K73" i="5"/>
  <c r="K76" i="5"/>
  <c r="K77" i="5"/>
  <c r="K78" i="5"/>
  <c r="K79" i="5"/>
  <c r="K80" i="5"/>
  <c r="K81" i="5"/>
  <c r="K82" i="5"/>
  <c r="K83" i="5"/>
  <c r="K84" i="5"/>
  <c r="K85" i="5"/>
  <c r="K49" i="5"/>
  <c r="K47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9" i="5"/>
  <c r="H70" i="5"/>
  <c r="H71" i="5"/>
  <c r="H72" i="5"/>
  <c r="H73" i="5"/>
  <c r="H74" i="5"/>
  <c r="H76" i="5"/>
  <c r="H77" i="5"/>
  <c r="H78" i="5"/>
  <c r="H79" i="5"/>
  <c r="H80" i="5"/>
  <c r="H81" i="5"/>
  <c r="H82" i="5"/>
  <c r="H83" i="5"/>
  <c r="H84" i="5"/>
  <c r="H85" i="5"/>
  <c r="H49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8" i="5"/>
  <c r="F79" i="5" l="1"/>
  <c r="C12" i="5" l="1"/>
  <c r="F47" i="5" l="1"/>
  <c r="J135" i="30"/>
  <c r="K135" i="30" s="1"/>
  <c r="E135" i="30"/>
  <c r="B135" i="30"/>
  <c r="J134" i="30"/>
  <c r="K134" i="30" s="1"/>
  <c r="E134" i="30"/>
  <c r="B134" i="30"/>
  <c r="J133" i="30"/>
  <c r="K133" i="30" s="1"/>
  <c r="E133" i="30"/>
  <c r="B133" i="30"/>
  <c r="J132" i="30"/>
  <c r="K132" i="30" s="1"/>
  <c r="E132" i="30"/>
  <c r="B132" i="30"/>
  <c r="J131" i="30"/>
  <c r="K131" i="30" s="1"/>
  <c r="E131" i="30"/>
  <c r="B131" i="30"/>
  <c r="J130" i="30"/>
  <c r="K130" i="30" s="1"/>
  <c r="E130" i="30"/>
  <c r="B130" i="30"/>
  <c r="J129" i="30"/>
  <c r="K129" i="30" s="1"/>
  <c r="E129" i="30"/>
  <c r="B129" i="30"/>
  <c r="J128" i="30"/>
  <c r="K128" i="30" s="1"/>
  <c r="E128" i="30"/>
  <c r="B128" i="30"/>
  <c r="J127" i="30"/>
  <c r="K127" i="30" s="1"/>
  <c r="E127" i="30"/>
  <c r="B127" i="30"/>
  <c r="J126" i="30"/>
  <c r="K126" i="30" s="1"/>
  <c r="E126" i="30"/>
  <c r="B126" i="30"/>
  <c r="J125" i="30"/>
  <c r="K125" i="30" s="1"/>
  <c r="E125" i="30"/>
  <c r="B125" i="30"/>
  <c r="J124" i="30"/>
  <c r="K124" i="30" s="1"/>
  <c r="E124" i="30"/>
  <c r="B124" i="30"/>
  <c r="J123" i="30"/>
  <c r="K123" i="30" s="1"/>
  <c r="E123" i="30"/>
  <c r="B123" i="30"/>
  <c r="J122" i="30"/>
  <c r="K122" i="30" s="1"/>
  <c r="E122" i="30"/>
  <c r="B122" i="30"/>
  <c r="J121" i="30"/>
  <c r="K121" i="30" s="1"/>
  <c r="E121" i="30"/>
  <c r="B121" i="30"/>
  <c r="J120" i="30"/>
  <c r="K120" i="30" s="1"/>
  <c r="E120" i="30"/>
  <c r="B120" i="30"/>
  <c r="J119" i="30"/>
  <c r="K119" i="30" s="1"/>
  <c r="E119" i="30"/>
  <c r="B119" i="30"/>
  <c r="J118" i="30"/>
  <c r="K118" i="30" s="1"/>
  <c r="E118" i="30"/>
  <c r="B118" i="30"/>
  <c r="J117" i="30"/>
  <c r="K117" i="30" s="1"/>
  <c r="E117" i="30"/>
  <c r="B117" i="30"/>
  <c r="J116" i="30"/>
  <c r="K116" i="30" s="1"/>
  <c r="E116" i="30"/>
  <c r="B116" i="30"/>
  <c r="A116" i="30"/>
  <c r="J115" i="30"/>
  <c r="K115" i="30" s="1"/>
  <c r="E115" i="30"/>
  <c r="B115" i="30"/>
  <c r="A115" i="30"/>
  <c r="J114" i="30"/>
  <c r="K114" i="30" s="1"/>
  <c r="E114" i="30"/>
  <c r="B114" i="30"/>
  <c r="A114" i="30"/>
  <c r="J113" i="30"/>
  <c r="K113" i="30" s="1"/>
  <c r="E113" i="30"/>
  <c r="B113" i="30"/>
  <c r="A113" i="30"/>
  <c r="J112" i="30"/>
  <c r="K112" i="30" s="1"/>
  <c r="E112" i="30"/>
  <c r="B112" i="30"/>
  <c r="A112" i="30"/>
  <c r="J111" i="30"/>
  <c r="K111" i="30" s="1"/>
  <c r="E111" i="30"/>
  <c r="B111" i="30"/>
  <c r="A111" i="30"/>
  <c r="J110" i="30"/>
  <c r="K110" i="30" s="1"/>
  <c r="E110" i="30"/>
  <c r="B110" i="30"/>
  <c r="A110" i="30"/>
  <c r="J109" i="30"/>
  <c r="K109" i="30" s="1"/>
  <c r="E109" i="30"/>
  <c r="B109" i="30"/>
  <c r="A109" i="30"/>
  <c r="J108" i="30"/>
  <c r="K108" i="30" s="1"/>
  <c r="E108" i="30"/>
  <c r="B108" i="30"/>
  <c r="A108" i="30"/>
  <c r="J107" i="30"/>
  <c r="K107" i="30" s="1"/>
  <c r="E107" i="30"/>
  <c r="B107" i="30"/>
  <c r="A107" i="30"/>
  <c r="J106" i="30"/>
  <c r="K106" i="30" s="1"/>
  <c r="E106" i="30"/>
  <c r="B106" i="30"/>
  <c r="A106" i="30"/>
  <c r="J105" i="30"/>
  <c r="K105" i="30" s="1"/>
  <c r="E105" i="30"/>
  <c r="B105" i="30"/>
  <c r="A105" i="30"/>
  <c r="J104" i="30"/>
  <c r="K104" i="30" s="1"/>
  <c r="E104" i="30"/>
  <c r="B104" i="30"/>
  <c r="A104" i="30"/>
  <c r="J103" i="30"/>
  <c r="K103" i="30" s="1"/>
  <c r="E103" i="30"/>
  <c r="B103" i="30"/>
  <c r="A103" i="30"/>
  <c r="J102" i="30"/>
  <c r="K102" i="30" s="1"/>
  <c r="E102" i="30"/>
  <c r="B102" i="30"/>
  <c r="A102" i="30"/>
  <c r="J101" i="30"/>
  <c r="K101" i="30" s="1"/>
  <c r="E101" i="30"/>
  <c r="B101" i="30"/>
  <c r="A101" i="30"/>
  <c r="J100" i="30"/>
  <c r="K100" i="30" s="1"/>
  <c r="E100" i="30"/>
  <c r="B100" i="30"/>
  <c r="A100" i="30"/>
  <c r="J99" i="30"/>
  <c r="K99" i="30" s="1"/>
  <c r="E99" i="30"/>
  <c r="B99" i="30"/>
  <c r="A99" i="30"/>
  <c r="J98" i="30"/>
  <c r="K98" i="30" s="1"/>
  <c r="E98" i="30"/>
  <c r="B98" i="30"/>
  <c r="A98" i="30"/>
  <c r="J97" i="30"/>
  <c r="K97" i="30" s="1"/>
  <c r="E97" i="30"/>
  <c r="B97" i="30"/>
  <c r="A97" i="30"/>
  <c r="J96" i="30"/>
  <c r="K96" i="30" s="1"/>
  <c r="E96" i="30"/>
  <c r="B96" i="30"/>
  <c r="A96" i="30"/>
  <c r="J95" i="30"/>
  <c r="K95" i="30" s="1"/>
  <c r="E95" i="30"/>
  <c r="B95" i="30"/>
  <c r="A95" i="30"/>
  <c r="J94" i="30"/>
  <c r="K94" i="30" s="1"/>
  <c r="E94" i="30"/>
  <c r="B94" i="30"/>
  <c r="A94" i="30"/>
  <c r="J93" i="30"/>
  <c r="K93" i="30" s="1"/>
  <c r="E93" i="30"/>
  <c r="B93" i="30"/>
  <c r="A93" i="30"/>
  <c r="J92" i="30"/>
  <c r="K92" i="30" s="1"/>
  <c r="E92" i="30"/>
  <c r="B92" i="30"/>
  <c r="A92" i="30"/>
  <c r="J91" i="30"/>
  <c r="K91" i="30" s="1"/>
  <c r="E91" i="30"/>
  <c r="B91" i="30"/>
  <c r="A91" i="30"/>
  <c r="J90" i="30"/>
  <c r="K90" i="30" s="1"/>
  <c r="E90" i="30"/>
  <c r="B90" i="30"/>
  <c r="J89" i="30"/>
  <c r="K89" i="30" s="1"/>
  <c r="E89" i="30"/>
  <c r="B89" i="30"/>
  <c r="J88" i="30"/>
  <c r="K88" i="30" s="1"/>
  <c r="E88" i="30"/>
  <c r="B88" i="30"/>
  <c r="J87" i="30"/>
  <c r="K87" i="30" s="1"/>
  <c r="E87" i="30"/>
  <c r="B87" i="30"/>
  <c r="J86" i="30"/>
  <c r="K86" i="30" s="1"/>
  <c r="E86" i="30"/>
  <c r="B86" i="30"/>
  <c r="J85" i="30"/>
  <c r="K85" i="30" s="1"/>
  <c r="E85" i="30"/>
  <c r="B85" i="30"/>
  <c r="J84" i="30"/>
  <c r="K84" i="30" s="1"/>
  <c r="E84" i="30"/>
  <c r="B84" i="30"/>
  <c r="J83" i="30"/>
  <c r="K83" i="30" s="1"/>
  <c r="E83" i="30"/>
  <c r="B83" i="30"/>
  <c r="J82" i="30"/>
  <c r="K82" i="30" s="1"/>
  <c r="E82" i="30"/>
  <c r="B82" i="30"/>
  <c r="J81" i="30"/>
  <c r="K81" i="30" s="1"/>
  <c r="E81" i="30"/>
  <c r="B81" i="30"/>
  <c r="J80" i="30"/>
  <c r="K80" i="30" s="1"/>
  <c r="E80" i="30"/>
  <c r="B80" i="30"/>
  <c r="J79" i="30"/>
  <c r="K79" i="30" s="1"/>
  <c r="E79" i="30"/>
  <c r="B79" i="30"/>
  <c r="J78" i="30"/>
  <c r="K78" i="30" s="1"/>
  <c r="E78" i="30"/>
  <c r="B78" i="30"/>
  <c r="J77" i="30"/>
  <c r="K77" i="30" s="1"/>
  <c r="E77" i="30"/>
  <c r="B77" i="30"/>
  <c r="J76" i="30"/>
  <c r="K76" i="30" s="1"/>
  <c r="E76" i="30"/>
  <c r="B76" i="30"/>
  <c r="J75" i="30"/>
  <c r="K75" i="30" s="1"/>
  <c r="E75" i="30"/>
  <c r="B75" i="30"/>
  <c r="J74" i="30"/>
  <c r="K74" i="30" s="1"/>
  <c r="E74" i="30"/>
  <c r="B74" i="30"/>
  <c r="J73" i="30"/>
  <c r="K73" i="30" s="1"/>
  <c r="E73" i="30"/>
  <c r="B73" i="30"/>
  <c r="J72" i="30"/>
  <c r="K72" i="30" s="1"/>
  <c r="E72" i="30"/>
  <c r="B72" i="30"/>
  <c r="J71" i="30"/>
  <c r="K71" i="30" s="1"/>
  <c r="E71" i="30"/>
  <c r="B71" i="30"/>
  <c r="J70" i="30"/>
  <c r="K70" i="30" s="1"/>
  <c r="E70" i="30"/>
  <c r="B70" i="30"/>
  <c r="J69" i="30"/>
  <c r="K69" i="30" s="1"/>
  <c r="E69" i="30"/>
  <c r="B69" i="30"/>
  <c r="J68" i="30"/>
  <c r="K68" i="30" s="1"/>
  <c r="E68" i="30"/>
  <c r="B68" i="30"/>
  <c r="J67" i="30"/>
  <c r="K67" i="30" s="1"/>
  <c r="E67" i="30"/>
  <c r="B67" i="30"/>
  <c r="J66" i="30"/>
  <c r="K66" i="30" s="1"/>
  <c r="E66" i="30"/>
  <c r="B66" i="30"/>
  <c r="J65" i="30"/>
  <c r="K65" i="30" s="1"/>
  <c r="E65" i="30"/>
  <c r="B65" i="30"/>
  <c r="J64" i="30"/>
  <c r="K64" i="30" s="1"/>
  <c r="E64" i="30"/>
  <c r="B64" i="30"/>
  <c r="J63" i="30"/>
  <c r="K63" i="30" s="1"/>
  <c r="E63" i="30"/>
  <c r="B63" i="30"/>
  <c r="J62" i="30"/>
  <c r="K62" i="30" s="1"/>
  <c r="E62" i="30"/>
  <c r="B62" i="30"/>
  <c r="J61" i="30"/>
  <c r="K61" i="30" s="1"/>
  <c r="E61" i="30"/>
  <c r="B61" i="30"/>
  <c r="J60" i="30"/>
  <c r="K60" i="30" s="1"/>
  <c r="E60" i="30"/>
  <c r="B60" i="30"/>
  <c r="K59" i="30"/>
  <c r="J59" i="30"/>
  <c r="E59" i="30"/>
  <c r="B59" i="30"/>
  <c r="J58" i="30"/>
  <c r="K58" i="30" s="1"/>
  <c r="E58" i="30"/>
  <c r="B58" i="30"/>
  <c r="J57" i="30"/>
  <c r="K57" i="30" s="1"/>
  <c r="E57" i="30"/>
  <c r="B57" i="30"/>
  <c r="J56" i="30"/>
  <c r="K56" i="30" s="1"/>
  <c r="E56" i="30"/>
  <c r="B56" i="30"/>
  <c r="K55" i="30"/>
  <c r="J55" i="30"/>
  <c r="E55" i="30"/>
  <c r="B55" i="30"/>
  <c r="J54" i="30"/>
  <c r="K54" i="30" s="1"/>
  <c r="E54" i="30"/>
  <c r="B54" i="30"/>
  <c r="J53" i="30"/>
  <c r="K53" i="30" s="1"/>
  <c r="E53" i="30"/>
  <c r="B53" i="30"/>
  <c r="J52" i="30"/>
  <c r="K52" i="30" s="1"/>
  <c r="E52" i="30"/>
  <c r="B52" i="30"/>
  <c r="K51" i="30"/>
  <c r="J51" i="30"/>
  <c r="E51" i="30"/>
  <c r="B51" i="30"/>
  <c r="J50" i="30"/>
  <c r="K50" i="30" s="1"/>
  <c r="E50" i="30"/>
  <c r="B50" i="30"/>
  <c r="J49" i="30"/>
  <c r="K49" i="30" s="1"/>
  <c r="E49" i="30"/>
  <c r="B49" i="30"/>
  <c r="J48" i="30"/>
  <c r="K48" i="30" s="1"/>
  <c r="E48" i="30"/>
  <c r="B48" i="30"/>
  <c r="J47" i="30"/>
  <c r="K47" i="30" s="1"/>
  <c r="E47" i="30"/>
  <c r="B47" i="30"/>
  <c r="J46" i="30"/>
  <c r="K46" i="30" s="1"/>
  <c r="E46" i="30"/>
  <c r="B46" i="30"/>
  <c r="J45" i="30"/>
  <c r="K45" i="30" s="1"/>
  <c r="E45" i="30"/>
  <c r="B45" i="30"/>
  <c r="J44" i="30"/>
  <c r="K44" i="30" s="1"/>
  <c r="E44" i="30"/>
  <c r="B44" i="30"/>
  <c r="J43" i="30"/>
  <c r="K43" i="30" s="1"/>
  <c r="E43" i="30"/>
  <c r="B43" i="30"/>
  <c r="J42" i="30"/>
  <c r="K42" i="30" s="1"/>
  <c r="E42" i="30"/>
  <c r="B42" i="30"/>
  <c r="J41" i="30"/>
  <c r="K41" i="30" s="1"/>
  <c r="E41" i="30"/>
  <c r="B41" i="30"/>
  <c r="J40" i="30"/>
  <c r="K40" i="30" s="1"/>
  <c r="E40" i="30"/>
  <c r="B40" i="30"/>
  <c r="J39" i="30"/>
  <c r="K39" i="30" s="1"/>
  <c r="E39" i="30"/>
  <c r="B39" i="30"/>
  <c r="J38" i="30"/>
  <c r="K38" i="30" s="1"/>
  <c r="E38" i="30"/>
  <c r="B38" i="30"/>
  <c r="J37" i="30"/>
  <c r="K37" i="30" s="1"/>
  <c r="E37" i="30"/>
  <c r="B37" i="30"/>
  <c r="J36" i="30"/>
  <c r="K36" i="30" s="1"/>
  <c r="E36" i="30"/>
  <c r="B36" i="30"/>
  <c r="J35" i="30"/>
  <c r="K35" i="30" s="1"/>
  <c r="E35" i="30"/>
  <c r="B35" i="30"/>
  <c r="J34" i="30"/>
  <c r="K34" i="30" s="1"/>
  <c r="E34" i="30"/>
  <c r="B34" i="30"/>
  <c r="J33" i="30"/>
  <c r="K33" i="30" s="1"/>
  <c r="E33" i="30"/>
  <c r="B33" i="30"/>
  <c r="J32" i="30"/>
  <c r="K32" i="30" s="1"/>
  <c r="E32" i="30"/>
  <c r="B32" i="30"/>
  <c r="J31" i="30"/>
  <c r="K31" i="30" s="1"/>
  <c r="E31" i="30"/>
  <c r="B31" i="30"/>
  <c r="J30" i="30"/>
  <c r="K30" i="30" s="1"/>
  <c r="E30" i="30"/>
  <c r="B30" i="30"/>
  <c r="J29" i="30"/>
  <c r="K29" i="30" s="1"/>
  <c r="E29" i="30"/>
  <c r="B29" i="30"/>
  <c r="J28" i="30"/>
  <c r="K28" i="30" s="1"/>
  <c r="E28" i="30"/>
  <c r="B28" i="30"/>
  <c r="J27" i="30"/>
  <c r="K27" i="30" s="1"/>
  <c r="E27" i="30"/>
  <c r="B27" i="30"/>
  <c r="J26" i="30"/>
  <c r="K26" i="30" s="1"/>
  <c r="E26" i="30"/>
  <c r="B26" i="30"/>
  <c r="J25" i="30"/>
  <c r="K25" i="30" s="1"/>
  <c r="E25" i="30"/>
  <c r="B25" i="30"/>
  <c r="J24" i="30"/>
  <c r="K24" i="30" s="1"/>
  <c r="E24" i="30"/>
  <c r="B24" i="30"/>
  <c r="J23" i="30"/>
  <c r="K23" i="30" s="1"/>
  <c r="E23" i="30"/>
  <c r="B23" i="30"/>
  <c r="J22" i="30"/>
  <c r="K22" i="30" s="1"/>
  <c r="E22" i="30"/>
  <c r="B22" i="30"/>
  <c r="J21" i="30"/>
  <c r="K21" i="30" s="1"/>
  <c r="E21" i="30"/>
  <c r="B21" i="30"/>
  <c r="J20" i="30"/>
  <c r="K20" i="30" s="1"/>
  <c r="E20" i="30"/>
  <c r="B20" i="30"/>
  <c r="J19" i="30"/>
  <c r="K19" i="30" s="1"/>
  <c r="E19" i="30"/>
  <c r="B19" i="30"/>
  <c r="J18" i="30"/>
  <c r="K18" i="30" s="1"/>
  <c r="E18" i="30"/>
  <c r="B18" i="30"/>
  <c r="J17" i="30"/>
  <c r="K17" i="30" s="1"/>
  <c r="E17" i="30"/>
  <c r="B17" i="30"/>
  <c r="J16" i="30"/>
  <c r="K16" i="30" s="1"/>
  <c r="E16" i="30"/>
  <c r="B16" i="30"/>
  <c r="J15" i="30"/>
  <c r="K15" i="30" s="1"/>
  <c r="E15" i="30"/>
  <c r="B15" i="30"/>
  <c r="J14" i="30"/>
  <c r="K14" i="30" s="1"/>
  <c r="E14" i="30"/>
  <c r="B14" i="30"/>
  <c r="J13" i="30"/>
  <c r="K13" i="30" s="1"/>
  <c r="E13" i="30"/>
  <c r="B13" i="30"/>
  <c r="J12" i="30"/>
  <c r="K12" i="30" s="1"/>
  <c r="E12" i="30"/>
  <c r="B12" i="30"/>
  <c r="A12" i="30"/>
  <c r="J11" i="30"/>
  <c r="K11" i="30" s="1"/>
  <c r="E11" i="30"/>
  <c r="B11" i="30"/>
  <c r="A11" i="30"/>
  <c r="J135" i="29"/>
  <c r="K135" i="29" s="1"/>
  <c r="E135" i="29"/>
  <c r="B135" i="29"/>
  <c r="J134" i="29"/>
  <c r="K134" i="29" s="1"/>
  <c r="E134" i="29"/>
  <c r="B134" i="29"/>
  <c r="J133" i="29"/>
  <c r="K133" i="29" s="1"/>
  <c r="E133" i="29"/>
  <c r="B133" i="29"/>
  <c r="J132" i="29"/>
  <c r="K132" i="29" s="1"/>
  <c r="E132" i="29"/>
  <c r="B132" i="29"/>
  <c r="J131" i="29"/>
  <c r="K131" i="29" s="1"/>
  <c r="E131" i="29"/>
  <c r="B131" i="29"/>
  <c r="J130" i="29"/>
  <c r="K130" i="29" s="1"/>
  <c r="E130" i="29"/>
  <c r="B130" i="29"/>
  <c r="J129" i="29"/>
  <c r="K129" i="29" s="1"/>
  <c r="E129" i="29"/>
  <c r="B129" i="29"/>
  <c r="J128" i="29"/>
  <c r="K128" i="29" s="1"/>
  <c r="E128" i="29"/>
  <c r="B128" i="29"/>
  <c r="J127" i="29"/>
  <c r="K127" i="29" s="1"/>
  <c r="E127" i="29"/>
  <c r="B127" i="29"/>
  <c r="J126" i="29"/>
  <c r="K126" i="29" s="1"/>
  <c r="E126" i="29"/>
  <c r="B126" i="29"/>
  <c r="J125" i="29"/>
  <c r="K125" i="29" s="1"/>
  <c r="E125" i="29"/>
  <c r="B125" i="29"/>
  <c r="J124" i="29"/>
  <c r="K124" i="29" s="1"/>
  <c r="E124" i="29"/>
  <c r="B124" i="29"/>
  <c r="J123" i="29"/>
  <c r="K123" i="29" s="1"/>
  <c r="E123" i="29"/>
  <c r="D123" i="29"/>
  <c r="B123" i="29"/>
  <c r="J122" i="29"/>
  <c r="K122" i="29" s="1"/>
  <c r="E122" i="29"/>
  <c r="B122" i="29"/>
  <c r="J121" i="29"/>
  <c r="K121" i="29" s="1"/>
  <c r="E121" i="29"/>
  <c r="B121" i="29"/>
  <c r="J120" i="29"/>
  <c r="K120" i="29" s="1"/>
  <c r="E120" i="29"/>
  <c r="B120" i="29"/>
  <c r="J119" i="29"/>
  <c r="K119" i="29" s="1"/>
  <c r="E119" i="29"/>
  <c r="B119" i="29"/>
  <c r="J118" i="29"/>
  <c r="K118" i="29" s="1"/>
  <c r="E118" i="29"/>
  <c r="B118" i="29"/>
  <c r="J117" i="29"/>
  <c r="K117" i="29" s="1"/>
  <c r="E117" i="29"/>
  <c r="B117" i="29"/>
  <c r="J116" i="29"/>
  <c r="K116" i="29" s="1"/>
  <c r="E116" i="29"/>
  <c r="B116" i="29"/>
  <c r="A116" i="29"/>
  <c r="J115" i="29"/>
  <c r="K115" i="29" s="1"/>
  <c r="E115" i="29"/>
  <c r="B115" i="29"/>
  <c r="A115" i="29"/>
  <c r="J114" i="29"/>
  <c r="K114" i="29" s="1"/>
  <c r="E114" i="29"/>
  <c r="B114" i="29"/>
  <c r="A114" i="29"/>
  <c r="J113" i="29"/>
  <c r="K113" i="29" s="1"/>
  <c r="E113" i="29"/>
  <c r="B113" i="29"/>
  <c r="A113" i="29"/>
  <c r="J112" i="29"/>
  <c r="K112" i="29" s="1"/>
  <c r="E112" i="29"/>
  <c r="B112" i="29"/>
  <c r="A112" i="29"/>
  <c r="J111" i="29"/>
  <c r="K111" i="29" s="1"/>
  <c r="E111" i="29"/>
  <c r="B111" i="29"/>
  <c r="A111" i="29"/>
  <c r="J110" i="29"/>
  <c r="K110" i="29" s="1"/>
  <c r="E110" i="29"/>
  <c r="B110" i="29"/>
  <c r="A110" i="29"/>
  <c r="J109" i="29"/>
  <c r="K109" i="29" s="1"/>
  <c r="E109" i="29"/>
  <c r="B109" i="29"/>
  <c r="A109" i="29"/>
  <c r="J108" i="29"/>
  <c r="K108" i="29" s="1"/>
  <c r="E108" i="29"/>
  <c r="B108" i="29"/>
  <c r="A108" i="29"/>
  <c r="J107" i="29"/>
  <c r="K107" i="29" s="1"/>
  <c r="E107" i="29"/>
  <c r="B107" i="29"/>
  <c r="A107" i="29"/>
  <c r="J106" i="29"/>
  <c r="K106" i="29" s="1"/>
  <c r="E106" i="29"/>
  <c r="B106" i="29"/>
  <c r="A106" i="29"/>
  <c r="J105" i="29"/>
  <c r="K105" i="29" s="1"/>
  <c r="E105" i="29"/>
  <c r="B105" i="29"/>
  <c r="A105" i="29"/>
  <c r="J104" i="29"/>
  <c r="K104" i="29" s="1"/>
  <c r="E104" i="29"/>
  <c r="B104" i="29"/>
  <c r="A104" i="29"/>
  <c r="J103" i="29"/>
  <c r="K103" i="29" s="1"/>
  <c r="E103" i="29"/>
  <c r="B103" i="29"/>
  <c r="A103" i="29"/>
  <c r="J102" i="29"/>
  <c r="K102" i="29" s="1"/>
  <c r="E102" i="29"/>
  <c r="B102" i="29"/>
  <c r="A102" i="29"/>
  <c r="J101" i="29"/>
  <c r="K101" i="29" s="1"/>
  <c r="E101" i="29"/>
  <c r="B101" i="29"/>
  <c r="A101" i="29"/>
  <c r="J100" i="29"/>
  <c r="K100" i="29" s="1"/>
  <c r="E100" i="29"/>
  <c r="B100" i="29"/>
  <c r="A100" i="29"/>
  <c r="J99" i="29"/>
  <c r="K99" i="29" s="1"/>
  <c r="E99" i="29"/>
  <c r="B99" i="29"/>
  <c r="A99" i="29"/>
  <c r="J98" i="29"/>
  <c r="K98" i="29" s="1"/>
  <c r="E98" i="29"/>
  <c r="B98" i="29"/>
  <c r="A98" i="29"/>
  <c r="J97" i="29"/>
  <c r="K97" i="29" s="1"/>
  <c r="E97" i="29"/>
  <c r="B97" i="29"/>
  <c r="A97" i="29"/>
  <c r="J96" i="29"/>
  <c r="K96" i="29" s="1"/>
  <c r="E96" i="29"/>
  <c r="B96" i="29"/>
  <c r="A96" i="29"/>
  <c r="J95" i="29"/>
  <c r="K95" i="29" s="1"/>
  <c r="E95" i="29"/>
  <c r="B95" i="29"/>
  <c r="A95" i="29"/>
  <c r="J94" i="29"/>
  <c r="K94" i="29" s="1"/>
  <c r="E94" i="29"/>
  <c r="B94" i="29"/>
  <c r="A94" i="29"/>
  <c r="J93" i="29"/>
  <c r="K93" i="29" s="1"/>
  <c r="E93" i="29"/>
  <c r="B93" i="29"/>
  <c r="A93" i="29"/>
  <c r="J92" i="29"/>
  <c r="K92" i="29" s="1"/>
  <c r="E92" i="29"/>
  <c r="B92" i="29"/>
  <c r="A92" i="29"/>
  <c r="J91" i="29"/>
  <c r="K91" i="29" s="1"/>
  <c r="E91" i="29"/>
  <c r="B91" i="29"/>
  <c r="A91" i="29"/>
  <c r="J90" i="29"/>
  <c r="K90" i="29" s="1"/>
  <c r="E90" i="29"/>
  <c r="B90" i="29"/>
  <c r="J89" i="29"/>
  <c r="K89" i="29" s="1"/>
  <c r="E89" i="29"/>
  <c r="B89" i="29"/>
  <c r="J88" i="29"/>
  <c r="K88" i="29" s="1"/>
  <c r="E88" i="29"/>
  <c r="B88" i="29"/>
  <c r="J87" i="29"/>
  <c r="K87" i="29" s="1"/>
  <c r="E87" i="29"/>
  <c r="B87" i="29"/>
  <c r="J86" i="29"/>
  <c r="K86" i="29" s="1"/>
  <c r="E86" i="29"/>
  <c r="B86" i="29"/>
  <c r="J85" i="29"/>
  <c r="K85" i="29" s="1"/>
  <c r="E85" i="29"/>
  <c r="B85" i="29"/>
  <c r="J84" i="29"/>
  <c r="K84" i="29" s="1"/>
  <c r="E84" i="29"/>
  <c r="B84" i="29"/>
  <c r="J83" i="29"/>
  <c r="K83" i="29" s="1"/>
  <c r="E83" i="29"/>
  <c r="B83" i="29"/>
  <c r="J82" i="29"/>
  <c r="K82" i="29" s="1"/>
  <c r="E82" i="29"/>
  <c r="B82" i="29"/>
  <c r="J81" i="29"/>
  <c r="K81" i="29" s="1"/>
  <c r="E81" i="29"/>
  <c r="B81" i="29"/>
  <c r="J80" i="29"/>
  <c r="K80" i="29" s="1"/>
  <c r="E80" i="29"/>
  <c r="B80" i="29"/>
  <c r="J79" i="29"/>
  <c r="K79" i="29" s="1"/>
  <c r="E79" i="29"/>
  <c r="B79" i="29"/>
  <c r="J78" i="29"/>
  <c r="K78" i="29" s="1"/>
  <c r="E78" i="29"/>
  <c r="B78" i="29"/>
  <c r="J77" i="29"/>
  <c r="K77" i="29" s="1"/>
  <c r="E77" i="29"/>
  <c r="B77" i="29"/>
  <c r="J76" i="29"/>
  <c r="K76" i="29" s="1"/>
  <c r="E76" i="29"/>
  <c r="B76" i="29"/>
  <c r="J75" i="29"/>
  <c r="K75" i="29" s="1"/>
  <c r="E75" i="29"/>
  <c r="B75" i="29"/>
  <c r="J74" i="29"/>
  <c r="K74" i="29" s="1"/>
  <c r="E74" i="29"/>
  <c r="B74" i="29"/>
  <c r="J73" i="29"/>
  <c r="K73" i="29" s="1"/>
  <c r="E73" i="29"/>
  <c r="B73" i="29"/>
  <c r="J72" i="29"/>
  <c r="K72" i="29" s="1"/>
  <c r="E72" i="29"/>
  <c r="B72" i="29"/>
  <c r="J71" i="29"/>
  <c r="K71" i="29" s="1"/>
  <c r="E71" i="29"/>
  <c r="B71" i="29"/>
  <c r="J70" i="29"/>
  <c r="K70" i="29" s="1"/>
  <c r="E70" i="29"/>
  <c r="B70" i="29"/>
  <c r="J69" i="29"/>
  <c r="K69" i="29" s="1"/>
  <c r="E69" i="29"/>
  <c r="B69" i="29"/>
  <c r="J68" i="29"/>
  <c r="K68" i="29" s="1"/>
  <c r="E68" i="29"/>
  <c r="B68" i="29"/>
  <c r="J67" i="29"/>
  <c r="K67" i="29" s="1"/>
  <c r="E67" i="29"/>
  <c r="B67" i="29"/>
  <c r="J66" i="29"/>
  <c r="K66" i="29" s="1"/>
  <c r="E66" i="29"/>
  <c r="B66" i="29"/>
  <c r="J65" i="29"/>
  <c r="K65" i="29" s="1"/>
  <c r="E65" i="29"/>
  <c r="B65" i="29"/>
  <c r="J64" i="29"/>
  <c r="K64" i="29" s="1"/>
  <c r="E64" i="29"/>
  <c r="B64" i="29"/>
  <c r="J63" i="29"/>
  <c r="K63" i="29" s="1"/>
  <c r="E63" i="29"/>
  <c r="B63" i="29"/>
  <c r="J62" i="29"/>
  <c r="K62" i="29" s="1"/>
  <c r="E62" i="29"/>
  <c r="B62" i="29"/>
  <c r="J61" i="29"/>
  <c r="K61" i="29" s="1"/>
  <c r="E61" i="29"/>
  <c r="B61" i="29"/>
  <c r="J60" i="29"/>
  <c r="K60" i="29" s="1"/>
  <c r="E60" i="29"/>
  <c r="B60" i="29"/>
  <c r="J59" i="29"/>
  <c r="K59" i="29" s="1"/>
  <c r="E59" i="29"/>
  <c r="B59" i="29"/>
  <c r="J58" i="29"/>
  <c r="K58" i="29" s="1"/>
  <c r="E58" i="29"/>
  <c r="B58" i="29"/>
  <c r="J57" i="29"/>
  <c r="K57" i="29" s="1"/>
  <c r="E57" i="29"/>
  <c r="B57" i="29"/>
  <c r="J56" i="29"/>
  <c r="K56" i="29" s="1"/>
  <c r="E56" i="29"/>
  <c r="B56" i="29"/>
  <c r="J55" i="29"/>
  <c r="K55" i="29" s="1"/>
  <c r="E55" i="29"/>
  <c r="B55" i="29"/>
  <c r="J54" i="29"/>
  <c r="K54" i="29" s="1"/>
  <c r="E54" i="29"/>
  <c r="B54" i="29"/>
  <c r="J53" i="29"/>
  <c r="K53" i="29" s="1"/>
  <c r="E53" i="29"/>
  <c r="B53" i="29"/>
  <c r="J52" i="29"/>
  <c r="K52" i="29" s="1"/>
  <c r="E52" i="29"/>
  <c r="B52" i="29"/>
  <c r="J51" i="29"/>
  <c r="K51" i="29" s="1"/>
  <c r="E51" i="29"/>
  <c r="B51" i="29"/>
  <c r="K50" i="29"/>
  <c r="J50" i="29"/>
  <c r="E50" i="29"/>
  <c r="B50" i="29"/>
  <c r="K49" i="29"/>
  <c r="J49" i="29"/>
  <c r="E49" i="29"/>
  <c r="B49" i="29"/>
  <c r="K48" i="29"/>
  <c r="J48" i="29"/>
  <c r="E48" i="29"/>
  <c r="B48" i="29"/>
  <c r="K47" i="29"/>
  <c r="J47" i="29"/>
  <c r="E47" i="29"/>
  <c r="B47" i="29"/>
  <c r="K46" i="29"/>
  <c r="J46" i="29"/>
  <c r="E46" i="29"/>
  <c r="B46" i="29"/>
  <c r="K45" i="29"/>
  <c r="J45" i="29"/>
  <c r="E45" i="29"/>
  <c r="B45" i="29"/>
  <c r="K44" i="29"/>
  <c r="J44" i="29"/>
  <c r="E44" i="29"/>
  <c r="B44" i="29"/>
  <c r="K43" i="29"/>
  <c r="J43" i="29"/>
  <c r="E43" i="29"/>
  <c r="B43" i="29"/>
  <c r="K42" i="29"/>
  <c r="J42" i="29"/>
  <c r="E42" i="29"/>
  <c r="B42" i="29"/>
  <c r="K41" i="29"/>
  <c r="J41" i="29"/>
  <c r="E41" i="29"/>
  <c r="B41" i="29"/>
  <c r="K40" i="29"/>
  <c r="J40" i="29"/>
  <c r="E40" i="29"/>
  <c r="B40" i="29"/>
  <c r="K39" i="29"/>
  <c r="J39" i="29"/>
  <c r="E39" i="29"/>
  <c r="B39" i="29"/>
  <c r="K38" i="29"/>
  <c r="J38" i="29"/>
  <c r="E38" i="29"/>
  <c r="B38" i="29"/>
  <c r="K37" i="29"/>
  <c r="J37" i="29"/>
  <c r="E37" i="29"/>
  <c r="B37" i="29"/>
  <c r="K36" i="29"/>
  <c r="J36" i="29"/>
  <c r="E36" i="29"/>
  <c r="B36" i="29"/>
  <c r="K35" i="29"/>
  <c r="J35" i="29"/>
  <c r="E35" i="29"/>
  <c r="B35" i="29"/>
  <c r="K34" i="29"/>
  <c r="J34" i="29"/>
  <c r="E34" i="29"/>
  <c r="B34" i="29"/>
  <c r="K33" i="29"/>
  <c r="J33" i="29"/>
  <c r="E33" i="29"/>
  <c r="B33" i="29"/>
  <c r="K32" i="29"/>
  <c r="J32" i="29"/>
  <c r="E32" i="29"/>
  <c r="B32" i="29"/>
  <c r="K31" i="29"/>
  <c r="J31" i="29"/>
  <c r="E31" i="29"/>
  <c r="B31" i="29"/>
  <c r="K30" i="29"/>
  <c r="J30" i="29"/>
  <c r="E30" i="29"/>
  <c r="B30" i="29"/>
  <c r="K29" i="29"/>
  <c r="J29" i="29"/>
  <c r="E29" i="29"/>
  <c r="B29" i="29"/>
  <c r="K28" i="29"/>
  <c r="J28" i="29"/>
  <c r="E28" i="29"/>
  <c r="B28" i="29"/>
  <c r="K27" i="29"/>
  <c r="J27" i="29"/>
  <c r="E27" i="29"/>
  <c r="B27" i="29"/>
  <c r="K26" i="29"/>
  <c r="J26" i="29"/>
  <c r="E26" i="29"/>
  <c r="B26" i="29"/>
  <c r="K25" i="29"/>
  <c r="J25" i="29"/>
  <c r="E25" i="29"/>
  <c r="B25" i="29"/>
  <c r="K24" i="29"/>
  <c r="J24" i="29"/>
  <c r="E24" i="29"/>
  <c r="B24" i="29"/>
  <c r="K23" i="29"/>
  <c r="J23" i="29"/>
  <c r="E23" i="29"/>
  <c r="B23" i="29"/>
  <c r="K22" i="29"/>
  <c r="J22" i="29"/>
  <c r="E22" i="29"/>
  <c r="B22" i="29"/>
  <c r="K21" i="29"/>
  <c r="J21" i="29"/>
  <c r="E21" i="29"/>
  <c r="B21" i="29"/>
  <c r="K20" i="29"/>
  <c r="J20" i="29"/>
  <c r="E20" i="29"/>
  <c r="B20" i="29"/>
  <c r="K19" i="29"/>
  <c r="J19" i="29"/>
  <c r="E19" i="29"/>
  <c r="B19" i="29"/>
  <c r="K18" i="29"/>
  <c r="J18" i="29"/>
  <c r="E18" i="29"/>
  <c r="B18" i="29"/>
  <c r="K17" i="29"/>
  <c r="J17" i="29"/>
  <c r="E17" i="29"/>
  <c r="B17" i="29"/>
  <c r="K16" i="29"/>
  <c r="J16" i="29"/>
  <c r="E16" i="29"/>
  <c r="B16" i="29"/>
  <c r="K15" i="29"/>
  <c r="J15" i="29"/>
  <c r="E15" i="29"/>
  <c r="B15" i="29"/>
  <c r="K14" i="29"/>
  <c r="J14" i="29"/>
  <c r="E14" i="29"/>
  <c r="B14" i="29"/>
  <c r="K13" i="29"/>
  <c r="J13" i="29"/>
  <c r="E13" i="29"/>
  <c r="B13" i="29"/>
  <c r="K12" i="29"/>
  <c r="J12" i="29"/>
  <c r="E12" i="29"/>
  <c r="B12" i="29"/>
  <c r="A12" i="29"/>
  <c r="K11" i="29"/>
  <c r="J11" i="29"/>
  <c r="E11" i="29"/>
  <c r="B11" i="29"/>
  <c r="A11" i="29"/>
  <c r="J135" i="28"/>
  <c r="K135" i="28" s="1"/>
  <c r="E135" i="28"/>
  <c r="B135" i="28"/>
  <c r="J134" i="28"/>
  <c r="K134" i="28" s="1"/>
  <c r="E134" i="28"/>
  <c r="B134" i="28"/>
  <c r="J133" i="28"/>
  <c r="K133" i="28" s="1"/>
  <c r="E133" i="28"/>
  <c r="B133" i="28"/>
  <c r="J132" i="28"/>
  <c r="K132" i="28" s="1"/>
  <c r="E132" i="28"/>
  <c r="B132" i="28"/>
  <c r="J131" i="28"/>
  <c r="K131" i="28" s="1"/>
  <c r="E131" i="28"/>
  <c r="B131" i="28"/>
  <c r="J130" i="28"/>
  <c r="K130" i="28" s="1"/>
  <c r="E130" i="28"/>
  <c r="B130" i="28"/>
  <c r="J129" i="28"/>
  <c r="K129" i="28" s="1"/>
  <c r="E129" i="28"/>
  <c r="B129" i="28"/>
  <c r="J128" i="28"/>
  <c r="K128" i="28" s="1"/>
  <c r="E128" i="28"/>
  <c r="B128" i="28"/>
  <c r="J127" i="28"/>
  <c r="K127" i="28" s="1"/>
  <c r="E127" i="28"/>
  <c r="B127" i="28"/>
  <c r="J126" i="28"/>
  <c r="K126" i="28" s="1"/>
  <c r="E126" i="28"/>
  <c r="B126" i="28"/>
  <c r="J125" i="28"/>
  <c r="K125" i="28" s="1"/>
  <c r="E125" i="28"/>
  <c r="B125" i="28"/>
  <c r="J124" i="28"/>
  <c r="K124" i="28" s="1"/>
  <c r="E124" i="28"/>
  <c r="B124" i="28"/>
  <c r="J123" i="28"/>
  <c r="K123" i="28" s="1"/>
  <c r="E123" i="28"/>
  <c r="B123" i="28"/>
  <c r="J122" i="28"/>
  <c r="K122" i="28" s="1"/>
  <c r="E122" i="28"/>
  <c r="B122" i="28"/>
  <c r="J121" i="28"/>
  <c r="K121" i="28" s="1"/>
  <c r="E121" i="28"/>
  <c r="B121" i="28"/>
  <c r="J120" i="28"/>
  <c r="K120" i="28" s="1"/>
  <c r="E120" i="28"/>
  <c r="B120" i="28"/>
  <c r="J119" i="28"/>
  <c r="K119" i="28" s="1"/>
  <c r="E119" i="28"/>
  <c r="B119" i="28"/>
  <c r="J118" i="28"/>
  <c r="K118" i="28" s="1"/>
  <c r="E118" i="28"/>
  <c r="B118" i="28"/>
  <c r="J117" i="28"/>
  <c r="K117" i="28" s="1"/>
  <c r="E117" i="28"/>
  <c r="B117" i="28"/>
  <c r="J116" i="28"/>
  <c r="K116" i="28" s="1"/>
  <c r="E116" i="28"/>
  <c r="B116" i="28"/>
  <c r="A116" i="28"/>
  <c r="J115" i="28"/>
  <c r="K115" i="28" s="1"/>
  <c r="E115" i="28"/>
  <c r="B115" i="28"/>
  <c r="A115" i="28"/>
  <c r="J114" i="28"/>
  <c r="K114" i="28" s="1"/>
  <c r="E114" i="28"/>
  <c r="B114" i="28"/>
  <c r="A114" i="28"/>
  <c r="J113" i="28"/>
  <c r="K113" i="28" s="1"/>
  <c r="E113" i="28"/>
  <c r="B113" i="28"/>
  <c r="A113" i="28"/>
  <c r="J112" i="28"/>
  <c r="K112" i="28" s="1"/>
  <c r="E112" i="28"/>
  <c r="B112" i="28"/>
  <c r="A112" i="28"/>
  <c r="J111" i="28"/>
  <c r="K111" i="28" s="1"/>
  <c r="E111" i="28"/>
  <c r="B111" i="28"/>
  <c r="A111" i="28"/>
  <c r="J110" i="28"/>
  <c r="K110" i="28" s="1"/>
  <c r="E110" i="28"/>
  <c r="B110" i="28"/>
  <c r="A110" i="28"/>
  <c r="J109" i="28"/>
  <c r="K109" i="28" s="1"/>
  <c r="E109" i="28"/>
  <c r="B109" i="28"/>
  <c r="A109" i="28"/>
  <c r="J108" i="28"/>
  <c r="K108" i="28" s="1"/>
  <c r="E108" i="28"/>
  <c r="B108" i="28"/>
  <c r="A108" i="28"/>
  <c r="J107" i="28"/>
  <c r="K107" i="28" s="1"/>
  <c r="E107" i="28"/>
  <c r="B107" i="28"/>
  <c r="A107" i="28"/>
  <c r="J106" i="28"/>
  <c r="K106" i="28" s="1"/>
  <c r="E106" i="28"/>
  <c r="B106" i="28"/>
  <c r="A106" i="28"/>
  <c r="J105" i="28"/>
  <c r="K105" i="28" s="1"/>
  <c r="E105" i="28"/>
  <c r="B105" i="28"/>
  <c r="A105" i="28"/>
  <c r="J104" i="28"/>
  <c r="K104" i="28" s="1"/>
  <c r="E104" i="28"/>
  <c r="B104" i="28"/>
  <c r="A104" i="28"/>
  <c r="J103" i="28"/>
  <c r="K103" i="28" s="1"/>
  <c r="E103" i="28"/>
  <c r="B103" i="28"/>
  <c r="A103" i="28"/>
  <c r="J102" i="28"/>
  <c r="K102" i="28" s="1"/>
  <c r="E102" i="28"/>
  <c r="B102" i="28"/>
  <c r="A102" i="28"/>
  <c r="J101" i="28"/>
  <c r="K101" i="28" s="1"/>
  <c r="E101" i="28"/>
  <c r="B101" i="28"/>
  <c r="A101" i="28"/>
  <c r="J100" i="28"/>
  <c r="K100" i="28" s="1"/>
  <c r="E100" i="28"/>
  <c r="B100" i="28"/>
  <c r="A100" i="28"/>
  <c r="J99" i="28"/>
  <c r="K99" i="28" s="1"/>
  <c r="E99" i="28"/>
  <c r="B99" i="28"/>
  <c r="A99" i="28"/>
  <c r="J98" i="28"/>
  <c r="K98" i="28" s="1"/>
  <c r="E98" i="28"/>
  <c r="B98" i="28"/>
  <c r="A98" i="28"/>
  <c r="J97" i="28"/>
  <c r="K97" i="28" s="1"/>
  <c r="E97" i="28"/>
  <c r="B97" i="28"/>
  <c r="A97" i="28"/>
  <c r="J96" i="28"/>
  <c r="K96" i="28" s="1"/>
  <c r="E96" i="28"/>
  <c r="B96" i="28"/>
  <c r="A96" i="28"/>
  <c r="J95" i="28"/>
  <c r="K95" i="28" s="1"/>
  <c r="E95" i="28"/>
  <c r="B95" i="28"/>
  <c r="A95" i="28"/>
  <c r="J94" i="28"/>
  <c r="K94" i="28" s="1"/>
  <c r="E94" i="28"/>
  <c r="B94" i="28"/>
  <c r="A94" i="28"/>
  <c r="J93" i="28"/>
  <c r="K93" i="28" s="1"/>
  <c r="E93" i="28"/>
  <c r="B93" i="28"/>
  <c r="A93" i="28"/>
  <c r="J92" i="28"/>
  <c r="K92" i="28" s="1"/>
  <c r="E92" i="28"/>
  <c r="B92" i="28"/>
  <c r="A92" i="28"/>
  <c r="J91" i="28"/>
  <c r="K91" i="28" s="1"/>
  <c r="E91" i="28"/>
  <c r="B91" i="28"/>
  <c r="A91" i="28"/>
  <c r="J90" i="28"/>
  <c r="K90" i="28" s="1"/>
  <c r="E90" i="28"/>
  <c r="B90" i="28"/>
  <c r="J89" i="28"/>
  <c r="K89" i="28" s="1"/>
  <c r="E89" i="28"/>
  <c r="B89" i="28"/>
  <c r="J88" i="28"/>
  <c r="K88" i="28" s="1"/>
  <c r="E88" i="28"/>
  <c r="B88" i="28"/>
  <c r="J87" i="28"/>
  <c r="K87" i="28" s="1"/>
  <c r="E87" i="28"/>
  <c r="B87" i="28"/>
  <c r="J86" i="28"/>
  <c r="K86" i="28" s="1"/>
  <c r="E86" i="28"/>
  <c r="B86" i="28"/>
  <c r="J85" i="28"/>
  <c r="K85" i="28" s="1"/>
  <c r="E85" i="28"/>
  <c r="B85" i="28"/>
  <c r="J84" i="28"/>
  <c r="K84" i="28" s="1"/>
  <c r="E84" i="28"/>
  <c r="B84" i="28"/>
  <c r="J83" i="28"/>
  <c r="K83" i="28" s="1"/>
  <c r="E83" i="28"/>
  <c r="B83" i="28"/>
  <c r="J82" i="28"/>
  <c r="K82" i="28" s="1"/>
  <c r="E82" i="28"/>
  <c r="B82" i="28"/>
  <c r="J81" i="28"/>
  <c r="K81" i="28" s="1"/>
  <c r="E81" i="28"/>
  <c r="B81" i="28"/>
  <c r="J80" i="28"/>
  <c r="K80" i="28" s="1"/>
  <c r="E80" i="28"/>
  <c r="B80" i="28"/>
  <c r="J79" i="28"/>
  <c r="K79" i="28" s="1"/>
  <c r="E79" i="28"/>
  <c r="B79" i="28"/>
  <c r="J78" i="28"/>
  <c r="K78" i="28" s="1"/>
  <c r="E78" i="28"/>
  <c r="B78" i="28"/>
  <c r="J77" i="28"/>
  <c r="K77" i="28" s="1"/>
  <c r="E77" i="28"/>
  <c r="B77" i="28"/>
  <c r="J76" i="28"/>
  <c r="K76" i="28" s="1"/>
  <c r="E76" i="28"/>
  <c r="B76" i="28"/>
  <c r="J75" i="28"/>
  <c r="K75" i="28" s="1"/>
  <c r="E75" i="28"/>
  <c r="B75" i="28"/>
  <c r="J74" i="28"/>
  <c r="K74" i="28" s="1"/>
  <c r="E74" i="28"/>
  <c r="B74" i="28"/>
  <c r="J73" i="28"/>
  <c r="K73" i="28" s="1"/>
  <c r="E73" i="28"/>
  <c r="B73" i="28"/>
  <c r="J72" i="28"/>
  <c r="K72" i="28" s="1"/>
  <c r="E72" i="28"/>
  <c r="B72" i="28"/>
  <c r="J71" i="28"/>
  <c r="K71" i="28" s="1"/>
  <c r="E71" i="28"/>
  <c r="B71" i="28"/>
  <c r="J70" i="28"/>
  <c r="K70" i="28" s="1"/>
  <c r="E70" i="28"/>
  <c r="B70" i="28"/>
  <c r="J69" i="28"/>
  <c r="K69" i="28" s="1"/>
  <c r="E69" i="28"/>
  <c r="B69" i="28"/>
  <c r="J68" i="28"/>
  <c r="K68" i="28" s="1"/>
  <c r="E68" i="28"/>
  <c r="B68" i="28"/>
  <c r="J67" i="28"/>
  <c r="K67" i="28" s="1"/>
  <c r="E67" i="28"/>
  <c r="B67" i="28"/>
  <c r="J66" i="28"/>
  <c r="K66" i="28" s="1"/>
  <c r="E66" i="28"/>
  <c r="B66" i="28"/>
  <c r="J65" i="28"/>
  <c r="K65" i="28" s="1"/>
  <c r="E65" i="28"/>
  <c r="B65" i="28"/>
  <c r="J64" i="28"/>
  <c r="K64" i="28" s="1"/>
  <c r="E64" i="28"/>
  <c r="B64" i="28"/>
  <c r="J63" i="28"/>
  <c r="K63" i="28" s="1"/>
  <c r="E63" i="28"/>
  <c r="B63" i="28"/>
  <c r="J62" i="28"/>
  <c r="K62" i="28" s="1"/>
  <c r="E62" i="28"/>
  <c r="B62" i="28"/>
  <c r="J61" i="28"/>
  <c r="K61" i="28" s="1"/>
  <c r="E61" i="28"/>
  <c r="B61" i="28"/>
  <c r="J60" i="28"/>
  <c r="K60" i="28" s="1"/>
  <c r="E60" i="28"/>
  <c r="B60" i="28"/>
  <c r="J59" i="28"/>
  <c r="K59" i="28" s="1"/>
  <c r="E59" i="28"/>
  <c r="B59" i="28"/>
  <c r="J58" i="28"/>
  <c r="K58" i="28" s="1"/>
  <c r="E58" i="28"/>
  <c r="B58" i="28"/>
  <c r="J57" i="28"/>
  <c r="K57" i="28" s="1"/>
  <c r="E57" i="28"/>
  <c r="B57" i="28"/>
  <c r="J56" i="28"/>
  <c r="K56" i="28" s="1"/>
  <c r="E56" i="28"/>
  <c r="B56" i="28"/>
  <c r="J55" i="28"/>
  <c r="K55" i="28" s="1"/>
  <c r="E55" i="28"/>
  <c r="B55" i="28"/>
  <c r="J54" i="28"/>
  <c r="K54" i="28" s="1"/>
  <c r="E54" i="28"/>
  <c r="B54" i="28"/>
  <c r="J53" i="28"/>
  <c r="K53" i="28" s="1"/>
  <c r="E53" i="28"/>
  <c r="B53" i="28"/>
  <c r="J52" i="28"/>
  <c r="K52" i="28" s="1"/>
  <c r="E52" i="28"/>
  <c r="B52" i="28"/>
  <c r="J51" i="28"/>
  <c r="K51" i="28" s="1"/>
  <c r="E51" i="28"/>
  <c r="B51" i="28"/>
  <c r="K50" i="28"/>
  <c r="J50" i="28"/>
  <c r="E50" i="28"/>
  <c r="B50" i="28"/>
  <c r="K49" i="28"/>
  <c r="J49" i="28"/>
  <c r="E49" i="28"/>
  <c r="B49" i="28"/>
  <c r="K48" i="28"/>
  <c r="J48" i="28"/>
  <c r="E48" i="28"/>
  <c r="B48" i="28"/>
  <c r="K47" i="28"/>
  <c r="J47" i="28"/>
  <c r="E47" i="28"/>
  <c r="B47" i="28"/>
  <c r="K46" i="28"/>
  <c r="J46" i="28"/>
  <c r="E46" i="28"/>
  <c r="B46" i="28"/>
  <c r="K45" i="28"/>
  <c r="J45" i="28"/>
  <c r="E45" i="28"/>
  <c r="B45" i="28"/>
  <c r="K44" i="28"/>
  <c r="J44" i="28"/>
  <c r="E44" i="28"/>
  <c r="B44" i="28"/>
  <c r="K43" i="28"/>
  <c r="J43" i="28"/>
  <c r="E43" i="28"/>
  <c r="B43" i="28"/>
  <c r="K42" i="28"/>
  <c r="J42" i="28"/>
  <c r="E42" i="28"/>
  <c r="B42" i="28"/>
  <c r="K41" i="28"/>
  <c r="J41" i="28"/>
  <c r="E41" i="28"/>
  <c r="B41" i="28"/>
  <c r="K40" i="28"/>
  <c r="J40" i="28"/>
  <c r="E40" i="28"/>
  <c r="B40" i="28"/>
  <c r="K39" i="28"/>
  <c r="J39" i="28"/>
  <c r="E39" i="28"/>
  <c r="B39" i="28"/>
  <c r="K38" i="28"/>
  <c r="J38" i="28"/>
  <c r="E38" i="28"/>
  <c r="B38" i="28"/>
  <c r="K37" i="28"/>
  <c r="J37" i="28"/>
  <c r="E37" i="28"/>
  <c r="B37" i="28"/>
  <c r="K36" i="28"/>
  <c r="J36" i="28"/>
  <c r="E36" i="28"/>
  <c r="B36" i="28"/>
  <c r="K35" i="28"/>
  <c r="J35" i="28"/>
  <c r="E35" i="28"/>
  <c r="B35" i="28"/>
  <c r="K34" i="28"/>
  <c r="J34" i="28"/>
  <c r="E34" i="28"/>
  <c r="B34" i="28"/>
  <c r="K33" i="28"/>
  <c r="J33" i="28"/>
  <c r="E33" i="28"/>
  <c r="B33" i="28"/>
  <c r="K32" i="28"/>
  <c r="J32" i="28"/>
  <c r="E32" i="28"/>
  <c r="B32" i="28"/>
  <c r="K31" i="28"/>
  <c r="J31" i="28"/>
  <c r="E31" i="28"/>
  <c r="B31" i="28"/>
  <c r="K30" i="28"/>
  <c r="J30" i="28"/>
  <c r="E30" i="28"/>
  <c r="B30" i="28"/>
  <c r="K29" i="28"/>
  <c r="J29" i="28"/>
  <c r="E29" i="28"/>
  <c r="B29" i="28"/>
  <c r="K28" i="28"/>
  <c r="J28" i="28"/>
  <c r="E28" i="28"/>
  <c r="B28" i="28"/>
  <c r="K27" i="28"/>
  <c r="J27" i="28"/>
  <c r="E27" i="28"/>
  <c r="B27" i="28"/>
  <c r="K26" i="28"/>
  <c r="J26" i="28"/>
  <c r="E26" i="28"/>
  <c r="B26" i="28"/>
  <c r="K25" i="28"/>
  <c r="J25" i="28"/>
  <c r="E25" i="28"/>
  <c r="B25" i="28"/>
  <c r="K24" i="28"/>
  <c r="J24" i="28"/>
  <c r="E24" i="28"/>
  <c r="B24" i="28"/>
  <c r="K23" i="28"/>
  <c r="J23" i="28"/>
  <c r="E23" i="28"/>
  <c r="B23" i="28"/>
  <c r="K22" i="28"/>
  <c r="J22" i="28"/>
  <c r="E22" i="28"/>
  <c r="B22" i="28"/>
  <c r="K21" i="28"/>
  <c r="J21" i="28"/>
  <c r="E21" i="28"/>
  <c r="B21" i="28"/>
  <c r="K20" i="28"/>
  <c r="J20" i="28"/>
  <c r="E20" i="28"/>
  <c r="B20" i="28"/>
  <c r="K19" i="28"/>
  <c r="J19" i="28"/>
  <c r="E19" i="28"/>
  <c r="B19" i="28"/>
  <c r="K18" i="28"/>
  <c r="J18" i="28"/>
  <c r="E18" i="28"/>
  <c r="B18" i="28"/>
  <c r="K17" i="28"/>
  <c r="J17" i="28"/>
  <c r="E17" i="28"/>
  <c r="B17" i="28"/>
  <c r="K16" i="28"/>
  <c r="J16" i="28"/>
  <c r="E16" i="28"/>
  <c r="B16" i="28"/>
  <c r="K15" i="28"/>
  <c r="J15" i="28"/>
  <c r="E15" i="28"/>
  <c r="B15" i="28"/>
  <c r="K14" i="28"/>
  <c r="J14" i="28"/>
  <c r="E14" i="28"/>
  <c r="B14" i="28"/>
  <c r="K13" i="28"/>
  <c r="J13" i="28"/>
  <c r="E13" i="28"/>
  <c r="B13" i="28"/>
  <c r="K12" i="28"/>
  <c r="J12" i="28"/>
  <c r="E12" i="28"/>
  <c r="B12" i="28"/>
  <c r="A12" i="28"/>
  <c r="K11" i="28"/>
  <c r="J11" i="28"/>
  <c r="E11" i="28"/>
  <c r="B11" i="28"/>
  <c r="A11" i="28"/>
  <c r="J135" i="27"/>
  <c r="K135" i="27" s="1"/>
  <c r="E135" i="27"/>
  <c r="B135" i="27"/>
  <c r="J134" i="27"/>
  <c r="K134" i="27" s="1"/>
  <c r="E134" i="27"/>
  <c r="B134" i="27"/>
  <c r="J133" i="27"/>
  <c r="K133" i="27" s="1"/>
  <c r="E133" i="27"/>
  <c r="B133" i="27"/>
  <c r="J132" i="27"/>
  <c r="K132" i="27" s="1"/>
  <c r="E132" i="27"/>
  <c r="B132" i="27"/>
  <c r="J131" i="27"/>
  <c r="K131" i="27" s="1"/>
  <c r="E131" i="27"/>
  <c r="B131" i="27"/>
  <c r="J130" i="27"/>
  <c r="K130" i="27" s="1"/>
  <c r="E130" i="27"/>
  <c r="B130" i="27"/>
  <c r="J129" i="27"/>
  <c r="K129" i="27" s="1"/>
  <c r="E129" i="27"/>
  <c r="B129" i="27"/>
  <c r="J128" i="27"/>
  <c r="K128" i="27" s="1"/>
  <c r="E128" i="27"/>
  <c r="B128" i="27"/>
  <c r="J127" i="27"/>
  <c r="K127" i="27" s="1"/>
  <c r="E127" i="27"/>
  <c r="B127" i="27"/>
  <c r="J126" i="27"/>
  <c r="K126" i="27" s="1"/>
  <c r="E126" i="27"/>
  <c r="B126" i="27"/>
  <c r="J125" i="27"/>
  <c r="K125" i="27" s="1"/>
  <c r="E125" i="27"/>
  <c r="B125" i="27"/>
  <c r="J124" i="27"/>
  <c r="K124" i="27" s="1"/>
  <c r="E124" i="27"/>
  <c r="B124" i="27"/>
  <c r="J123" i="27"/>
  <c r="K123" i="27" s="1"/>
  <c r="E123" i="27"/>
  <c r="B123" i="27"/>
  <c r="J122" i="27"/>
  <c r="K122" i="27" s="1"/>
  <c r="E122" i="27"/>
  <c r="B122" i="27"/>
  <c r="J121" i="27"/>
  <c r="K121" i="27" s="1"/>
  <c r="E121" i="27"/>
  <c r="B121" i="27"/>
  <c r="J120" i="27"/>
  <c r="K120" i="27" s="1"/>
  <c r="E120" i="27"/>
  <c r="B120" i="27"/>
  <c r="J119" i="27"/>
  <c r="K119" i="27" s="1"/>
  <c r="E119" i="27"/>
  <c r="B119" i="27"/>
  <c r="J118" i="27"/>
  <c r="K118" i="27" s="1"/>
  <c r="E118" i="27"/>
  <c r="B118" i="27"/>
  <c r="K117" i="27"/>
  <c r="J117" i="27"/>
  <c r="E117" i="27"/>
  <c r="B117" i="27"/>
  <c r="K116" i="27"/>
  <c r="J116" i="27"/>
  <c r="E116" i="27"/>
  <c r="B116" i="27"/>
  <c r="A116" i="27"/>
  <c r="K115" i="27"/>
  <c r="J115" i="27"/>
  <c r="E115" i="27"/>
  <c r="B115" i="27"/>
  <c r="A115" i="27"/>
  <c r="K114" i="27"/>
  <c r="J114" i="27"/>
  <c r="E114" i="27"/>
  <c r="B114" i="27"/>
  <c r="A114" i="27"/>
  <c r="K113" i="27"/>
  <c r="J113" i="27"/>
  <c r="E113" i="27"/>
  <c r="B113" i="27"/>
  <c r="A113" i="27"/>
  <c r="K112" i="27"/>
  <c r="J112" i="27"/>
  <c r="E112" i="27"/>
  <c r="B112" i="27"/>
  <c r="A112" i="27"/>
  <c r="K111" i="27"/>
  <c r="J111" i="27"/>
  <c r="E111" i="27"/>
  <c r="B111" i="27"/>
  <c r="A111" i="27"/>
  <c r="K110" i="27"/>
  <c r="J110" i="27"/>
  <c r="E110" i="27"/>
  <c r="B110" i="27"/>
  <c r="A110" i="27"/>
  <c r="K109" i="27"/>
  <c r="J109" i="27"/>
  <c r="E109" i="27"/>
  <c r="B109" i="27"/>
  <c r="A109" i="27"/>
  <c r="K108" i="27"/>
  <c r="J108" i="27"/>
  <c r="E108" i="27"/>
  <c r="B108" i="27"/>
  <c r="A108" i="27"/>
  <c r="K107" i="27"/>
  <c r="J107" i="27"/>
  <c r="E107" i="27"/>
  <c r="B107" i="27"/>
  <c r="A107" i="27"/>
  <c r="K106" i="27"/>
  <c r="J106" i="27"/>
  <c r="E106" i="27"/>
  <c r="B106" i="27"/>
  <c r="A106" i="27"/>
  <c r="K105" i="27"/>
  <c r="J105" i="27"/>
  <c r="E105" i="27"/>
  <c r="B105" i="27"/>
  <c r="A105" i="27"/>
  <c r="K104" i="27"/>
  <c r="J104" i="27"/>
  <c r="E104" i="27"/>
  <c r="B104" i="27"/>
  <c r="A104" i="27"/>
  <c r="K103" i="27"/>
  <c r="J103" i="27"/>
  <c r="E103" i="27"/>
  <c r="B103" i="27"/>
  <c r="A103" i="27"/>
  <c r="K102" i="27"/>
  <c r="J102" i="27"/>
  <c r="E102" i="27"/>
  <c r="B102" i="27"/>
  <c r="A102" i="27"/>
  <c r="K101" i="27"/>
  <c r="J101" i="27"/>
  <c r="E101" i="27"/>
  <c r="B101" i="27"/>
  <c r="A101" i="27"/>
  <c r="K100" i="27"/>
  <c r="J100" i="27"/>
  <c r="E100" i="27"/>
  <c r="B100" i="27"/>
  <c r="A100" i="27"/>
  <c r="K99" i="27"/>
  <c r="J99" i="27"/>
  <c r="E99" i="27"/>
  <c r="B99" i="27"/>
  <c r="A99" i="27"/>
  <c r="K98" i="27"/>
  <c r="J98" i="27"/>
  <c r="E98" i="27"/>
  <c r="B98" i="27"/>
  <c r="A98" i="27"/>
  <c r="K97" i="27"/>
  <c r="J97" i="27"/>
  <c r="E97" i="27"/>
  <c r="B97" i="27"/>
  <c r="A97" i="27"/>
  <c r="K96" i="27"/>
  <c r="J96" i="27"/>
  <c r="E96" i="27"/>
  <c r="B96" i="27"/>
  <c r="A96" i="27"/>
  <c r="K95" i="27"/>
  <c r="J95" i="27"/>
  <c r="E95" i="27"/>
  <c r="B95" i="27"/>
  <c r="A95" i="27"/>
  <c r="K94" i="27"/>
  <c r="J94" i="27"/>
  <c r="E94" i="27"/>
  <c r="B94" i="27"/>
  <c r="A94" i="27"/>
  <c r="K93" i="27"/>
  <c r="J93" i="27"/>
  <c r="E93" i="27"/>
  <c r="B93" i="27"/>
  <c r="A93" i="27"/>
  <c r="K92" i="27"/>
  <c r="J92" i="27"/>
  <c r="E92" i="27"/>
  <c r="B92" i="27"/>
  <c r="A92" i="27"/>
  <c r="K91" i="27"/>
  <c r="J91" i="27"/>
  <c r="E91" i="27"/>
  <c r="B91" i="27"/>
  <c r="A91" i="27"/>
  <c r="K90" i="27"/>
  <c r="J90" i="27"/>
  <c r="E90" i="27"/>
  <c r="B90" i="27"/>
  <c r="K89" i="27"/>
  <c r="J89" i="27"/>
  <c r="E89" i="27"/>
  <c r="B89" i="27"/>
  <c r="K88" i="27"/>
  <c r="J88" i="27"/>
  <c r="E88" i="27"/>
  <c r="B88" i="27"/>
  <c r="K87" i="27"/>
  <c r="J87" i="27"/>
  <c r="E87" i="27"/>
  <c r="B87" i="27"/>
  <c r="K86" i="27"/>
  <c r="J86" i="27"/>
  <c r="E86" i="27"/>
  <c r="B86" i="27"/>
  <c r="K85" i="27"/>
  <c r="J85" i="27"/>
  <c r="E85" i="27"/>
  <c r="B85" i="27"/>
  <c r="K84" i="27"/>
  <c r="J84" i="27"/>
  <c r="E84" i="27"/>
  <c r="B84" i="27"/>
  <c r="K83" i="27"/>
  <c r="J83" i="27"/>
  <c r="E83" i="27"/>
  <c r="B83" i="27"/>
  <c r="K82" i="27"/>
  <c r="J82" i="27"/>
  <c r="E82" i="27"/>
  <c r="B82" i="27"/>
  <c r="K81" i="27"/>
  <c r="J81" i="27"/>
  <c r="E81" i="27"/>
  <c r="B81" i="27"/>
  <c r="K80" i="27"/>
  <c r="J80" i="27"/>
  <c r="E80" i="27"/>
  <c r="B80" i="27"/>
  <c r="K79" i="27"/>
  <c r="J79" i="27"/>
  <c r="E79" i="27"/>
  <c r="B79" i="27"/>
  <c r="K78" i="27"/>
  <c r="J78" i="27"/>
  <c r="E78" i="27"/>
  <c r="B78" i="27"/>
  <c r="K77" i="27"/>
  <c r="J77" i="27"/>
  <c r="E77" i="27"/>
  <c r="B77" i="27"/>
  <c r="K76" i="27"/>
  <c r="J76" i="27"/>
  <c r="E76" i="27"/>
  <c r="B76" i="27"/>
  <c r="K75" i="27"/>
  <c r="J75" i="27"/>
  <c r="E75" i="27"/>
  <c r="B75" i="27"/>
  <c r="K74" i="27"/>
  <c r="J74" i="27"/>
  <c r="E74" i="27"/>
  <c r="B74" i="27"/>
  <c r="K73" i="27"/>
  <c r="J73" i="27"/>
  <c r="E73" i="27"/>
  <c r="B73" i="27"/>
  <c r="K72" i="27"/>
  <c r="J72" i="27"/>
  <c r="E72" i="27"/>
  <c r="B72" i="27"/>
  <c r="K71" i="27"/>
  <c r="J71" i="27"/>
  <c r="E71" i="27"/>
  <c r="B71" i="27"/>
  <c r="K70" i="27"/>
  <c r="J70" i="27"/>
  <c r="E70" i="27"/>
  <c r="B70" i="27"/>
  <c r="K69" i="27"/>
  <c r="J69" i="27"/>
  <c r="E69" i="27"/>
  <c r="B69" i="27"/>
  <c r="K68" i="27"/>
  <c r="J68" i="27"/>
  <c r="E68" i="27"/>
  <c r="B68" i="27"/>
  <c r="K67" i="27"/>
  <c r="J67" i="27"/>
  <c r="E67" i="27"/>
  <c r="B67" i="27"/>
  <c r="K66" i="27"/>
  <c r="J66" i="27"/>
  <c r="E66" i="27"/>
  <c r="B66" i="27"/>
  <c r="K65" i="27"/>
  <c r="J65" i="27"/>
  <c r="E65" i="27"/>
  <c r="B65" i="27"/>
  <c r="K64" i="27"/>
  <c r="J64" i="27"/>
  <c r="E64" i="27"/>
  <c r="B64" i="27"/>
  <c r="K63" i="27"/>
  <c r="J63" i="27"/>
  <c r="E63" i="27"/>
  <c r="B63" i="27"/>
  <c r="K62" i="27"/>
  <c r="J62" i="27"/>
  <c r="E62" i="27"/>
  <c r="B62" i="27"/>
  <c r="K61" i="27"/>
  <c r="J61" i="27"/>
  <c r="E61" i="27"/>
  <c r="B61" i="27"/>
  <c r="K60" i="27"/>
  <c r="J60" i="27"/>
  <c r="E60" i="27"/>
  <c r="B60" i="27"/>
  <c r="K59" i="27"/>
  <c r="J59" i="27"/>
  <c r="E59" i="27"/>
  <c r="B59" i="27"/>
  <c r="K58" i="27"/>
  <c r="J58" i="27"/>
  <c r="E58" i="27"/>
  <c r="B58" i="27"/>
  <c r="K57" i="27"/>
  <c r="J57" i="27"/>
  <c r="E57" i="27"/>
  <c r="B57" i="27"/>
  <c r="K56" i="27"/>
  <c r="J56" i="27"/>
  <c r="E56" i="27"/>
  <c r="B56" i="27"/>
  <c r="K55" i="27"/>
  <c r="J55" i="27"/>
  <c r="E55" i="27"/>
  <c r="B55" i="27"/>
  <c r="K54" i="27"/>
  <c r="J54" i="27"/>
  <c r="E54" i="27"/>
  <c r="B54" i="27"/>
  <c r="K53" i="27"/>
  <c r="J53" i="27"/>
  <c r="E53" i="27"/>
  <c r="B53" i="27"/>
  <c r="K52" i="27"/>
  <c r="J52" i="27"/>
  <c r="E52" i="27"/>
  <c r="B52" i="27"/>
  <c r="J51" i="27"/>
  <c r="K51" i="27" s="1"/>
  <c r="E51" i="27"/>
  <c r="B51" i="27"/>
  <c r="J50" i="27"/>
  <c r="K50" i="27" s="1"/>
  <c r="E50" i="27"/>
  <c r="B50" i="27"/>
  <c r="J49" i="27"/>
  <c r="K49" i="27" s="1"/>
  <c r="E49" i="27"/>
  <c r="B49" i="27"/>
  <c r="J48" i="27"/>
  <c r="K48" i="27" s="1"/>
  <c r="E48" i="27"/>
  <c r="B48" i="27"/>
  <c r="J47" i="27"/>
  <c r="K47" i="27" s="1"/>
  <c r="E47" i="27"/>
  <c r="B47" i="27"/>
  <c r="J46" i="27"/>
  <c r="K46" i="27" s="1"/>
  <c r="E46" i="27"/>
  <c r="B46" i="27"/>
  <c r="J45" i="27"/>
  <c r="K45" i="27" s="1"/>
  <c r="E45" i="27"/>
  <c r="B45" i="27"/>
  <c r="J44" i="27"/>
  <c r="K44" i="27" s="1"/>
  <c r="E44" i="27"/>
  <c r="B44" i="27"/>
  <c r="J43" i="27"/>
  <c r="K43" i="27" s="1"/>
  <c r="E43" i="27"/>
  <c r="B43" i="27"/>
  <c r="J42" i="27"/>
  <c r="K42" i="27" s="1"/>
  <c r="E42" i="27"/>
  <c r="B42" i="27"/>
  <c r="J41" i="27"/>
  <c r="K41" i="27" s="1"/>
  <c r="E41" i="27"/>
  <c r="B41" i="27"/>
  <c r="J40" i="27"/>
  <c r="K40" i="27" s="1"/>
  <c r="E40" i="27"/>
  <c r="B40" i="27"/>
  <c r="J39" i="27"/>
  <c r="K39" i="27" s="1"/>
  <c r="E39" i="27"/>
  <c r="B39" i="27"/>
  <c r="J38" i="27"/>
  <c r="K38" i="27" s="1"/>
  <c r="E38" i="27"/>
  <c r="B38" i="27"/>
  <c r="J37" i="27"/>
  <c r="K37" i="27" s="1"/>
  <c r="E37" i="27"/>
  <c r="B37" i="27"/>
  <c r="J36" i="27"/>
  <c r="K36" i="27" s="1"/>
  <c r="E36" i="27"/>
  <c r="B36" i="27"/>
  <c r="J35" i="27"/>
  <c r="K35" i="27" s="1"/>
  <c r="E35" i="27"/>
  <c r="B35" i="27"/>
  <c r="J34" i="27"/>
  <c r="K34" i="27" s="1"/>
  <c r="E34" i="27"/>
  <c r="B34" i="27"/>
  <c r="J33" i="27"/>
  <c r="K33" i="27" s="1"/>
  <c r="E33" i="27"/>
  <c r="B33" i="27"/>
  <c r="J32" i="27"/>
  <c r="K32" i="27" s="1"/>
  <c r="E32" i="27"/>
  <c r="B32" i="27"/>
  <c r="J31" i="27"/>
  <c r="K31" i="27" s="1"/>
  <c r="E31" i="27"/>
  <c r="B31" i="27"/>
  <c r="J30" i="27"/>
  <c r="K30" i="27" s="1"/>
  <c r="E30" i="27"/>
  <c r="B30" i="27"/>
  <c r="J29" i="27"/>
  <c r="K29" i="27" s="1"/>
  <c r="E29" i="27"/>
  <c r="B29" i="27"/>
  <c r="J28" i="27"/>
  <c r="K28" i="27" s="1"/>
  <c r="E28" i="27"/>
  <c r="B28" i="27"/>
  <c r="J27" i="27"/>
  <c r="K27" i="27" s="1"/>
  <c r="E27" i="27"/>
  <c r="B27" i="27"/>
  <c r="J26" i="27"/>
  <c r="K26" i="27" s="1"/>
  <c r="E26" i="27"/>
  <c r="B26" i="27"/>
  <c r="J25" i="27"/>
  <c r="K25" i="27" s="1"/>
  <c r="E25" i="27"/>
  <c r="B25" i="27"/>
  <c r="J24" i="27"/>
  <c r="K24" i="27" s="1"/>
  <c r="E24" i="27"/>
  <c r="B24" i="27"/>
  <c r="J23" i="27"/>
  <c r="K23" i="27" s="1"/>
  <c r="E23" i="27"/>
  <c r="B23" i="27"/>
  <c r="J22" i="27"/>
  <c r="K22" i="27" s="1"/>
  <c r="E22" i="27"/>
  <c r="B22" i="27"/>
  <c r="J21" i="27"/>
  <c r="K21" i="27" s="1"/>
  <c r="E21" i="27"/>
  <c r="B21" i="27"/>
  <c r="J20" i="27"/>
  <c r="K20" i="27" s="1"/>
  <c r="E20" i="27"/>
  <c r="B20" i="27"/>
  <c r="J19" i="27"/>
  <c r="K19" i="27" s="1"/>
  <c r="E19" i="27"/>
  <c r="B19" i="27"/>
  <c r="J18" i="27"/>
  <c r="K18" i="27" s="1"/>
  <c r="E18" i="27"/>
  <c r="B18" i="27"/>
  <c r="J17" i="27"/>
  <c r="K17" i="27" s="1"/>
  <c r="E17" i="27"/>
  <c r="B17" i="27"/>
  <c r="J16" i="27"/>
  <c r="K16" i="27" s="1"/>
  <c r="E16" i="27"/>
  <c r="B16" i="27"/>
  <c r="J15" i="27"/>
  <c r="K15" i="27" s="1"/>
  <c r="E15" i="27"/>
  <c r="B15" i="27"/>
  <c r="J14" i="27"/>
  <c r="K14" i="27" s="1"/>
  <c r="E14" i="27"/>
  <c r="B14" i="27"/>
  <c r="J13" i="27"/>
  <c r="K13" i="27" s="1"/>
  <c r="E13" i="27"/>
  <c r="B13" i="27"/>
  <c r="J12" i="27"/>
  <c r="K12" i="27" s="1"/>
  <c r="E12" i="27"/>
  <c r="B12" i="27"/>
  <c r="A12" i="27"/>
  <c r="J11" i="27"/>
  <c r="K11" i="27" s="1"/>
  <c r="E11" i="27"/>
  <c r="B11" i="27"/>
  <c r="A11" i="27"/>
  <c r="J135" i="26"/>
  <c r="K135" i="26" s="1"/>
  <c r="E135" i="26"/>
  <c r="B135" i="26"/>
  <c r="J134" i="26"/>
  <c r="K134" i="26" s="1"/>
  <c r="E134" i="26"/>
  <c r="B134" i="26"/>
  <c r="J133" i="26"/>
  <c r="K133" i="26" s="1"/>
  <c r="E133" i="26"/>
  <c r="B133" i="26"/>
  <c r="J132" i="26"/>
  <c r="K132" i="26" s="1"/>
  <c r="E132" i="26"/>
  <c r="B132" i="26"/>
  <c r="J131" i="26"/>
  <c r="K131" i="26" s="1"/>
  <c r="E131" i="26"/>
  <c r="B131" i="26"/>
  <c r="J130" i="26"/>
  <c r="K130" i="26" s="1"/>
  <c r="E130" i="26"/>
  <c r="B130" i="26"/>
  <c r="J129" i="26"/>
  <c r="K129" i="26" s="1"/>
  <c r="E129" i="26"/>
  <c r="B129" i="26"/>
  <c r="J128" i="26"/>
  <c r="K128" i="26" s="1"/>
  <c r="E128" i="26"/>
  <c r="B128" i="26"/>
  <c r="J127" i="26"/>
  <c r="K127" i="26" s="1"/>
  <c r="E127" i="26"/>
  <c r="B127" i="26"/>
  <c r="J126" i="26"/>
  <c r="K126" i="26" s="1"/>
  <c r="E126" i="26"/>
  <c r="B126" i="26"/>
  <c r="J125" i="26"/>
  <c r="K125" i="26" s="1"/>
  <c r="E125" i="26"/>
  <c r="B125" i="26"/>
  <c r="J124" i="26"/>
  <c r="K124" i="26" s="1"/>
  <c r="E124" i="26"/>
  <c r="B124" i="26"/>
  <c r="J123" i="26"/>
  <c r="K123" i="26" s="1"/>
  <c r="E123" i="26"/>
  <c r="B123" i="26"/>
  <c r="J122" i="26"/>
  <c r="K122" i="26" s="1"/>
  <c r="E122" i="26"/>
  <c r="B122" i="26"/>
  <c r="J121" i="26"/>
  <c r="K121" i="26" s="1"/>
  <c r="E121" i="26"/>
  <c r="B121" i="26"/>
  <c r="J120" i="26"/>
  <c r="K120" i="26" s="1"/>
  <c r="E120" i="26"/>
  <c r="B120" i="26"/>
  <c r="J119" i="26"/>
  <c r="K119" i="26" s="1"/>
  <c r="E119" i="26"/>
  <c r="B119" i="26"/>
  <c r="J118" i="26"/>
  <c r="K118" i="26" s="1"/>
  <c r="E118" i="26"/>
  <c r="B118" i="26"/>
  <c r="J117" i="26"/>
  <c r="K117" i="26" s="1"/>
  <c r="E117" i="26"/>
  <c r="B117" i="26"/>
  <c r="J116" i="26"/>
  <c r="K116" i="26" s="1"/>
  <c r="E116" i="26"/>
  <c r="B116" i="26"/>
  <c r="A116" i="26"/>
  <c r="J115" i="26"/>
  <c r="K115" i="26" s="1"/>
  <c r="E115" i="26"/>
  <c r="B115" i="26"/>
  <c r="A115" i="26"/>
  <c r="J114" i="26"/>
  <c r="K114" i="26" s="1"/>
  <c r="E114" i="26"/>
  <c r="B114" i="26"/>
  <c r="A114" i="26"/>
  <c r="J113" i="26"/>
  <c r="K113" i="26" s="1"/>
  <c r="E113" i="26"/>
  <c r="B113" i="26"/>
  <c r="A113" i="26"/>
  <c r="J112" i="26"/>
  <c r="K112" i="26" s="1"/>
  <c r="E112" i="26"/>
  <c r="B112" i="26"/>
  <c r="A112" i="26"/>
  <c r="J111" i="26"/>
  <c r="K111" i="26" s="1"/>
  <c r="E111" i="26"/>
  <c r="B111" i="26"/>
  <c r="A111" i="26"/>
  <c r="J110" i="26"/>
  <c r="K110" i="26" s="1"/>
  <c r="E110" i="26"/>
  <c r="B110" i="26"/>
  <c r="A110" i="26"/>
  <c r="J109" i="26"/>
  <c r="K109" i="26" s="1"/>
  <c r="E109" i="26"/>
  <c r="B109" i="26"/>
  <c r="A109" i="26"/>
  <c r="J108" i="26"/>
  <c r="K108" i="26" s="1"/>
  <c r="E108" i="26"/>
  <c r="B108" i="26"/>
  <c r="A108" i="26"/>
  <c r="J107" i="26"/>
  <c r="K107" i="26" s="1"/>
  <c r="E107" i="26"/>
  <c r="B107" i="26"/>
  <c r="A107" i="26"/>
  <c r="J106" i="26"/>
  <c r="K106" i="26" s="1"/>
  <c r="E106" i="26"/>
  <c r="B106" i="26"/>
  <c r="A106" i="26"/>
  <c r="J105" i="26"/>
  <c r="K105" i="26" s="1"/>
  <c r="E105" i="26"/>
  <c r="B105" i="26"/>
  <c r="A105" i="26"/>
  <c r="J104" i="26"/>
  <c r="K104" i="26" s="1"/>
  <c r="E104" i="26"/>
  <c r="B104" i="26"/>
  <c r="A104" i="26"/>
  <c r="J103" i="26"/>
  <c r="K103" i="26" s="1"/>
  <c r="E103" i="26"/>
  <c r="B103" i="26"/>
  <c r="A103" i="26"/>
  <c r="J102" i="26"/>
  <c r="K102" i="26" s="1"/>
  <c r="E102" i="26"/>
  <c r="B102" i="26"/>
  <c r="A102" i="26"/>
  <c r="J101" i="26"/>
  <c r="K101" i="26" s="1"/>
  <c r="E101" i="26"/>
  <c r="B101" i="26"/>
  <c r="A101" i="26"/>
  <c r="J100" i="26"/>
  <c r="K100" i="26" s="1"/>
  <c r="E100" i="26"/>
  <c r="B100" i="26"/>
  <c r="A100" i="26"/>
  <c r="J99" i="26"/>
  <c r="K99" i="26" s="1"/>
  <c r="E99" i="26"/>
  <c r="B99" i="26"/>
  <c r="A99" i="26"/>
  <c r="J98" i="26"/>
  <c r="K98" i="26" s="1"/>
  <c r="E98" i="26"/>
  <c r="B98" i="26"/>
  <c r="A98" i="26"/>
  <c r="J97" i="26"/>
  <c r="K97" i="26" s="1"/>
  <c r="E97" i="26"/>
  <c r="B97" i="26"/>
  <c r="A97" i="26"/>
  <c r="J96" i="26"/>
  <c r="K96" i="26" s="1"/>
  <c r="E96" i="26"/>
  <c r="B96" i="26"/>
  <c r="A96" i="26"/>
  <c r="J95" i="26"/>
  <c r="K95" i="26" s="1"/>
  <c r="E95" i="26"/>
  <c r="B95" i="26"/>
  <c r="A95" i="26"/>
  <c r="J94" i="26"/>
  <c r="K94" i="26" s="1"/>
  <c r="E94" i="26"/>
  <c r="B94" i="26"/>
  <c r="A94" i="26"/>
  <c r="J93" i="26"/>
  <c r="K93" i="26" s="1"/>
  <c r="E93" i="26"/>
  <c r="B93" i="26"/>
  <c r="A93" i="26"/>
  <c r="J92" i="26"/>
  <c r="K92" i="26" s="1"/>
  <c r="E92" i="26"/>
  <c r="B92" i="26"/>
  <c r="A92" i="26"/>
  <c r="J91" i="26"/>
  <c r="K91" i="26" s="1"/>
  <c r="E91" i="26"/>
  <c r="B91" i="26"/>
  <c r="A91" i="26"/>
  <c r="J90" i="26"/>
  <c r="K90" i="26" s="1"/>
  <c r="E90" i="26"/>
  <c r="B90" i="26"/>
  <c r="J89" i="26"/>
  <c r="K89" i="26" s="1"/>
  <c r="E89" i="26"/>
  <c r="B89" i="26"/>
  <c r="J88" i="26"/>
  <c r="K88" i="26" s="1"/>
  <c r="E88" i="26"/>
  <c r="B88" i="26"/>
  <c r="J87" i="26"/>
  <c r="K87" i="26" s="1"/>
  <c r="E87" i="26"/>
  <c r="B87" i="26"/>
  <c r="J86" i="26"/>
  <c r="K86" i="26" s="1"/>
  <c r="E86" i="26"/>
  <c r="B86" i="26"/>
  <c r="J85" i="26"/>
  <c r="K85" i="26" s="1"/>
  <c r="E85" i="26"/>
  <c r="B85" i="26"/>
  <c r="J84" i="26"/>
  <c r="K84" i="26" s="1"/>
  <c r="E84" i="26"/>
  <c r="B84" i="26"/>
  <c r="J83" i="26"/>
  <c r="K83" i="26" s="1"/>
  <c r="E83" i="26"/>
  <c r="B83" i="26"/>
  <c r="J82" i="26"/>
  <c r="K82" i="26" s="1"/>
  <c r="E82" i="26"/>
  <c r="B82" i="26"/>
  <c r="J81" i="26"/>
  <c r="K81" i="26" s="1"/>
  <c r="E81" i="26"/>
  <c r="B81" i="26"/>
  <c r="J80" i="26"/>
  <c r="K80" i="26" s="1"/>
  <c r="E80" i="26"/>
  <c r="B80" i="26"/>
  <c r="J79" i="26"/>
  <c r="K79" i="26" s="1"/>
  <c r="E79" i="26"/>
  <c r="B79" i="26"/>
  <c r="J78" i="26"/>
  <c r="K78" i="26" s="1"/>
  <c r="E78" i="26"/>
  <c r="B78" i="26"/>
  <c r="J77" i="26"/>
  <c r="K77" i="26" s="1"/>
  <c r="E77" i="26"/>
  <c r="B77" i="26"/>
  <c r="J76" i="26"/>
  <c r="K76" i="26" s="1"/>
  <c r="E76" i="26"/>
  <c r="B76" i="26"/>
  <c r="J75" i="26"/>
  <c r="K75" i="26" s="1"/>
  <c r="E75" i="26"/>
  <c r="B75" i="26"/>
  <c r="J74" i="26"/>
  <c r="K74" i="26" s="1"/>
  <c r="E74" i="26"/>
  <c r="B74" i="26"/>
  <c r="J73" i="26"/>
  <c r="K73" i="26" s="1"/>
  <c r="E73" i="26"/>
  <c r="B73" i="26"/>
  <c r="J72" i="26"/>
  <c r="K72" i="26" s="1"/>
  <c r="E72" i="26"/>
  <c r="B72" i="26"/>
  <c r="J71" i="26"/>
  <c r="K71" i="26" s="1"/>
  <c r="E71" i="26"/>
  <c r="B71" i="26"/>
  <c r="J70" i="26"/>
  <c r="K70" i="26" s="1"/>
  <c r="E70" i="26"/>
  <c r="B70" i="26"/>
  <c r="J69" i="26"/>
  <c r="K69" i="26" s="1"/>
  <c r="E69" i="26"/>
  <c r="B69" i="26"/>
  <c r="J68" i="26"/>
  <c r="K68" i="26" s="1"/>
  <c r="E68" i="26"/>
  <c r="B68" i="26"/>
  <c r="J67" i="26"/>
  <c r="K67" i="26" s="1"/>
  <c r="E67" i="26"/>
  <c r="B67" i="26"/>
  <c r="J66" i="26"/>
  <c r="K66" i="26" s="1"/>
  <c r="E66" i="26"/>
  <c r="B66" i="26"/>
  <c r="J65" i="26"/>
  <c r="K65" i="26" s="1"/>
  <c r="E65" i="26"/>
  <c r="B65" i="26"/>
  <c r="J64" i="26"/>
  <c r="K64" i="26" s="1"/>
  <c r="E64" i="26"/>
  <c r="B64" i="26"/>
  <c r="J63" i="26"/>
  <c r="K63" i="26" s="1"/>
  <c r="E63" i="26"/>
  <c r="B63" i="26"/>
  <c r="J62" i="26"/>
  <c r="K62" i="26" s="1"/>
  <c r="E62" i="26"/>
  <c r="B62" i="26"/>
  <c r="J61" i="26"/>
  <c r="K61" i="26" s="1"/>
  <c r="E61" i="26"/>
  <c r="B61" i="26"/>
  <c r="J60" i="26"/>
  <c r="K60" i="26" s="1"/>
  <c r="E60" i="26"/>
  <c r="B60" i="26"/>
  <c r="J59" i="26"/>
  <c r="K59" i="26" s="1"/>
  <c r="E59" i="26"/>
  <c r="B59" i="26"/>
  <c r="J58" i="26"/>
  <c r="K58" i="26" s="1"/>
  <c r="E58" i="26"/>
  <c r="B58" i="26"/>
  <c r="J57" i="26"/>
  <c r="K57" i="26" s="1"/>
  <c r="E57" i="26"/>
  <c r="B57" i="26"/>
  <c r="J56" i="26"/>
  <c r="K56" i="26" s="1"/>
  <c r="E56" i="26"/>
  <c r="B56" i="26"/>
  <c r="J55" i="26"/>
  <c r="K55" i="26" s="1"/>
  <c r="E55" i="26"/>
  <c r="B55" i="26"/>
  <c r="J54" i="26"/>
  <c r="K54" i="26" s="1"/>
  <c r="E54" i="26"/>
  <c r="B54" i="26"/>
  <c r="J53" i="26"/>
  <c r="K53" i="26" s="1"/>
  <c r="E53" i="26"/>
  <c r="B53" i="26"/>
  <c r="J52" i="26"/>
  <c r="K52" i="26" s="1"/>
  <c r="E52" i="26"/>
  <c r="B52" i="26"/>
  <c r="J51" i="26"/>
  <c r="K51" i="26" s="1"/>
  <c r="E51" i="26"/>
  <c r="B51" i="26"/>
  <c r="K50" i="26"/>
  <c r="J50" i="26"/>
  <c r="E50" i="26"/>
  <c r="B50" i="26"/>
  <c r="K49" i="26"/>
  <c r="J49" i="26"/>
  <c r="E49" i="26"/>
  <c r="B49" i="26"/>
  <c r="K48" i="26"/>
  <c r="J48" i="26"/>
  <c r="E48" i="26"/>
  <c r="B48" i="26"/>
  <c r="K47" i="26"/>
  <c r="J47" i="26"/>
  <c r="E47" i="26"/>
  <c r="B47" i="26"/>
  <c r="K46" i="26"/>
  <c r="J46" i="26"/>
  <c r="E46" i="26"/>
  <c r="B46" i="26"/>
  <c r="K45" i="26"/>
  <c r="J45" i="26"/>
  <c r="E45" i="26"/>
  <c r="B45" i="26"/>
  <c r="K44" i="26"/>
  <c r="J44" i="26"/>
  <c r="E44" i="26"/>
  <c r="B44" i="26"/>
  <c r="K43" i="26"/>
  <c r="J43" i="26"/>
  <c r="E43" i="26"/>
  <c r="B43" i="26"/>
  <c r="K42" i="26"/>
  <c r="J42" i="26"/>
  <c r="E42" i="26"/>
  <c r="B42" i="26"/>
  <c r="K41" i="26"/>
  <c r="J41" i="26"/>
  <c r="E41" i="26"/>
  <c r="B41" i="26"/>
  <c r="K40" i="26"/>
  <c r="J40" i="26"/>
  <c r="E40" i="26"/>
  <c r="B40" i="26"/>
  <c r="K39" i="26"/>
  <c r="J39" i="26"/>
  <c r="E39" i="26"/>
  <c r="B39" i="26"/>
  <c r="K38" i="26"/>
  <c r="J38" i="26"/>
  <c r="E38" i="26"/>
  <c r="B38" i="26"/>
  <c r="K37" i="26"/>
  <c r="J37" i="26"/>
  <c r="E37" i="26"/>
  <c r="B37" i="26"/>
  <c r="K36" i="26"/>
  <c r="J36" i="26"/>
  <c r="E36" i="26"/>
  <c r="B36" i="26"/>
  <c r="K35" i="26"/>
  <c r="J35" i="26"/>
  <c r="E35" i="26"/>
  <c r="B35" i="26"/>
  <c r="K34" i="26"/>
  <c r="J34" i="26"/>
  <c r="E34" i="26"/>
  <c r="B34" i="26"/>
  <c r="K33" i="26"/>
  <c r="J33" i="26"/>
  <c r="E33" i="26"/>
  <c r="B33" i="26"/>
  <c r="K32" i="26"/>
  <c r="J32" i="26"/>
  <c r="E32" i="26"/>
  <c r="B32" i="26"/>
  <c r="K31" i="26"/>
  <c r="J31" i="26"/>
  <c r="E31" i="26"/>
  <c r="B31" i="26"/>
  <c r="K30" i="26"/>
  <c r="J30" i="26"/>
  <c r="E30" i="26"/>
  <c r="B30" i="26"/>
  <c r="K29" i="26"/>
  <c r="J29" i="26"/>
  <c r="E29" i="26"/>
  <c r="B29" i="26"/>
  <c r="K28" i="26"/>
  <c r="J28" i="26"/>
  <c r="E28" i="26"/>
  <c r="B28" i="26"/>
  <c r="K27" i="26"/>
  <c r="J27" i="26"/>
  <c r="E27" i="26"/>
  <c r="B27" i="26"/>
  <c r="K26" i="26"/>
  <c r="J26" i="26"/>
  <c r="E26" i="26"/>
  <c r="B26" i="26"/>
  <c r="K25" i="26"/>
  <c r="J25" i="26"/>
  <c r="E25" i="26"/>
  <c r="B25" i="26"/>
  <c r="K24" i="26"/>
  <c r="J24" i="26"/>
  <c r="E24" i="26"/>
  <c r="B24" i="26"/>
  <c r="K23" i="26"/>
  <c r="J23" i="26"/>
  <c r="E23" i="26"/>
  <c r="B23" i="26"/>
  <c r="K22" i="26"/>
  <c r="J22" i="26"/>
  <c r="E22" i="26"/>
  <c r="B22" i="26"/>
  <c r="K21" i="26"/>
  <c r="J21" i="26"/>
  <c r="E21" i="26"/>
  <c r="B21" i="26"/>
  <c r="K20" i="26"/>
  <c r="J20" i="26"/>
  <c r="E20" i="26"/>
  <c r="B20" i="26"/>
  <c r="K19" i="26"/>
  <c r="J19" i="26"/>
  <c r="E19" i="26"/>
  <c r="B19" i="26"/>
  <c r="K18" i="26"/>
  <c r="J18" i="26"/>
  <c r="E18" i="26"/>
  <c r="B18" i="26"/>
  <c r="K17" i="26"/>
  <c r="J17" i="26"/>
  <c r="E17" i="26"/>
  <c r="B17" i="26"/>
  <c r="K16" i="26"/>
  <c r="J16" i="26"/>
  <c r="E16" i="26"/>
  <c r="B16" i="26"/>
  <c r="K15" i="26"/>
  <c r="J15" i="26"/>
  <c r="E15" i="26"/>
  <c r="B15" i="26"/>
  <c r="K14" i="26"/>
  <c r="J14" i="26"/>
  <c r="E14" i="26"/>
  <c r="B14" i="26"/>
  <c r="K13" i="26"/>
  <c r="J13" i="26"/>
  <c r="E13" i="26"/>
  <c r="B13" i="26"/>
  <c r="K12" i="26"/>
  <c r="J12" i="26"/>
  <c r="E12" i="26"/>
  <c r="B12" i="26"/>
  <c r="A12" i="26"/>
  <c r="K11" i="26"/>
  <c r="J11" i="26"/>
  <c r="E11" i="26"/>
  <c r="B11" i="26"/>
  <c r="A11" i="26"/>
  <c r="J135" i="25"/>
  <c r="K135" i="25" s="1"/>
  <c r="E135" i="25"/>
  <c r="B135" i="25"/>
  <c r="J134" i="25"/>
  <c r="K134" i="25" s="1"/>
  <c r="E134" i="25"/>
  <c r="B134" i="25"/>
  <c r="J133" i="25"/>
  <c r="K133" i="25" s="1"/>
  <c r="E133" i="25"/>
  <c r="B133" i="25"/>
  <c r="J132" i="25"/>
  <c r="K132" i="25" s="1"/>
  <c r="E132" i="25"/>
  <c r="B132" i="25"/>
  <c r="J131" i="25"/>
  <c r="K131" i="25" s="1"/>
  <c r="E131" i="25"/>
  <c r="B131" i="25"/>
  <c r="J130" i="25"/>
  <c r="K130" i="25" s="1"/>
  <c r="E130" i="25"/>
  <c r="B130" i="25"/>
  <c r="J129" i="25"/>
  <c r="K129" i="25" s="1"/>
  <c r="E129" i="25"/>
  <c r="B129" i="25"/>
  <c r="J128" i="25"/>
  <c r="K128" i="25" s="1"/>
  <c r="E128" i="25"/>
  <c r="B128" i="25"/>
  <c r="J127" i="25"/>
  <c r="K127" i="25" s="1"/>
  <c r="E127" i="25"/>
  <c r="B127" i="25"/>
  <c r="J126" i="25"/>
  <c r="K126" i="25" s="1"/>
  <c r="E126" i="25"/>
  <c r="B126" i="25"/>
  <c r="J125" i="25"/>
  <c r="K125" i="25" s="1"/>
  <c r="E125" i="25"/>
  <c r="B125" i="25"/>
  <c r="J124" i="25"/>
  <c r="K124" i="25" s="1"/>
  <c r="E124" i="25"/>
  <c r="B124" i="25"/>
  <c r="J123" i="25"/>
  <c r="K123" i="25" s="1"/>
  <c r="E123" i="25"/>
  <c r="B123" i="25"/>
  <c r="J122" i="25"/>
  <c r="K122" i="25" s="1"/>
  <c r="E122" i="25"/>
  <c r="B122" i="25"/>
  <c r="J121" i="25"/>
  <c r="K121" i="25" s="1"/>
  <c r="E121" i="25"/>
  <c r="B121" i="25"/>
  <c r="J120" i="25"/>
  <c r="K120" i="25" s="1"/>
  <c r="E120" i="25"/>
  <c r="B120" i="25"/>
  <c r="J119" i="25"/>
  <c r="K119" i="25" s="1"/>
  <c r="E119" i="25"/>
  <c r="B119" i="25"/>
  <c r="J118" i="25"/>
  <c r="K118" i="25" s="1"/>
  <c r="E118" i="25"/>
  <c r="B118" i="25"/>
  <c r="J117" i="25"/>
  <c r="K117" i="25" s="1"/>
  <c r="E117" i="25"/>
  <c r="B117" i="25"/>
  <c r="J116" i="25"/>
  <c r="K116" i="25" s="1"/>
  <c r="E116" i="25"/>
  <c r="B116" i="25"/>
  <c r="A116" i="25"/>
  <c r="J115" i="25"/>
  <c r="K115" i="25" s="1"/>
  <c r="E115" i="25"/>
  <c r="B115" i="25"/>
  <c r="A115" i="25"/>
  <c r="J114" i="25"/>
  <c r="K114" i="25" s="1"/>
  <c r="E114" i="25"/>
  <c r="B114" i="25"/>
  <c r="A114" i="25"/>
  <c r="J113" i="25"/>
  <c r="K113" i="25" s="1"/>
  <c r="E113" i="25"/>
  <c r="B113" i="25"/>
  <c r="A113" i="25"/>
  <c r="J112" i="25"/>
  <c r="K112" i="25" s="1"/>
  <c r="E112" i="25"/>
  <c r="B112" i="25"/>
  <c r="A112" i="25"/>
  <c r="J111" i="25"/>
  <c r="K111" i="25" s="1"/>
  <c r="E111" i="25"/>
  <c r="B111" i="25"/>
  <c r="A111" i="25"/>
  <c r="J110" i="25"/>
  <c r="K110" i="25" s="1"/>
  <c r="E110" i="25"/>
  <c r="B110" i="25"/>
  <c r="A110" i="25"/>
  <c r="J109" i="25"/>
  <c r="K109" i="25" s="1"/>
  <c r="E109" i="25"/>
  <c r="B109" i="25"/>
  <c r="A109" i="25"/>
  <c r="J108" i="25"/>
  <c r="K108" i="25" s="1"/>
  <c r="E108" i="25"/>
  <c r="B108" i="25"/>
  <c r="A108" i="25"/>
  <c r="J107" i="25"/>
  <c r="K107" i="25" s="1"/>
  <c r="E107" i="25"/>
  <c r="B107" i="25"/>
  <c r="A107" i="25"/>
  <c r="J106" i="25"/>
  <c r="K106" i="25" s="1"/>
  <c r="E106" i="25"/>
  <c r="B106" i="25"/>
  <c r="A106" i="25"/>
  <c r="J105" i="25"/>
  <c r="K105" i="25" s="1"/>
  <c r="E105" i="25"/>
  <c r="B105" i="25"/>
  <c r="A105" i="25"/>
  <c r="J104" i="25"/>
  <c r="K104" i="25" s="1"/>
  <c r="E104" i="25"/>
  <c r="B104" i="25"/>
  <c r="A104" i="25"/>
  <c r="J103" i="25"/>
  <c r="K103" i="25" s="1"/>
  <c r="E103" i="25"/>
  <c r="B103" i="25"/>
  <c r="A103" i="25"/>
  <c r="J102" i="25"/>
  <c r="K102" i="25" s="1"/>
  <c r="E102" i="25"/>
  <c r="B102" i="25"/>
  <c r="A102" i="25"/>
  <c r="J101" i="25"/>
  <c r="K101" i="25" s="1"/>
  <c r="E101" i="25"/>
  <c r="B101" i="25"/>
  <c r="A101" i="25"/>
  <c r="J100" i="25"/>
  <c r="K100" i="25" s="1"/>
  <c r="E100" i="25"/>
  <c r="B100" i="25"/>
  <c r="A100" i="25"/>
  <c r="J99" i="25"/>
  <c r="K99" i="25" s="1"/>
  <c r="E99" i="25"/>
  <c r="B99" i="25"/>
  <c r="A99" i="25"/>
  <c r="J98" i="25"/>
  <c r="K98" i="25" s="1"/>
  <c r="E98" i="25"/>
  <c r="B98" i="25"/>
  <c r="A98" i="25"/>
  <c r="J97" i="25"/>
  <c r="K97" i="25" s="1"/>
  <c r="E97" i="25"/>
  <c r="B97" i="25"/>
  <c r="A97" i="25"/>
  <c r="J96" i="25"/>
  <c r="K96" i="25" s="1"/>
  <c r="E96" i="25"/>
  <c r="B96" i="25"/>
  <c r="A96" i="25"/>
  <c r="J95" i="25"/>
  <c r="K95" i="25" s="1"/>
  <c r="E95" i="25"/>
  <c r="B95" i="25"/>
  <c r="A95" i="25"/>
  <c r="J94" i="25"/>
  <c r="K94" i="25" s="1"/>
  <c r="E94" i="25"/>
  <c r="B94" i="25"/>
  <c r="A94" i="25"/>
  <c r="J93" i="25"/>
  <c r="K93" i="25" s="1"/>
  <c r="E93" i="25"/>
  <c r="B93" i="25"/>
  <c r="A93" i="25"/>
  <c r="J92" i="25"/>
  <c r="K92" i="25" s="1"/>
  <c r="E92" i="25"/>
  <c r="B92" i="25"/>
  <c r="A92" i="25"/>
  <c r="J91" i="25"/>
  <c r="K91" i="25" s="1"/>
  <c r="E91" i="25"/>
  <c r="B91" i="25"/>
  <c r="A91" i="25"/>
  <c r="J90" i="25"/>
  <c r="K90" i="25" s="1"/>
  <c r="E90" i="25"/>
  <c r="B90" i="25"/>
  <c r="J89" i="25"/>
  <c r="K89" i="25" s="1"/>
  <c r="E89" i="25"/>
  <c r="B89" i="25"/>
  <c r="J88" i="25"/>
  <c r="K88" i="25" s="1"/>
  <c r="E88" i="25"/>
  <c r="B88" i="25"/>
  <c r="J87" i="25"/>
  <c r="K87" i="25" s="1"/>
  <c r="E87" i="25"/>
  <c r="B87" i="25"/>
  <c r="J86" i="25"/>
  <c r="K86" i="25" s="1"/>
  <c r="E86" i="25"/>
  <c r="B86" i="25"/>
  <c r="J85" i="25"/>
  <c r="K85" i="25" s="1"/>
  <c r="E85" i="25"/>
  <c r="B85" i="25"/>
  <c r="J84" i="25"/>
  <c r="K84" i="25" s="1"/>
  <c r="E84" i="25"/>
  <c r="B84" i="25"/>
  <c r="J83" i="25"/>
  <c r="K83" i="25" s="1"/>
  <c r="E83" i="25"/>
  <c r="B83" i="25"/>
  <c r="J82" i="25"/>
  <c r="K82" i="25" s="1"/>
  <c r="E82" i="25"/>
  <c r="B82" i="25"/>
  <c r="J81" i="25"/>
  <c r="K81" i="25" s="1"/>
  <c r="E81" i="25"/>
  <c r="B81" i="25"/>
  <c r="J80" i="25"/>
  <c r="K80" i="25" s="1"/>
  <c r="E80" i="25"/>
  <c r="B80" i="25"/>
  <c r="J79" i="25"/>
  <c r="K79" i="25" s="1"/>
  <c r="E79" i="25"/>
  <c r="B79" i="25"/>
  <c r="J78" i="25"/>
  <c r="K78" i="25" s="1"/>
  <c r="E78" i="25"/>
  <c r="B78" i="25"/>
  <c r="J77" i="25"/>
  <c r="K77" i="25" s="1"/>
  <c r="E77" i="25"/>
  <c r="B77" i="25"/>
  <c r="J76" i="25"/>
  <c r="K76" i="25" s="1"/>
  <c r="E76" i="25"/>
  <c r="B76" i="25"/>
  <c r="J75" i="25"/>
  <c r="K75" i="25" s="1"/>
  <c r="E75" i="25"/>
  <c r="B75" i="25"/>
  <c r="J74" i="25"/>
  <c r="K74" i="25" s="1"/>
  <c r="E74" i="25"/>
  <c r="B74" i="25"/>
  <c r="J73" i="25"/>
  <c r="K73" i="25" s="1"/>
  <c r="E73" i="25"/>
  <c r="B73" i="25"/>
  <c r="J72" i="25"/>
  <c r="K72" i="25" s="1"/>
  <c r="E72" i="25"/>
  <c r="B72" i="25"/>
  <c r="J71" i="25"/>
  <c r="K71" i="25" s="1"/>
  <c r="E71" i="25"/>
  <c r="B71" i="25"/>
  <c r="J70" i="25"/>
  <c r="K70" i="25" s="1"/>
  <c r="E70" i="25"/>
  <c r="B70" i="25"/>
  <c r="J69" i="25"/>
  <c r="K69" i="25" s="1"/>
  <c r="E69" i="25"/>
  <c r="B69" i="25"/>
  <c r="J68" i="25"/>
  <c r="K68" i="25" s="1"/>
  <c r="E68" i="25"/>
  <c r="B68" i="25"/>
  <c r="J67" i="25"/>
  <c r="K67" i="25" s="1"/>
  <c r="E67" i="25"/>
  <c r="B67" i="25"/>
  <c r="J66" i="25"/>
  <c r="K66" i="25" s="1"/>
  <c r="E66" i="25"/>
  <c r="B66" i="25"/>
  <c r="J65" i="25"/>
  <c r="K65" i="25" s="1"/>
  <c r="E65" i="25"/>
  <c r="B65" i="25"/>
  <c r="J64" i="25"/>
  <c r="K64" i="25" s="1"/>
  <c r="E64" i="25"/>
  <c r="B64" i="25"/>
  <c r="J63" i="25"/>
  <c r="K63" i="25" s="1"/>
  <c r="E63" i="25"/>
  <c r="B63" i="25"/>
  <c r="J62" i="25"/>
  <c r="K62" i="25" s="1"/>
  <c r="E62" i="25"/>
  <c r="B62" i="25"/>
  <c r="J61" i="25"/>
  <c r="K61" i="25" s="1"/>
  <c r="E61" i="25"/>
  <c r="B61" i="25"/>
  <c r="J60" i="25"/>
  <c r="K60" i="25" s="1"/>
  <c r="E60" i="25"/>
  <c r="B60" i="25"/>
  <c r="J59" i="25"/>
  <c r="K59" i="25" s="1"/>
  <c r="E59" i="25"/>
  <c r="B59" i="25"/>
  <c r="J58" i="25"/>
  <c r="K58" i="25" s="1"/>
  <c r="E58" i="25"/>
  <c r="B58" i="25"/>
  <c r="J57" i="25"/>
  <c r="K57" i="25" s="1"/>
  <c r="E57" i="25"/>
  <c r="B57" i="25"/>
  <c r="J56" i="25"/>
  <c r="K56" i="25" s="1"/>
  <c r="E56" i="25"/>
  <c r="B56" i="25"/>
  <c r="J55" i="25"/>
  <c r="K55" i="25" s="1"/>
  <c r="E55" i="25"/>
  <c r="B55" i="25"/>
  <c r="J54" i="25"/>
  <c r="K54" i="25" s="1"/>
  <c r="E54" i="25"/>
  <c r="B54" i="25"/>
  <c r="J53" i="25"/>
  <c r="K53" i="25" s="1"/>
  <c r="E53" i="25"/>
  <c r="B53" i="25"/>
  <c r="J52" i="25"/>
  <c r="K52" i="25" s="1"/>
  <c r="E52" i="25"/>
  <c r="B52" i="25"/>
  <c r="J51" i="25"/>
  <c r="K51" i="25" s="1"/>
  <c r="E51" i="25"/>
  <c r="B51" i="25"/>
  <c r="K50" i="25"/>
  <c r="J50" i="25"/>
  <c r="E50" i="25"/>
  <c r="B50" i="25"/>
  <c r="K49" i="25"/>
  <c r="J49" i="25"/>
  <c r="E49" i="25"/>
  <c r="B49" i="25"/>
  <c r="K48" i="25"/>
  <c r="J48" i="25"/>
  <c r="E48" i="25"/>
  <c r="B48" i="25"/>
  <c r="K47" i="25"/>
  <c r="J47" i="25"/>
  <c r="E47" i="25"/>
  <c r="B47" i="25"/>
  <c r="K46" i="25"/>
  <c r="J46" i="25"/>
  <c r="E46" i="25"/>
  <c r="B46" i="25"/>
  <c r="K45" i="25"/>
  <c r="J45" i="25"/>
  <c r="E45" i="25"/>
  <c r="B45" i="25"/>
  <c r="K44" i="25"/>
  <c r="J44" i="25"/>
  <c r="E44" i="25"/>
  <c r="B44" i="25"/>
  <c r="K43" i="25"/>
  <c r="J43" i="25"/>
  <c r="E43" i="25"/>
  <c r="B43" i="25"/>
  <c r="K42" i="25"/>
  <c r="J42" i="25"/>
  <c r="E42" i="25"/>
  <c r="B42" i="25"/>
  <c r="K41" i="25"/>
  <c r="J41" i="25"/>
  <c r="E41" i="25"/>
  <c r="B41" i="25"/>
  <c r="K40" i="25"/>
  <c r="J40" i="25"/>
  <c r="E40" i="25"/>
  <c r="B40" i="25"/>
  <c r="K39" i="25"/>
  <c r="J39" i="25"/>
  <c r="E39" i="25"/>
  <c r="B39" i="25"/>
  <c r="K38" i="25"/>
  <c r="J38" i="25"/>
  <c r="E38" i="25"/>
  <c r="B38" i="25"/>
  <c r="K37" i="25"/>
  <c r="J37" i="25"/>
  <c r="E37" i="25"/>
  <c r="B37" i="25"/>
  <c r="K36" i="25"/>
  <c r="J36" i="25"/>
  <c r="E36" i="25"/>
  <c r="B36" i="25"/>
  <c r="K35" i="25"/>
  <c r="J35" i="25"/>
  <c r="E35" i="25"/>
  <c r="B35" i="25"/>
  <c r="K34" i="25"/>
  <c r="J34" i="25"/>
  <c r="E34" i="25"/>
  <c r="B34" i="25"/>
  <c r="K33" i="25"/>
  <c r="J33" i="25"/>
  <c r="E33" i="25"/>
  <c r="B33" i="25"/>
  <c r="K32" i="25"/>
  <c r="J32" i="25"/>
  <c r="E32" i="25"/>
  <c r="B32" i="25"/>
  <c r="K31" i="25"/>
  <c r="J31" i="25"/>
  <c r="E31" i="25"/>
  <c r="B31" i="25"/>
  <c r="K30" i="25"/>
  <c r="J30" i="25"/>
  <c r="E30" i="25"/>
  <c r="B30" i="25"/>
  <c r="K29" i="25"/>
  <c r="J29" i="25"/>
  <c r="E29" i="25"/>
  <c r="B29" i="25"/>
  <c r="K28" i="25"/>
  <c r="J28" i="25"/>
  <c r="E28" i="25"/>
  <c r="B28" i="25"/>
  <c r="K27" i="25"/>
  <c r="J27" i="25"/>
  <c r="E27" i="25"/>
  <c r="B27" i="25"/>
  <c r="K26" i="25"/>
  <c r="J26" i="25"/>
  <c r="E26" i="25"/>
  <c r="B26" i="25"/>
  <c r="K25" i="25"/>
  <c r="J25" i="25"/>
  <c r="E25" i="25"/>
  <c r="B25" i="25"/>
  <c r="K24" i="25"/>
  <c r="J24" i="25"/>
  <c r="E24" i="25"/>
  <c r="B24" i="25"/>
  <c r="K23" i="25"/>
  <c r="J23" i="25"/>
  <c r="E23" i="25"/>
  <c r="B23" i="25"/>
  <c r="K22" i="25"/>
  <c r="J22" i="25"/>
  <c r="E22" i="25"/>
  <c r="B22" i="25"/>
  <c r="K21" i="25"/>
  <c r="J21" i="25"/>
  <c r="E21" i="25"/>
  <c r="B21" i="25"/>
  <c r="K20" i="25"/>
  <c r="J20" i="25"/>
  <c r="E20" i="25"/>
  <c r="B20" i="25"/>
  <c r="K19" i="25"/>
  <c r="J19" i="25"/>
  <c r="E19" i="25"/>
  <c r="B19" i="25"/>
  <c r="K18" i="25"/>
  <c r="J18" i="25"/>
  <c r="E18" i="25"/>
  <c r="B18" i="25"/>
  <c r="K17" i="25"/>
  <c r="J17" i="25"/>
  <c r="E17" i="25"/>
  <c r="B17" i="25"/>
  <c r="K16" i="25"/>
  <c r="J16" i="25"/>
  <c r="E16" i="25"/>
  <c r="B16" i="25"/>
  <c r="K15" i="25"/>
  <c r="J15" i="25"/>
  <c r="E15" i="25"/>
  <c r="B15" i="25"/>
  <c r="K14" i="25"/>
  <c r="J14" i="25"/>
  <c r="E14" i="25"/>
  <c r="B14" i="25"/>
  <c r="K13" i="25"/>
  <c r="J13" i="25"/>
  <c r="E13" i="25"/>
  <c r="B13" i="25"/>
  <c r="K12" i="25"/>
  <c r="J12" i="25"/>
  <c r="E12" i="25"/>
  <c r="B12" i="25"/>
  <c r="A12" i="25"/>
  <c r="K11" i="25"/>
  <c r="J11" i="25"/>
  <c r="E11" i="25"/>
  <c r="B11" i="25"/>
  <c r="A11" i="25"/>
  <c r="J135" i="24"/>
  <c r="K135" i="24" s="1"/>
  <c r="E135" i="24"/>
  <c r="B135" i="24"/>
  <c r="J134" i="24"/>
  <c r="K134" i="24" s="1"/>
  <c r="E134" i="24"/>
  <c r="B134" i="24"/>
  <c r="J133" i="24"/>
  <c r="K133" i="24" s="1"/>
  <c r="E133" i="24"/>
  <c r="B133" i="24"/>
  <c r="J132" i="24"/>
  <c r="K132" i="24" s="1"/>
  <c r="E132" i="24"/>
  <c r="B132" i="24"/>
  <c r="J131" i="24"/>
  <c r="K131" i="24" s="1"/>
  <c r="E131" i="24"/>
  <c r="B131" i="24"/>
  <c r="J130" i="24"/>
  <c r="K130" i="24" s="1"/>
  <c r="E130" i="24"/>
  <c r="B130" i="24"/>
  <c r="J129" i="24"/>
  <c r="K129" i="24" s="1"/>
  <c r="E129" i="24"/>
  <c r="B129" i="24"/>
  <c r="J128" i="24"/>
  <c r="K128" i="24" s="1"/>
  <c r="E128" i="24"/>
  <c r="B128" i="24"/>
  <c r="J127" i="24"/>
  <c r="K127" i="24" s="1"/>
  <c r="E127" i="24"/>
  <c r="B127" i="24"/>
  <c r="J126" i="24"/>
  <c r="K126" i="24" s="1"/>
  <c r="E126" i="24"/>
  <c r="B126" i="24"/>
  <c r="J125" i="24"/>
  <c r="K125" i="24" s="1"/>
  <c r="E125" i="24"/>
  <c r="B125" i="24"/>
  <c r="J124" i="24"/>
  <c r="K124" i="24" s="1"/>
  <c r="E124" i="24"/>
  <c r="B124" i="24"/>
  <c r="J123" i="24"/>
  <c r="K123" i="24" s="1"/>
  <c r="E123" i="24"/>
  <c r="B123" i="24"/>
  <c r="J122" i="24"/>
  <c r="K122" i="24" s="1"/>
  <c r="E122" i="24"/>
  <c r="B122" i="24"/>
  <c r="J121" i="24"/>
  <c r="K121" i="24" s="1"/>
  <c r="E121" i="24"/>
  <c r="B121" i="24"/>
  <c r="J120" i="24"/>
  <c r="K120" i="24" s="1"/>
  <c r="E120" i="24"/>
  <c r="B120" i="24"/>
  <c r="J119" i="24"/>
  <c r="K119" i="24" s="1"/>
  <c r="E119" i="24"/>
  <c r="B119" i="24"/>
  <c r="J118" i="24"/>
  <c r="K118" i="24" s="1"/>
  <c r="E118" i="24"/>
  <c r="B118" i="24"/>
  <c r="J117" i="24"/>
  <c r="K117" i="24" s="1"/>
  <c r="E117" i="24"/>
  <c r="B117" i="24"/>
  <c r="J116" i="24"/>
  <c r="K116" i="24" s="1"/>
  <c r="E116" i="24"/>
  <c r="B116" i="24"/>
  <c r="A116" i="24"/>
  <c r="J115" i="24"/>
  <c r="K115" i="24" s="1"/>
  <c r="E115" i="24"/>
  <c r="B115" i="24"/>
  <c r="A115" i="24"/>
  <c r="J114" i="24"/>
  <c r="K114" i="24" s="1"/>
  <c r="E114" i="24"/>
  <c r="B114" i="24"/>
  <c r="A114" i="24"/>
  <c r="J113" i="24"/>
  <c r="K113" i="24" s="1"/>
  <c r="E113" i="24"/>
  <c r="B113" i="24"/>
  <c r="A113" i="24"/>
  <c r="J112" i="24"/>
  <c r="K112" i="24" s="1"/>
  <c r="E112" i="24"/>
  <c r="B112" i="24"/>
  <c r="A112" i="24"/>
  <c r="J111" i="24"/>
  <c r="K111" i="24" s="1"/>
  <c r="E111" i="24"/>
  <c r="B111" i="24"/>
  <c r="A111" i="24"/>
  <c r="J110" i="24"/>
  <c r="K110" i="24" s="1"/>
  <c r="E110" i="24"/>
  <c r="B110" i="24"/>
  <c r="A110" i="24"/>
  <c r="J109" i="24"/>
  <c r="K109" i="24" s="1"/>
  <c r="E109" i="24"/>
  <c r="B109" i="24"/>
  <c r="A109" i="24"/>
  <c r="J108" i="24"/>
  <c r="K108" i="24" s="1"/>
  <c r="E108" i="24"/>
  <c r="B108" i="24"/>
  <c r="A108" i="24"/>
  <c r="J107" i="24"/>
  <c r="K107" i="24" s="1"/>
  <c r="E107" i="24"/>
  <c r="B107" i="24"/>
  <c r="A107" i="24"/>
  <c r="J106" i="24"/>
  <c r="K106" i="24" s="1"/>
  <c r="E106" i="24"/>
  <c r="B106" i="24"/>
  <c r="A106" i="24"/>
  <c r="J105" i="24"/>
  <c r="K105" i="24" s="1"/>
  <c r="E105" i="24"/>
  <c r="B105" i="24"/>
  <c r="A105" i="24"/>
  <c r="J104" i="24"/>
  <c r="K104" i="24" s="1"/>
  <c r="E104" i="24"/>
  <c r="B104" i="24"/>
  <c r="A104" i="24"/>
  <c r="J103" i="24"/>
  <c r="K103" i="24" s="1"/>
  <c r="E103" i="24"/>
  <c r="B103" i="24"/>
  <c r="A103" i="24"/>
  <c r="J102" i="24"/>
  <c r="K102" i="24" s="1"/>
  <c r="E102" i="24"/>
  <c r="B102" i="24"/>
  <c r="A102" i="24"/>
  <c r="J101" i="24"/>
  <c r="K101" i="24" s="1"/>
  <c r="E101" i="24"/>
  <c r="B101" i="24"/>
  <c r="A101" i="24"/>
  <c r="J100" i="24"/>
  <c r="K100" i="24" s="1"/>
  <c r="E100" i="24"/>
  <c r="B100" i="24"/>
  <c r="A100" i="24"/>
  <c r="J99" i="24"/>
  <c r="K99" i="24" s="1"/>
  <c r="E99" i="24"/>
  <c r="B99" i="24"/>
  <c r="A99" i="24"/>
  <c r="J98" i="24"/>
  <c r="K98" i="24" s="1"/>
  <c r="E98" i="24"/>
  <c r="B98" i="24"/>
  <c r="A98" i="24"/>
  <c r="J97" i="24"/>
  <c r="K97" i="24" s="1"/>
  <c r="E97" i="24"/>
  <c r="B97" i="24"/>
  <c r="A97" i="24"/>
  <c r="J96" i="24"/>
  <c r="K96" i="24" s="1"/>
  <c r="E96" i="24"/>
  <c r="B96" i="24"/>
  <c r="A96" i="24"/>
  <c r="J95" i="24"/>
  <c r="K95" i="24" s="1"/>
  <c r="E95" i="24"/>
  <c r="B95" i="24"/>
  <c r="A95" i="24"/>
  <c r="J94" i="24"/>
  <c r="K94" i="24" s="1"/>
  <c r="E94" i="24"/>
  <c r="B94" i="24"/>
  <c r="A94" i="24"/>
  <c r="J93" i="24"/>
  <c r="K93" i="24" s="1"/>
  <c r="E93" i="24"/>
  <c r="B93" i="24"/>
  <c r="A93" i="24"/>
  <c r="J92" i="24"/>
  <c r="K92" i="24" s="1"/>
  <c r="E92" i="24"/>
  <c r="B92" i="24"/>
  <c r="A92" i="24"/>
  <c r="J91" i="24"/>
  <c r="K91" i="24" s="1"/>
  <c r="E91" i="24"/>
  <c r="B91" i="24"/>
  <c r="A91" i="24"/>
  <c r="J90" i="24"/>
  <c r="K90" i="24" s="1"/>
  <c r="E90" i="24"/>
  <c r="B90" i="24"/>
  <c r="J89" i="24"/>
  <c r="K89" i="24" s="1"/>
  <c r="E89" i="24"/>
  <c r="B89" i="24"/>
  <c r="J88" i="24"/>
  <c r="K88" i="24" s="1"/>
  <c r="E88" i="24"/>
  <c r="B88" i="24"/>
  <c r="J87" i="24"/>
  <c r="K87" i="24" s="1"/>
  <c r="E87" i="24"/>
  <c r="B87" i="24"/>
  <c r="J86" i="24"/>
  <c r="K86" i="24" s="1"/>
  <c r="E86" i="24"/>
  <c r="B86" i="24"/>
  <c r="J85" i="24"/>
  <c r="K85" i="24" s="1"/>
  <c r="E85" i="24"/>
  <c r="B85" i="24"/>
  <c r="J84" i="24"/>
  <c r="K84" i="24" s="1"/>
  <c r="E84" i="24"/>
  <c r="B84" i="24"/>
  <c r="J83" i="24"/>
  <c r="K83" i="24" s="1"/>
  <c r="E83" i="24"/>
  <c r="B83" i="24"/>
  <c r="J82" i="24"/>
  <c r="K82" i="24" s="1"/>
  <c r="E82" i="24"/>
  <c r="B82" i="24"/>
  <c r="J81" i="24"/>
  <c r="K81" i="24" s="1"/>
  <c r="E81" i="24"/>
  <c r="B81" i="24"/>
  <c r="J80" i="24"/>
  <c r="K80" i="24" s="1"/>
  <c r="E80" i="24"/>
  <c r="B80" i="24"/>
  <c r="J79" i="24"/>
  <c r="K79" i="24" s="1"/>
  <c r="E79" i="24"/>
  <c r="B79" i="24"/>
  <c r="J78" i="24"/>
  <c r="K78" i="24" s="1"/>
  <c r="E78" i="24"/>
  <c r="B78" i="24"/>
  <c r="J77" i="24"/>
  <c r="K77" i="24" s="1"/>
  <c r="E77" i="24"/>
  <c r="B77" i="24"/>
  <c r="J76" i="24"/>
  <c r="K76" i="24" s="1"/>
  <c r="E76" i="24"/>
  <c r="B76" i="24"/>
  <c r="J75" i="24"/>
  <c r="K75" i="24" s="1"/>
  <c r="E75" i="24"/>
  <c r="B75" i="24"/>
  <c r="J74" i="24"/>
  <c r="K74" i="24" s="1"/>
  <c r="E74" i="24"/>
  <c r="B74" i="24"/>
  <c r="J73" i="24"/>
  <c r="K73" i="24" s="1"/>
  <c r="E73" i="24"/>
  <c r="B73" i="24"/>
  <c r="J72" i="24"/>
  <c r="K72" i="24" s="1"/>
  <c r="E72" i="24"/>
  <c r="B72" i="24"/>
  <c r="J71" i="24"/>
  <c r="K71" i="24" s="1"/>
  <c r="E71" i="24"/>
  <c r="B71" i="24"/>
  <c r="J70" i="24"/>
  <c r="K70" i="24" s="1"/>
  <c r="E70" i="24"/>
  <c r="B70" i="24"/>
  <c r="J69" i="24"/>
  <c r="K69" i="24" s="1"/>
  <c r="E69" i="24"/>
  <c r="B69" i="24"/>
  <c r="J68" i="24"/>
  <c r="K68" i="24" s="1"/>
  <c r="E68" i="24"/>
  <c r="B68" i="24"/>
  <c r="J67" i="24"/>
  <c r="K67" i="24" s="1"/>
  <c r="E67" i="24"/>
  <c r="B67" i="24"/>
  <c r="J66" i="24"/>
  <c r="K66" i="24" s="1"/>
  <c r="E66" i="24"/>
  <c r="B66" i="24"/>
  <c r="J65" i="24"/>
  <c r="K65" i="24" s="1"/>
  <c r="E65" i="24"/>
  <c r="B65" i="24"/>
  <c r="J64" i="24"/>
  <c r="K64" i="24" s="1"/>
  <c r="E64" i="24"/>
  <c r="B64" i="24"/>
  <c r="J63" i="24"/>
  <c r="K63" i="24" s="1"/>
  <c r="E63" i="24"/>
  <c r="B63" i="24"/>
  <c r="J62" i="24"/>
  <c r="K62" i="24" s="1"/>
  <c r="E62" i="24"/>
  <c r="B62" i="24"/>
  <c r="J61" i="24"/>
  <c r="K61" i="24" s="1"/>
  <c r="E61" i="24"/>
  <c r="B61" i="24"/>
  <c r="J60" i="24"/>
  <c r="K60" i="24" s="1"/>
  <c r="E60" i="24"/>
  <c r="B60" i="24"/>
  <c r="J59" i="24"/>
  <c r="K59" i="24" s="1"/>
  <c r="E59" i="24"/>
  <c r="B59" i="24"/>
  <c r="J58" i="24"/>
  <c r="K58" i="24" s="1"/>
  <c r="E58" i="24"/>
  <c r="B58" i="24"/>
  <c r="J57" i="24"/>
  <c r="K57" i="24" s="1"/>
  <c r="E57" i="24"/>
  <c r="B57" i="24"/>
  <c r="J56" i="24"/>
  <c r="K56" i="24" s="1"/>
  <c r="E56" i="24"/>
  <c r="B56" i="24"/>
  <c r="J55" i="24"/>
  <c r="K55" i="24" s="1"/>
  <c r="E55" i="24"/>
  <c r="B55" i="24"/>
  <c r="J54" i="24"/>
  <c r="K54" i="24" s="1"/>
  <c r="E54" i="24"/>
  <c r="B54" i="24"/>
  <c r="J53" i="24"/>
  <c r="K53" i="24" s="1"/>
  <c r="E53" i="24"/>
  <c r="B53" i="24"/>
  <c r="J52" i="24"/>
  <c r="K52" i="24" s="1"/>
  <c r="E52" i="24"/>
  <c r="B52" i="24"/>
  <c r="J51" i="24"/>
  <c r="K51" i="24" s="1"/>
  <c r="E51" i="24"/>
  <c r="B51" i="24"/>
  <c r="K50" i="24"/>
  <c r="J50" i="24"/>
  <c r="E50" i="24"/>
  <c r="B50" i="24"/>
  <c r="K49" i="24"/>
  <c r="J49" i="24"/>
  <c r="E49" i="24"/>
  <c r="B49" i="24"/>
  <c r="K48" i="24"/>
  <c r="J48" i="24"/>
  <c r="E48" i="24"/>
  <c r="B48" i="24"/>
  <c r="K47" i="24"/>
  <c r="J47" i="24"/>
  <c r="E47" i="24"/>
  <c r="B47" i="24"/>
  <c r="K46" i="24"/>
  <c r="J46" i="24"/>
  <c r="E46" i="24"/>
  <c r="B46" i="24"/>
  <c r="K45" i="24"/>
  <c r="J45" i="24"/>
  <c r="E45" i="24"/>
  <c r="B45" i="24"/>
  <c r="K44" i="24"/>
  <c r="J44" i="24"/>
  <c r="E44" i="24"/>
  <c r="B44" i="24"/>
  <c r="K43" i="24"/>
  <c r="J43" i="24"/>
  <c r="E43" i="24"/>
  <c r="B43" i="24"/>
  <c r="K42" i="24"/>
  <c r="J42" i="24"/>
  <c r="E42" i="24"/>
  <c r="B42" i="24"/>
  <c r="K41" i="24"/>
  <c r="J41" i="24"/>
  <c r="E41" i="24"/>
  <c r="B41" i="24"/>
  <c r="K40" i="24"/>
  <c r="J40" i="24"/>
  <c r="E40" i="24"/>
  <c r="B40" i="24"/>
  <c r="K39" i="24"/>
  <c r="J39" i="24"/>
  <c r="E39" i="24"/>
  <c r="B39" i="24"/>
  <c r="K38" i="24"/>
  <c r="J38" i="24"/>
  <c r="E38" i="24"/>
  <c r="B38" i="24"/>
  <c r="K37" i="24"/>
  <c r="J37" i="24"/>
  <c r="E37" i="24"/>
  <c r="B37" i="24"/>
  <c r="K36" i="24"/>
  <c r="J36" i="24"/>
  <c r="E36" i="24"/>
  <c r="B36" i="24"/>
  <c r="K35" i="24"/>
  <c r="J35" i="24"/>
  <c r="E35" i="24"/>
  <c r="B35" i="24"/>
  <c r="K34" i="24"/>
  <c r="J34" i="24"/>
  <c r="E34" i="24"/>
  <c r="B34" i="24"/>
  <c r="K33" i="24"/>
  <c r="J33" i="24"/>
  <c r="E33" i="24"/>
  <c r="B33" i="24"/>
  <c r="K32" i="24"/>
  <c r="J32" i="24"/>
  <c r="E32" i="24"/>
  <c r="B32" i="24"/>
  <c r="K31" i="24"/>
  <c r="J31" i="24"/>
  <c r="E31" i="24"/>
  <c r="B31" i="24"/>
  <c r="K30" i="24"/>
  <c r="J30" i="24"/>
  <c r="E30" i="24"/>
  <c r="B30" i="24"/>
  <c r="K29" i="24"/>
  <c r="J29" i="24"/>
  <c r="E29" i="24"/>
  <c r="B29" i="24"/>
  <c r="K28" i="24"/>
  <c r="J28" i="24"/>
  <c r="E28" i="24"/>
  <c r="B28" i="24"/>
  <c r="K27" i="24"/>
  <c r="J27" i="24"/>
  <c r="E27" i="24"/>
  <c r="B27" i="24"/>
  <c r="K26" i="24"/>
  <c r="J26" i="24"/>
  <c r="E26" i="24"/>
  <c r="B26" i="24"/>
  <c r="K25" i="24"/>
  <c r="J25" i="24"/>
  <c r="E25" i="24"/>
  <c r="B25" i="24"/>
  <c r="K24" i="24"/>
  <c r="J24" i="24"/>
  <c r="E24" i="24"/>
  <c r="B24" i="24"/>
  <c r="K23" i="24"/>
  <c r="J23" i="24"/>
  <c r="E23" i="24"/>
  <c r="B23" i="24"/>
  <c r="K22" i="24"/>
  <c r="J22" i="24"/>
  <c r="E22" i="24"/>
  <c r="B22" i="24"/>
  <c r="K21" i="24"/>
  <c r="J21" i="24"/>
  <c r="E21" i="24"/>
  <c r="B21" i="24"/>
  <c r="K20" i="24"/>
  <c r="J20" i="24"/>
  <c r="E20" i="24"/>
  <c r="B20" i="24"/>
  <c r="K19" i="24"/>
  <c r="J19" i="24"/>
  <c r="E19" i="24"/>
  <c r="B19" i="24"/>
  <c r="K18" i="24"/>
  <c r="J18" i="24"/>
  <c r="E18" i="24"/>
  <c r="B18" i="24"/>
  <c r="K17" i="24"/>
  <c r="J17" i="24"/>
  <c r="E17" i="24"/>
  <c r="B17" i="24"/>
  <c r="K16" i="24"/>
  <c r="J16" i="24"/>
  <c r="E16" i="24"/>
  <c r="B16" i="24"/>
  <c r="K15" i="24"/>
  <c r="J15" i="24"/>
  <c r="E15" i="24"/>
  <c r="B15" i="24"/>
  <c r="K14" i="24"/>
  <c r="J14" i="24"/>
  <c r="E14" i="24"/>
  <c r="B14" i="24"/>
  <c r="K13" i="24"/>
  <c r="J13" i="24"/>
  <c r="E13" i="24"/>
  <c r="B13" i="24"/>
  <c r="K12" i="24"/>
  <c r="J12" i="24"/>
  <c r="E12" i="24"/>
  <c r="B12" i="24"/>
  <c r="A12" i="24"/>
  <c r="K11" i="24"/>
  <c r="J11" i="24"/>
  <c r="E11" i="24"/>
  <c r="B11" i="24"/>
  <c r="A11" i="24"/>
  <c r="J135" i="23"/>
  <c r="K135" i="23" s="1"/>
  <c r="E135" i="23"/>
  <c r="B135" i="23"/>
  <c r="J134" i="23"/>
  <c r="K134" i="23" s="1"/>
  <c r="E134" i="23"/>
  <c r="B134" i="23"/>
  <c r="J133" i="23"/>
  <c r="K133" i="23" s="1"/>
  <c r="E133" i="23"/>
  <c r="B133" i="23"/>
  <c r="J132" i="23"/>
  <c r="K132" i="23" s="1"/>
  <c r="E132" i="23"/>
  <c r="B132" i="23"/>
  <c r="J131" i="23"/>
  <c r="K131" i="23" s="1"/>
  <c r="E131" i="23"/>
  <c r="B131" i="23"/>
  <c r="J130" i="23"/>
  <c r="K130" i="23" s="1"/>
  <c r="E130" i="23"/>
  <c r="B130" i="23"/>
  <c r="J129" i="23"/>
  <c r="K129" i="23" s="1"/>
  <c r="E129" i="23"/>
  <c r="B129" i="23"/>
  <c r="J128" i="23"/>
  <c r="K128" i="23" s="1"/>
  <c r="E128" i="23"/>
  <c r="B128" i="23"/>
  <c r="J127" i="23"/>
  <c r="K127" i="23" s="1"/>
  <c r="E127" i="23"/>
  <c r="B127" i="23"/>
  <c r="J126" i="23"/>
  <c r="K126" i="23" s="1"/>
  <c r="E126" i="23"/>
  <c r="B126" i="23"/>
  <c r="J125" i="23"/>
  <c r="K125" i="23" s="1"/>
  <c r="E125" i="23"/>
  <c r="B125" i="23"/>
  <c r="J124" i="23"/>
  <c r="K124" i="23" s="1"/>
  <c r="E124" i="23"/>
  <c r="B124" i="23"/>
  <c r="J123" i="23"/>
  <c r="K123" i="23" s="1"/>
  <c r="E123" i="23"/>
  <c r="B123" i="23"/>
  <c r="J122" i="23"/>
  <c r="K122" i="23" s="1"/>
  <c r="E122" i="23"/>
  <c r="B122" i="23"/>
  <c r="J121" i="23"/>
  <c r="K121" i="23" s="1"/>
  <c r="E121" i="23"/>
  <c r="B121" i="23"/>
  <c r="J120" i="23"/>
  <c r="K120" i="23" s="1"/>
  <c r="E120" i="23"/>
  <c r="B120" i="23"/>
  <c r="J119" i="23"/>
  <c r="K119" i="23" s="1"/>
  <c r="E119" i="23"/>
  <c r="B119" i="23"/>
  <c r="J118" i="23"/>
  <c r="K118" i="23" s="1"/>
  <c r="E118" i="23"/>
  <c r="B118" i="23"/>
  <c r="J117" i="23"/>
  <c r="K117" i="23" s="1"/>
  <c r="E117" i="23"/>
  <c r="B117" i="23"/>
  <c r="J116" i="23"/>
  <c r="K116" i="23" s="1"/>
  <c r="E116" i="23"/>
  <c r="B116" i="23"/>
  <c r="A116" i="23"/>
  <c r="J115" i="23"/>
  <c r="K115" i="23" s="1"/>
  <c r="E115" i="23"/>
  <c r="B115" i="23"/>
  <c r="A115" i="23"/>
  <c r="J114" i="23"/>
  <c r="K114" i="23" s="1"/>
  <c r="E114" i="23"/>
  <c r="B114" i="23"/>
  <c r="A114" i="23"/>
  <c r="J113" i="23"/>
  <c r="K113" i="23" s="1"/>
  <c r="E113" i="23"/>
  <c r="B113" i="23"/>
  <c r="A113" i="23"/>
  <c r="J112" i="23"/>
  <c r="K112" i="23" s="1"/>
  <c r="E112" i="23"/>
  <c r="B112" i="23"/>
  <c r="A112" i="23"/>
  <c r="J111" i="23"/>
  <c r="K111" i="23" s="1"/>
  <c r="E111" i="23"/>
  <c r="B111" i="23"/>
  <c r="A111" i="23"/>
  <c r="J110" i="23"/>
  <c r="K110" i="23" s="1"/>
  <c r="E110" i="23"/>
  <c r="B110" i="23"/>
  <c r="A110" i="23"/>
  <c r="J109" i="23"/>
  <c r="K109" i="23" s="1"/>
  <c r="E109" i="23"/>
  <c r="B109" i="23"/>
  <c r="A109" i="23"/>
  <c r="J108" i="23"/>
  <c r="K108" i="23" s="1"/>
  <c r="E108" i="23"/>
  <c r="B108" i="23"/>
  <c r="A108" i="23"/>
  <c r="J107" i="23"/>
  <c r="K107" i="23" s="1"/>
  <c r="E107" i="23"/>
  <c r="B107" i="23"/>
  <c r="A107" i="23"/>
  <c r="J106" i="23"/>
  <c r="K106" i="23" s="1"/>
  <c r="E106" i="23"/>
  <c r="B106" i="23"/>
  <c r="A106" i="23"/>
  <c r="J105" i="23"/>
  <c r="K105" i="23" s="1"/>
  <c r="E105" i="23"/>
  <c r="B105" i="23"/>
  <c r="A105" i="23"/>
  <c r="J104" i="23"/>
  <c r="K104" i="23" s="1"/>
  <c r="E104" i="23"/>
  <c r="B104" i="23"/>
  <c r="A104" i="23"/>
  <c r="J103" i="23"/>
  <c r="K103" i="23" s="1"/>
  <c r="E103" i="23"/>
  <c r="B103" i="23"/>
  <c r="A103" i="23"/>
  <c r="J102" i="23"/>
  <c r="K102" i="23" s="1"/>
  <c r="E102" i="23"/>
  <c r="B102" i="23"/>
  <c r="A102" i="23"/>
  <c r="J101" i="23"/>
  <c r="K101" i="23" s="1"/>
  <c r="E101" i="23"/>
  <c r="B101" i="23"/>
  <c r="A101" i="23"/>
  <c r="J100" i="23"/>
  <c r="K100" i="23" s="1"/>
  <c r="E100" i="23"/>
  <c r="B100" i="23"/>
  <c r="A100" i="23"/>
  <c r="J99" i="23"/>
  <c r="K99" i="23" s="1"/>
  <c r="E99" i="23"/>
  <c r="B99" i="23"/>
  <c r="A99" i="23"/>
  <c r="J98" i="23"/>
  <c r="K98" i="23" s="1"/>
  <c r="E98" i="23"/>
  <c r="B98" i="23"/>
  <c r="A98" i="23"/>
  <c r="J97" i="23"/>
  <c r="K97" i="23" s="1"/>
  <c r="E97" i="23"/>
  <c r="B97" i="23"/>
  <c r="A97" i="23"/>
  <c r="J96" i="23"/>
  <c r="K96" i="23" s="1"/>
  <c r="E96" i="23"/>
  <c r="B96" i="23"/>
  <c r="A96" i="23"/>
  <c r="J95" i="23"/>
  <c r="K95" i="23" s="1"/>
  <c r="E95" i="23"/>
  <c r="B95" i="23"/>
  <c r="A95" i="23"/>
  <c r="J94" i="23"/>
  <c r="K94" i="23" s="1"/>
  <c r="E94" i="23"/>
  <c r="B94" i="23"/>
  <c r="A94" i="23"/>
  <c r="J93" i="23"/>
  <c r="K93" i="23" s="1"/>
  <c r="E93" i="23"/>
  <c r="B93" i="23"/>
  <c r="A93" i="23"/>
  <c r="J92" i="23"/>
  <c r="K92" i="23" s="1"/>
  <c r="E92" i="23"/>
  <c r="B92" i="23"/>
  <c r="A92" i="23"/>
  <c r="J91" i="23"/>
  <c r="K91" i="23" s="1"/>
  <c r="E91" i="23"/>
  <c r="B91" i="23"/>
  <c r="A91" i="23"/>
  <c r="J90" i="23"/>
  <c r="K90" i="23" s="1"/>
  <c r="E90" i="23"/>
  <c r="B90" i="23"/>
  <c r="J89" i="23"/>
  <c r="K89" i="23" s="1"/>
  <c r="E89" i="23"/>
  <c r="B89" i="23"/>
  <c r="J88" i="23"/>
  <c r="K88" i="23" s="1"/>
  <c r="E88" i="23"/>
  <c r="B88" i="23"/>
  <c r="J87" i="23"/>
  <c r="K87" i="23" s="1"/>
  <c r="E87" i="23"/>
  <c r="B87" i="23"/>
  <c r="J86" i="23"/>
  <c r="K86" i="23" s="1"/>
  <c r="E86" i="23"/>
  <c r="B86" i="23"/>
  <c r="J85" i="23"/>
  <c r="K85" i="23" s="1"/>
  <c r="E85" i="23"/>
  <c r="B85" i="23"/>
  <c r="J84" i="23"/>
  <c r="K84" i="23" s="1"/>
  <c r="E84" i="23"/>
  <c r="B84" i="23"/>
  <c r="J83" i="23"/>
  <c r="K83" i="23" s="1"/>
  <c r="E83" i="23"/>
  <c r="B83" i="23"/>
  <c r="J82" i="23"/>
  <c r="K82" i="23" s="1"/>
  <c r="E82" i="23"/>
  <c r="B82" i="23"/>
  <c r="J81" i="23"/>
  <c r="K81" i="23" s="1"/>
  <c r="E81" i="23"/>
  <c r="B81" i="23"/>
  <c r="J80" i="23"/>
  <c r="K80" i="23" s="1"/>
  <c r="E80" i="23"/>
  <c r="B80" i="23"/>
  <c r="J79" i="23"/>
  <c r="K79" i="23" s="1"/>
  <c r="E79" i="23"/>
  <c r="B79" i="23"/>
  <c r="J78" i="23"/>
  <c r="K78" i="23" s="1"/>
  <c r="E78" i="23"/>
  <c r="B78" i="23"/>
  <c r="J77" i="23"/>
  <c r="K77" i="23" s="1"/>
  <c r="E77" i="23"/>
  <c r="B77" i="23"/>
  <c r="J76" i="23"/>
  <c r="K76" i="23" s="1"/>
  <c r="E76" i="23"/>
  <c r="B76" i="23"/>
  <c r="J75" i="23"/>
  <c r="K75" i="23" s="1"/>
  <c r="E75" i="23"/>
  <c r="B75" i="23"/>
  <c r="J74" i="23"/>
  <c r="K74" i="23" s="1"/>
  <c r="E74" i="23"/>
  <c r="B74" i="23"/>
  <c r="J73" i="23"/>
  <c r="K73" i="23" s="1"/>
  <c r="E73" i="23"/>
  <c r="B73" i="23"/>
  <c r="J72" i="23"/>
  <c r="K72" i="23" s="1"/>
  <c r="E72" i="23"/>
  <c r="B72" i="23"/>
  <c r="J71" i="23"/>
  <c r="K71" i="23" s="1"/>
  <c r="E71" i="23"/>
  <c r="B71" i="23"/>
  <c r="J70" i="23"/>
  <c r="K70" i="23" s="1"/>
  <c r="E70" i="23"/>
  <c r="B70" i="23"/>
  <c r="J69" i="23"/>
  <c r="K69" i="23" s="1"/>
  <c r="E69" i="23"/>
  <c r="B69" i="23"/>
  <c r="J68" i="23"/>
  <c r="K68" i="23" s="1"/>
  <c r="E68" i="23"/>
  <c r="B68" i="23"/>
  <c r="J67" i="23"/>
  <c r="K67" i="23" s="1"/>
  <c r="E67" i="23"/>
  <c r="B67" i="23"/>
  <c r="J66" i="23"/>
  <c r="K66" i="23" s="1"/>
  <c r="E66" i="23"/>
  <c r="B66" i="23"/>
  <c r="J65" i="23"/>
  <c r="K65" i="23" s="1"/>
  <c r="E65" i="23"/>
  <c r="B65" i="23"/>
  <c r="J64" i="23"/>
  <c r="K64" i="23" s="1"/>
  <c r="E64" i="23"/>
  <c r="B64" i="23"/>
  <c r="J63" i="23"/>
  <c r="K63" i="23" s="1"/>
  <c r="E63" i="23"/>
  <c r="B63" i="23"/>
  <c r="J62" i="23"/>
  <c r="K62" i="23" s="1"/>
  <c r="E62" i="23"/>
  <c r="B62" i="23"/>
  <c r="J61" i="23"/>
  <c r="K61" i="23" s="1"/>
  <c r="E61" i="23"/>
  <c r="B61" i="23"/>
  <c r="J60" i="23"/>
  <c r="K60" i="23" s="1"/>
  <c r="E60" i="23"/>
  <c r="B60" i="23"/>
  <c r="J59" i="23"/>
  <c r="K59" i="23" s="1"/>
  <c r="E59" i="23"/>
  <c r="B59" i="23"/>
  <c r="J58" i="23"/>
  <c r="K58" i="23" s="1"/>
  <c r="E58" i="23"/>
  <c r="B58" i="23"/>
  <c r="J57" i="23"/>
  <c r="K57" i="23" s="1"/>
  <c r="E57" i="23"/>
  <c r="B57" i="23"/>
  <c r="J56" i="23"/>
  <c r="K56" i="23" s="1"/>
  <c r="E56" i="23"/>
  <c r="B56" i="23"/>
  <c r="J55" i="23"/>
  <c r="K55" i="23" s="1"/>
  <c r="E55" i="23"/>
  <c r="B55" i="23"/>
  <c r="J54" i="23"/>
  <c r="K54" i="23" s="1"/>
  <c r="E54" i="23"/>
  <c r="B54" i="23"/>
  <c r="J53" i="23"/>
  <c r="K53" i="23" s="1"/>
  <c r="E53" i="23"/>
  <c r="B53" i="23"/>
  <c r="J52" i="23"/>
  <c r="K52" i="23" s="1"/>
  <c r="E52" i="23"/>
  <c r="B52" i="23"/>
  <c r="J51" i="23"/>
  <c r="K51" i="23" s="1"/>
  <c r="E51" i="23"/>
  <c r="B51" i="23"/>
  <c r="K50" i="23"/>
  <c r="J50" i="23"/>
  <c r="E50" i="23"/>
  <c r="B50" i="23"/>
  <c r="K49" i="23"/>
  <c r="J49" i="23"/>
  <c r="E49" i="23"/>
  <c r="B49" i="23"/>
  <c r="K48" i="23"/>
  <c r="J48" i="23"/>
  <c r="E48" i="23"/>
  <c r="B48" i="23"/>
  <c r="K47" i="23"/>
  <c r="J47" i="23"/>
  <c r="E47" i="23"/>
  <c r="B47" i="23"/>
  <c r="K46" i="23"/>
  <c r="J46" i="23"/>
  <c r="E46" i="23"/>
  <c r="B46" i="23"/>
  <c r="K45" i="23"/>
  <c r="J45" i="23"/>
  <c r="E45" i="23"/>
  <c r="B45" i="23"/>
  <c r="K44" i="23"/>
  <c r="J44" i="23"/>
  <c r="E44" i="23"/>
  <c r="B44" i="23"/>
  <c r="K43" i="23"/>
  <c r="J43" i="23"/>
  <c r="E43" i="23"/>
  <c r="B43" i="23"/>
  <c r="K42" i="23"/>
  <c r="J42" i="23"/>
  <c r="E42" i="23"/>
  <c r="B42" i="23"/>
  <c r="K41" i="23"/>
  <c r="J41" i="23"/>
  <c r="E41" i="23"/>
  <c r="B41" i="23"/>
  <c r="K40" i="23"/>
  <c r="J40" i="23"/>
  <c r="E40" i="23"/>
  <c r="B40" i="23"/>
  <c r="K39" i="23"/>
  <c r="J39" i="23"/>
  <c r="E39" i="23"/>
  <c r="B39" i="23"/>
  <c r="K38" i="23"/>
  <c r="J38" i="23"/>
  <c r="E38" i="23"/>
  <c r="B38" i="23"/>
  <c r="K37" i="23"/>
  <c r="J37" i="23"/>
  <c r="E37" i="23"/>
  <c r="B37" i="23"/>
  <c r="K36" i="23"/>
  <c r="J36" i="23"/>
  <c r="E36" i="23"/>
  <c r="B36" i="23"/>
  <c r="K35" i="23"/>
  <c r="J35" i="23"/>
  <c r="E35" i="23"/>
  <c r="B35" i="23"/>
  <c r="K34" i="23"/>
  <c r="J34" i="23"/>
  <c r="E34" i="23"/>
  <c r="B34" i="23"/>
  <c r="K33" i="23"/>
  <c r="J33" i="23"/>
  <c r="E33" i="23"/>
  <c r="B33" i="23"/>
  <c r="K32" i="23"/>
  <c r="J32" i="23"/>
  <c r="E32" i="23"/>
  <c r="B32" i="23"/>
  <c r="K31" i="23"/>
  <c r="J31" i="23"/>
  <c r="E31" i="23"/>
  <c r="B31" i="23"/>
  <c r="K30" i="23"/>
  <c r="J30" i="23"/>
  <c r="E30" i="23"/>
  <c r="B30" i="23"/>
  <c r="K29" i="23"/>
  <c r="J29" i="23"/>
  <c r="E29" i="23"/>
  <c r="B29" i="23"/>
  <c r="K28" i="23"/>
  <c r="J28" i="23"/>
  <c r="E28" i="23"/>
  <c r="B28" i="23"/>
  <c r="K27" i="23"/>
  <c r="J27" i="23"/>
  <c r="E27" i="23"/>
  <c r="B27" i="23"/>
  <c r="K26" i="23"/>
  <c r="J26" i="23"/>
  <c r="E26" i="23"/>
  <c r="B26" i="23"/>
  <c r="K25" i="23"/>
  <c r="J25" i="23"/>
  <c r="E25" i="23"/>
  <c r="B25" i="23"/>
  <c r="K24" i="23"/>
  <c r="J24" i="23"/>
  <c r="E24" i="23"/>
  <c r="B24" i="23"/>
  <c r="K23" i="23"/>
  <c r="J23" i="23"/>
  <c r="E23" i="23"/>
  <c r="B23" i="23"/>
  <c r="K22" i="23"/>
  <c r="J22" i="23"/>
  <c r="E22" i="23"/>
  <c r="B22" i="23"/>
  <c r="K21" i="23"/>
  <c r="J21" i="23"/>
  <c r="E21" i="23"/>
  <c r="B21" i="23"/>
  <c r="K20" i="23"/>
  <c r="J20" i="23"/>
  <c r="E20" i="23"/>
  <c r="B20" i="23"/>
  <c r="K19" i="23"/>
  <c r="J19" i="23"/>
  <c r="E19" i="23"/>
  <c r="B19" i="23"/>
  <c r="K18" i="23"/>
  <c r="J18" i="23"/>
  <c r="E18" i="23"/>
  <c r="B18" i="23"/>
  <c r="K17" i="23"/>
  <c r="J17" i="23"/>
  <c r="E17" i="23"/>
  <c r="B17" i="23"/>
  <c r="K16" i="23"/>
  <c r="J16" i="23"/>
  <c r="E16" i="23"/>
  <c r="B16" i="23"/>
  <c r="K15" i="23"/>
  <c r="J15" i="23"/>
  <c r="E15" i="23"/>
  <c r="B15" i="23"/>
  <c r="K14" i="23"/>
  <c r="J14" i="23"/>
  <c r="E14" i="23"/>
  <c r="B14" i="23"/>
  <c r="K13" i="23"/>
  <c r="J13" i="23"/>
  <c r="E13" i="23"/>
  <c r="B13" i="23"/>
  <c r="K12" i="23"/>
  <c r="J12" i="23"/>
  <c r="E12" i="23"/>
  <c r="B12" i="23"/>
  <c r="A12" i="23"/>
  <c r="K11" i="23"/>
  <c r="J11" i="23"/>
  <c r="E11" i="23"/>
  <c r="B11" i="23"/>
  <c r="A11" i="23"/>
  <c r="J135" i="22"/>
  <c r="K135" i="22" s="1"/>
  <c r="E135" i="22"/>
  <c r="B135" i="22"/>
  <c r="J134" i="22"/>
  <c r="K134" i="22" s="1"/>
  <c r="E134" i="22"/>
  <c r="B134" i="22"/>
  <c r="J133" i="22"/>
  <c r="K133" i="22" s="1"/>
  <c r="E133" i="22"/>
  <c r="B133" i="22"/>
  <c r="J132" i="22"/>
  <c r="K132" i="22" s="1"/>
  <c r="E132" i="22"/>
  <c r="B132" i="22"/>
  <c r="J131" i="22"/>
  <c r="K131" i="22" s="1"/>
  <c r="E131" i="22"/>
  <c r="B131" i="22"/>
  <c r="J130" i="22"/>
  <c r="K130" i="22" s="1"/>
  <c r="E130" i="22"/>
  <c r="B130" i="22"/>
  <c r="J129" i="22"/>
  <c r="K129" i="22" s="1"/>
  <c r="E129" i="22"/>
  <c r="B129" i="22"/>
  <c r="J128" i="22"/>
  <c r="K128" i="22" s="1"/>
  <c r="E128" i="22"/>
  <c r="B128" i="22"/>
  <c r="J127" i="22"/>
  <c r="K127" i="22" s="1"/>
  <c r="E127" i="22"/>
  <c r="B127" i="22"/>
  <c r="J126" i="22"/>
  <c r="K126" i="22" s="1"/>
  <c r="E126" i="22"/>
  <c r="B126" i="22"/>
  <c r="J125" i="22"/>
  <c r="K125" i="22" s="1"/>
  <c r="E125" i="22"/>
  <c r="B125" i="22"/>
  <c r="J124" i="22"/>
  <c r="K124" i="22" s="1"/>
  <c r="E124" i="22"/>
  <c r="B124" i="22"/>
  <c r="J123" i="22"/>
  <c r="K123" i="22" s="1"/>
  <c r="E123" i="22"/>
  <c r="B123" i="22"/>
  <c r="J122" i="22"/>
  <c r="K122" i="22" s="1"/>
  <c r="E122" i="22"/>
  <c r="B122" i="22"/>
  <c r="J121" i="22"/>
  <c r="K121" i="22" s="1"/>
  <c r="E121" i="22"/>
  <c r="B121" i="22"/>
  <c r="J120" i="22"/>
  <c r="K120" i="22" s="1"/>
  <c r="E120" i="22"/>
  <c r="B120" i="22"/>
  <c r="J119" i="22"/>
  <c r="K119" i="22" s="1"/>
  <c r="E119" i="22"/>
  <c r="B119" i="22"/>
  <c r="J118" i="22"/>
  <c r="K118" i="22" s="1"/>
  <c r="E118" i="22"/>
  <c r="B118" i="22"/>
  <c r="J117" i="22"/>
  <c r="K117" i="22" s="1"/>
  <c r="E117" i="22"/>
  <c r="B117" i="22"/>
  <c r="J116" i="22"/>
  <c r="K116" i="22" s="1"/>
  <c r="E116" i="22"/>
  <c r="B116" i="22"/>
  <c r="A116" i="22"/>
  <c r="J115" i="22"/>
  <c r="K115" i="22" s="1"/>
  <c r="E115" i="22"/>
  <c r="B115" i="22"/>
  <c r="A115" i="22"/>
  <c r="J114" i="22"/>
  <c r="K114" i="22" s="1"/>
  <c r="E114" i="22"/>
  <c r="B114" i="22"/>
  <c r="A114" i="22"/>
  <c r="J113" i="22"/>
  <c r="K113" i="22" s="1"/>
  <c r="E113" i="22"/>
  <c r="B113" i="22"/>
  <c r="A113" i="22"/>
  <c r="J112" i="22"/>
  <c r="K112" i="22" s="1"/>
  <c r="E112" i="22"/>
  <c r="B112" i="22"/>
  <c r="A112" i="22"/>
  <c r="J111" i="22"/>
  <c r="K111" i="22" s="1"/>
  <c r="E111" i="22"/>
  <c r="B111" i="22"/>
  <c r="A111" i="22"/>
  <c r="J110" i="22"/>
  <c r="K110" i="22" s="1"/>
  <c r="E110" i="22"/>
  <c r="B110" i="22"/>
  <c r="A110" i="22"/>
  <c r="J109" i="22"/>
  <c r="K109" i="22" s="1"/>
  <c r="E109" i="22"/>
  <c r="B109" i="22"/>
  <c r="A109" i="22"/>
  <c r="J108" i="22"/>
  <c r="K108" i="22" s="1"/>
  <c r="E108" i="22"/>
  <c r="B108" i="22"/>
  <c r="A108" i="22"/>
  <c r="J107" i="22"/>
  <c r="K107" i="22" s="1"/>
  <c r="E107" i="22"/>
  <c r="B107" i="22"/>
  <c r="A107" i="22"/>
  <c r="J106" i="22"/>
  <c r="K106" i="22" s="1"/>
  <c r="E106" i="22"/>
  <c r="B106" i="22"/>
  <c r="A106" i="22"/>
  <c r="J105" i="22"/>
  <c r="K105" i="22" s="1"/>
  <c r="E105" i="22"/>
  <c r="B105" i="22"/>
  <c r="A105" i="22"/>
  <c r="J104" i="22"/>
  <c r="K104" i="22" s="1"/>
  <c r="E104" i="22"/>
  <c r="B104" i="22"/>
  <c r="A104" i="22"/>
  <c r="J103" i="22"/>
  <c r="K103" i="22" s="1"/>
  <c r="E103" i="22"/>
  <c r="B103" i="22"/>
  <c r="A103" i="22"/>
  <c r="J102" i="22"/>
  <c r="K102" i="22" s="1"/>
  <c r="E102" i="22"/>
  <c r="B102" i="22"/>
  <c r="A102" i="22"/>
  <c r="J101" i="22"/>
  <c r="K101" i="22" s="1"/>
  <c r="E101" i="22"/>
  <c r="B101" i="22"/>
  <c r="A101" i="22"/>
  <c r="J100" i="22"/>
  <c r="K100" i="22" s="1"/>
  <c r="E100" i="22"/>
  <c r="B100" i="22"/>
  <c r="A100" i="22"/>
  <c r="J99" i="22"/>
  <c r="K99" i="22" s="1"/>
  <c r="E99" i="22"/>
  <c r="B99" i="22"/>
  <c r="A99" i="22"/>
  <c r="J98" i="22"/>
  <c r="K98" i="22" s="1"/>
  <c r="E98" i="22"/>
  <c r="B98" i="22"/>
  <c r="A98" i="22"/>
  <c r="J97" i="22"/>
  <c r="K97" i="22" s="1"/>
  <c r="E97" i="22"/>
  <c r="B97" i="22"/>
  <c r="A97" i="22"/>
  <c r="J96" i="22"/>
  <c r="K96" i="22" s="1"/>
  <c r="E96" i="22"/>
  <c r="B96" i="22"/>
  <c r="A96" i="22"/>
  <c r="J95" i="22"/>
  <c r="K95" i="22" s="1"/>
  <c r="E95" i="22"/>
  <c r="B95" i="22"/>
  <c r="A95" i="22"/>
  <c r="J94" i="22"/>
  <c r="K94" i="22" s="1"/>
  <c r="E94" i="22"/>
  <c r="B94" i="22"/>
  <c r="A94" i="22"/>
  <c r="J93" i="22"/>
  <c r="K93" i="22" s="1"/>
  <c r="E93" i="22"/>
  <c r="B93" i="22"/>
  <c r="A93" i="22"/>
  <c r="J92" i="22"/>
  <c r="K92" i="22" s="1"/>
  <c r="E92" i="22"/>
  <c r="B92" i="22"/>
  <c r="A92" i="22"/>
  <c r="J91" i="22"/>
  <c r="K91" i="22" s="1"/>
  <c r="E91" i="22"/>
  <c r="B91" i="22"/>
  <c r="A91" i="22"/>
  <c r="J90" i="22"/>
  <c r="K90" i="22" s="1"/>
  <c r="E90" i="22"/>
  <c r="B90" i="22"/>
  <c r="J89" i="22"/>
  <c r="K89" i="22" s="1"/>
  <c r="E89" i="22"/>
  <c r="B89" i="22"/>
  <c r="J88" i="22"/>
  <c r="K88" i="22" s="1"/>
  <c r="E88" i="22"/>
  <c r="B88" i="22"/>
  <c r="J87" i="22"/>
  <c r="K87" i="22" s="1"/>
  <c r="E87" i="22"/>
  <c r="B87" i="22"/>
  <c r="J86" i="22"/>
  <c r="K86" i="22" s="1"/>
  <c r="E86" i="22"/>
  <c r="B86" i="22"/>
  <c r="J85" i="22"/>
  <c r="K85" i="22" s="1"/>
  <c r="E85" i="22"/>
  <c r="B85" i="22"/>
  <c r="J84" i="22"/>
  <c r="K84" i="22" s="1"/>
  <c r="E84" i="22"/>
  <c r="B84" i="22"/>
  <c r="J83" i="22"/>
  <c r="K83" i="22" s="1"/>
  <c r="E83" i="22"/>
  <c r="B83" i="22"/>
  <c r="J82" i="22"/>
  <c r="K82" i="22" s="1"/>
  <c r="E82" i="22"/>
  <c r="B82" i="22"/>
  <c r="J81" i="22"/>
  <c r="K81" i="22" s="1"/>
  <c r="E81" i="22"/>
  <c r="B81" i="22"/>
  <c r="J80" i="22"/>
  <c r="K80" i="22" s="1"/>
  <c r="E80" i="22"/>
  <c r="B80" i="22"/>
  <c r="J79" i="22"/>
  <c r="K79" i="22" s="1"/>
  <c r="E79" i="22"/>
  <c r="B79" i="22"/>
  <c r="J78" i="22"/>
  <c r="K78" i="22" s="1"/>
  <c r="E78" i="22"/>
  <c r="B78" i="22"/>
  <c r="J77" i="22"/>
  <c r="K77" i="22" s="1"/>
  <c r="E77" i="22"/>
  <c r="B77" i="22"/>
  <c r="J76" i="22"/>
  <c r="K76" i="22" s="1"/>
  <c r="E76" i="22"/>
  <c r="B76" i="22"/>
  <c r="J75" i="22"/>
  <c r="K75" i="22" s="1"/>
  <c r="E75" i="22"/>
  <c r="B75" i="22"/>
  <c r="J74" i="22"/>
  <c r="K74" i="22" s="1"/>
  <c r="E74" i="22"/>
  <c r="B74" i="22"/>
  <c r="J73" i="22"/>
  <c r="K73" i="22" s="1"/>
  <c r="E73" i="22"/>
  <c r="B73" i="22"/>
  <c r="J72" i="22"/>
  <c r="K72" i="22" s="1"/>
  <c r="E72" i="22"/>
  <c r="B72" i="22"/>
  <c r="J71" i="22"/>
  <c r="K71" i="22" s="1"/>
  <c r="E71" i="22"/>
  <c r="B71" i="22"/>
  <c r="J70" i="22"/>
  <c r="K70" i="22" s="1"/>
  <c r="E70" i="22"/>
  <c r="B70" i="22"/>
  <c r="J69" i="22"/>
  <c r="K69" i="22" s="1"/>
  <c r="E69" i="22"/>
  <c r="B69" i="22"/>
  <c r="J68" i="22"/>
  <c r="K68" i="22" s="1"/>
  <c r="E68" i="22"/>
  <c r="B68" i="22"/>
  <c r="J67" i="22"/>
  <c r="K67" i="22" s="1"/>
  <c r="E67" i="22"/>
  <c r="B67" i="22"/>
  <c r="J66" i="22"/>
  <c r="K66" i="22" s="1"/>
  <c r="E66" i="22"/>
  <c r="B66" i="22"/>
  <c r="J65" i="22"/>
  <c r="K65" i="22" s="1"/>
  <c r="E65" i="22"/>
  <c r="B65" i="22"/>
  <c r="J64" i="22"/>
  <c r="K64" i="22" s="1"/>
  <c r="E64" i="22"/>
  <c r="B64" i="22"/>
  <c r="J63" i="22"/>
  <c r="K63" i="22" s="1"/>
  <c r="E63" i="22"/>
  <c r="B63" i="22"/>
  <c r="J62" i="22"/>
  <c r="K62" i="22" s="1"/>
  <c r="E62" i="22"/>
  <c r="B62" i="22"/>
  <c r="J61" i="22"/>
  <c r="K61" i="22" s="1"/>
  <c r="E61" i="22"/>
  <c r="B61" i="22"/>
  <c r="J60" i="22"/>
  <c r="K60" i="22" s="1"/>
  <c r="E60" i="22"/>
  <c r="B60" i="22"/>
  <c r="J59" i="22"/>
  <c r="K59" i="22" s="1"/>
  <c r="E59" i="22"/>
  <c r="B59" i="22"/>
  <c r="J58" i="22"/>
  <c r="K58" i="22" s="1"/>
  <c r="E58" i="22"/>
  <c r="B58" i="22"/>
  <c r="J57" i="22"/>
  <c r="K57" i="22" s="1"/>
  <c r="E57" i="22"/>
  <c r="B57" i="22"/>
  <c r="J56" i="22"/>
  <c r="K56" i="22" s="1"/>
  <c r="E56" i="22"/>
  <c r="B56" i="22"/>
  <c r="J55" i="22"/>
  <c r="K55" i="22" s="1"/>
  <c r="E55" i="22"/>
  <c r="B55" i="22"/>
  <c r="J54" i="22"/>
  <c r="K54" i="22" s="1"/>
  <c r="E54" i="22"/>
  <c r="B54" i="22"/>
  <c r="J53" i="22"/>
  <c r="K53" i="22" s="1"/>
  <c r="E53" i="22"/>
  <c r="B53" i="22"/>
  <c r="J52" i="22"/>
  <c r="K52" i="22" s="1"/>
  <c r="E52" i="22"/>
  <c r="B52" i="22"/>
  <c r="J51" i="22"/>
  <c r="K51" i="22" s="1"/>
  <c r="E51" i="22"/>
  <c r="B51" i="22"/>
  <c r="K50" i="22"/>
  <c r="J50" i="22"/>
  <c r="E50" i="22"/>
  <c r="B50" i="22"/>
  <c r="K49" i="22"/>
  <c r="J49" i="22"/>
  <c r="E49" i="22"/>
  <c r="B49" i="22"/>
  <c r="K48" i="22"/>
  <c r="J48" i="22"/>
  <c r="E48" i="22"/>
  <c r="B48" i="22"/>
  <c r="K47" i="22"/>
  <c r="J47" i="22"/>
  <c r="E47" i="22"/>
  <c r="B47" i="22"/>
  <c r="K46" i="22"/>
  <c r="J46" i="22"/>
  <c r="E46" i="22"/>
  <c r="B46" i="22"/>
  <c r="K45" i="22"/>
  <c r="J45" i="22"/>
  <c r="E45" i="22"/>
  <c r="B45" i="22"/>
  <c r="K44" i="22"/>
  <c r="J44" i="22"/>
  <c r="E44" i="22"/>
  <c r="B44" i="22"/>
  <c r="K43" i="22"/>
  <c r="J43" i="22"/>
  <c r="E43" i="22"/>
  <c r="B43" i="22"/>
  <c r="K42" i="22"/>
  <c r="J42" i="22"/>
  <c r="E42" i="22"/>
  <c r="B42" i="22"/>
  <c r="K41" i="22"/>
  <c r="J41" i="22"/>
  <c r="E41" i="22"/>
  <c r="B41" i="22"/>
  <c r="K40" i="22"/>
  <c r="J40" i="22"/>
  <c r="E40" i="22"/>
  <c r="B40" i="22"/>
  <c r="K39" i="22"/>
  <c r="J39" i="22"/>
  <c r="E39" i="22"/>
  <c r="B39" i="22"/>
  <c r="K38" i="22"/>
  <c r="J38" i="22"/>
  <c r="E38" i="22"/>
  <c r="B38" i="22"/>
  <c r="K37" i="22"/>
  <c r="J37" i="22"/>
  <c r="E37" i="22"/>
  <c r="B37" i="22"/>
  <c r="K36" i="22"/>
  <c r="J36" i="22"/>
  <c r="E36" i="22"/>
  <c r="B36" i="22"/>
  <c r="K35" i="22"/>
  <c r="J35" i="22"/>
  <c r="E35" i="22"/>
  <c r="B35" i="22"/>
  <c r="K34" i="22"/>
  <c r="J34" i="22"/>
  <c r="E34" i="22"/>
  <c r="B34" i="22"/>
  <c r="K33" i="22"/>
  <c r="J33" i="22"/>
  <c r="E33" i="22"/>
  <c r="B33" i="22"/>
  <c r="K32" i="22"/>
  <c r="J32" i="22"/>
  <c r="E32" i="22"/>
  <c r="B32" i="22"/>
  <c r="K31" i="22"/>
  <c r="J31" i="22"/>
  <c r="E31" i="22"/>
  <c r="B31" i="22"/>
  <c r="K30" i="22"/>
  <c r="J30" i="22"/>
  <c r="E30" i="22"/>
  <c r="B30" i="22"/>
  <c r="K29" i="22"/>
  <c r="J29" i="22"/>
  <c r="E29" i="22"/>
  <c r="B29" i="22"/>
  <c r="K28" i="22"/>
  <c r="J28" i="22"/>
  <c r="E28" i="22"/>
  <c r="B28" i="22"/>
  <c r="K27" i="22"/>
  <c r="J27" i="22"/>
  <c r="E27" i="22"/>
  <c r="B27" i="22"/>
  <c r="K26" i="22"/>
  <c r="J26" i="22"/>
  <c r="E26" i="22"/>
  <c r="B26" i="22"/>
  <c r="K25" i="22"/>
  <c r="J25" i="22"/>
  <c r="E25" i="22"/>
  <c r="B25" i="22"/>
  <c r="K24" i="22"/>
  <c r="J24" i="22"/>
  <c r="E24" i="22"/>
  <c r="B24" i="22"/>
  <c r="K23" i="22"/>
  <c r="J23" i="22"/>
  <c r="E23" i="22"/>
  <c r="B23" i="22"/>
  <c r="K22" i="22"/>
  <c r="J22" i="22"/>
  <c r="E22" i="22"/>
  <c r="B22" i="22"/>
  <c r="K21" i="22"/>
  <c r="J21" i="22"/>
  <c r="E21" i="22"/>
  <c r="B21" i="22"/>
  <c r="K20" i="22"/>
  <c r="J20" i="22"/>
  <c r="E20" i="22"/>
  <c r="B20" i="22"/>
  <c r="K19" i="22"/>
  <c r="J19" i="22"/>
  <c r="E19" i="22"/>
  <c r="B19" i="22"/>
  <c r="K18" i="22"/>
  <c r="J18" i="22"/>
  <c r="E18" i="22"/>
  <c r="B18" i="22"/>
  <c r="K17" i="22"/>
  <c r="J17" i="22"/>
  <c r="E17" i="22"/>
  <c r="B17" i="22"/>
  <c r="K16" i="22"/>
  <c r="J16" i="22"/>
  <c r="E16" i="22"/>
  <c r="B16" i="22"/>
  <c r="K15" i="22"/>
  <c r="J15" i="22"/>
  <c r="E15" i="22"/>
  <c r="B15" i="22"/>
  <c r="K14" i="22"/>
  <c r="J14" i="22"/>
  <c r="E14" i="22"/>
  <c r="B14" i="22"/>
  <c r="K13" i="22"/>
  <c r="J13" i="22"/>
  <c r="E13" i="22"/>
  <c r="B13" i="22"/>
  <c r="K12" i="22"/>
  <c r="J12" i="22"/>
  <c r="E12" i="22"/>
  <c r="B12" i="22"/>
  <c r="A12" i="22"/>
  <c r="K11" i="22"/>
  <c r="J11" i="22"/>
  <c r="E11" i="22"/>
  <c r="B11" i="22"/>
  <c r="A11" i="22"/>
  <c r="J135" i="21"/>
  <c r="K135" i="21" s="1"/>
  <c r="E135" i="21"/>
  <c r="B135" i="21"/>
  <c r="J134" i="21"/>
  <c r="K134" i="21" s="1"/>
  <c r="E134" i="21"/>
  <c r="B134" i="21"/>
  <c r="J133" i="21"/>
  <c r="K133" i="21" s="1"/>
  <c r="E133" i="21"/>
  <c r="B133" i="21"/>
  <c r="J132" i="21"/>
  <c r="K132" i="21" s="1"/>
  <c r="E132" i="21"/>
  <c r="B132" i="21"/>
  <c r="J131" i="21"/>
  <c r="K131" i="21" s="1"/>
  <c r="E131" i="21"/>
  <c r="B131" i="21"/>
  <c r="J130" i="21"/>
  <c r="K130" i="21" s="1"/>
  <c r="E130" i="21"/>
  <c r="B130" i="21"/>
  <c r="J129" i="21"/>
  <c r="K129" i="21" s="1"/>
  <c r="E129" i="21"/>
  <c r="B129" i="21"/>
  <c r="J128" i="21"/>
  <c r="K128" i="21" s="1"/>
  <c r="E128" i="21"/>
  <c r="B128" i="21"/>
  <c r="J127" i="21"/>
  <c r="K127" i="21" s="1"/>
  <c r="E127" i="21"/>
  <c r="B127" i="21"/>
  <c r="J126" i="21"/>
  <c r="K126" i="21" s="1"/>
  <c r="E126" i="21"/>
  <c r="B126" i="21"/>
  <c r="J125" i="21"/>
  <c r="K125" i="21" s="1"/>
  <c r="E125" i="21"/>
  <c r="B125" i="21"/>
  <c r="J124" i="21"/>
  <c r="K124" i="21" s="1"/>
  <c r="E124" i="21"/>
  <c r="B124" i="21"/>
  <c r="J123" i="21"/>
  <c r="K123" i="21" s="1"/>
  <c r="E123" i="21"/>
  <c r="B123" i="21"/>
  <c r="J122" i="21"/>
  <c r="K122" i="21" s="1"/>
  <c r="E122" i="21"/>
  <c r="B122" i="21"/>
  <c r="J121" i="21"/>
  <c r="K121" i="21" s="1"/>
  <c r="E121" i="21"/>
  <c r="B121" i="21"/>
  <c r="J120" i="21"/>
  <c r="K120" i="21" s="1"/>
  <c r="E120" i="21"/>
  <c r="B120" i="21"/>
  <c r="J119" i="21"/>
  <c r="K119" i="21" s="1"/>
  <c r="E119" i="21"/>
  <c r="B119" i="21"/>
  <c r="J118" i="21"/>
  <c r="K118" i="21" s="1"/>
  <c r="E118" i="21"/>
  <c r="B118" i="21"/>
  <c r="J117" i="21"/>
  <c r="K117" i="21" s="1"/>
  <c r="E117" i="21"/>
  <c r="B117" i="21"/>
  <c r="J116" i="21"/>
  <c r="K116" i="21" s="1"/>
  <c r="E116" i="21"/>
  <c r="B116" i="21"/>
  <c r="A116" i="21"/>
  <c r="J115" i="21"/>
  <c r="K115" i="21" s="1"/>
  <c r="E115" i="21"/>
  <c r="B115" i="21"/>
  <c r="A115" i="21"/>
  <c r="J114" i="21"/>
  <c r="K114" i="21" s="1"/>
  <c r="E114" i="21"/>
  <c r="B114" i="21"/>
  <c r="A114" i="21"/>
  <c r="J113" i="21"/>
  <c r="K113" i="21" s="1"/>
  <c r="E113" i="21"/>
  <c r="B113" i="21"/>
  <c r="A113" i="21"/>
  <c r="J112" i="21"/>
  <c r="K112" i="21" s="1"/>
  <c r="E112" i="21"/>
  <c r="B112" i="21"/>
  <c r="A112" i="21"/>
  <c r="J111" i="21"/>
  <c r="K111" i="21" s="1"/>
  <c r="E111" i="21"/>
  <c r="B111" i="21"/>
  <c r="A111" i="21"/>
  <c r="J110" i="21"/>
  <c r="K110" i="21" s="1"/>
  <c r="E110" i="21"/>
  <c r="B110" i="21"/>
  <c r="A110" i="21"/>
  <c r="J109" i="21"/>
  <c r="K109" i="21" s="1"/>
  <c r="E109" i="21"/>
  <c r="B109" i="21"/>
  <c r="A109" i="21"/>
  <c r="J108" i="21"/>
  <c r="K108" i="21" s="1"/>
  <c r="E108" i="21"/>
  <c r="B108" i="21"/>
  <c r="A108" i="21"/>
  <c r="J107" i="21"/>
  <c r="K107" i="21" s="1"/>
  <c r="E107" i="21"/>
  <c r="B107" i="21"/>
  <c r="A107" i="21"/>
  <c r="J106" i="21"/>
  <c r="K106" i="21" s="1"/>
  <c r="E106" i="21"/>
  <c r="B106" i="21"/>
  <c r="A106" i="21"/>
  <c r="J105" i="21"/>
  <c r="K105" i="21" s="1"/>
  <c r="E105" i="21"/>
  <c r="B105" i="21"/>
  <c r="A105" i="21"/>
  <c r="J104" i="21"/>
  <c r="K104" i="21" s="1"/>
  <c r="E104" i="21"/>
  <c r="B104" i="21"/>
  <c r="A104" i="21"/>
  <c r="J103" i="21"/>
  <c r="K103" i="21" s="1"/>
  <c r="E103" i="21"/>
  <c r="B103" i="21"/>
  <c r="A103" i="21"/>
  <c r="J102" i="21"/>
  <c r="K102" i="21" s="1"/>
  <c r="E102" i="21"/>
  <c r="B102" i="21"/>
  <c r="A102" i="21"/>
  <c r="J101" i="21"/>
  <c r="K101" i="21" s="1"/>
  <c r="E101" i="21"/>
  <c r="B101" i="21"/>
  <c r="A101" i="21"/>
  <c r="J100" i="21"/>
  <c r="K100" i="21" s="1"/>
  <c r="E100" i="21"/>
  <c r="B100" i="21"/>
  <c r="A100" i="21"/>
  <c r="J99" i="21"/>
  <c r="K99" i="21" s="1"/>
  <c r="E99" i="21"/>
  <c r="B99" i="21"/>
  <c r="A99" i="21"/>
  <c r="J98" i="21"/>
  <c r="K98" i="21" s="1"/>
  <c r="E98" i="21"/>
  <c r="B98" i="21"/>
  <c r="A98" i="21"/>
  <c r="J97" i="21"/>
  <c r="K97" i="21" s="1"/>
  <c r="E97" i="21"/>
  <c r="B97" i="21"/>
  <c r="A97" i="21"/>
  <c r="J96" i="21"/>
  <c r="K96" i="21" s="1"/>
  <c r="E96" i="21"/>
  <c r="B96" i="21"/>
  <c r="A96" i="21"/>
  <c r="J95" i="21"/>
  <c r="K95" i="21" s="1"/>
  <c r="E95" i="21"/>
  <c r="B95" i="21"/>
  <c r="A95" i="21"/>
  <c r="J94" i="21"/>
  <c r="K94" i="21" s="1"/>
  <c r="E94" i="21"/>
  <c r="B94" i="21"/>
  <c r="A94" i="21"/>
  <c r="J93" i="21"/>
  <c r="K93" i="21" s="1"/>
  <c r="E93" i="21"/>
  <c r="B93" i="21"/>
  <c r="A93" i="21"/>
  <c r="J92" i="21"/>
  <c r="K92" i="21" s="1"/>
  <c r="E92" i="21"/>
  <c r="B92" i="21"/>
  <c r="A92" i="21"/>
  <c r="J91" i="21"/>
  <c r="K91" i="21" s="1"/>
  <c r="E91" i="21"/>
  <c r="B91" i="21"/>
  <c r="A91" i="21"/>
  <c r="J90" i="21"/>
  <c r="K90" i="21" s="1"/>
  <c r="E90" i="21"/>
  <c r="B90" i="21"/>
  <c r="J89" i="21"/>
  <c r="K89" i="21" s="1"/>
  <c r="E89" i="21"/>
  <c r="B89" i="21"/>
  <c r="J88" i="21"/>
  <c r="K88" i="21" s="1"/>
  <c r="E88" i="21"/>
  <c r="B88" i="21"/>
  <c r="J87" i="21"/>
  <c r="K87" i="21" s="1"/>
  <c r="E87" i="21"/>
  <c r="B87" i="21"/>
  <c r="J86" i="21"/>
  <c r="K86" i="21" s="1"/>
  <c r="E86" i="21"/>
  <c r="B86" i="21"/>
  <c r="J85" i="21"/>
  <c r="K85" i="21" s="1"/>
  <c r="E85" i="21"/>
  <c r="B85" i="21"/>
  <c r="J84" i="21"/>
  <c r="K84" i="21" s="1"/>
  <c r="E84" i="21"/>
  <c r="B84" i="21"/>
  <c r="J83" i="21"/>
  <c r="K83" i="21" s="1"/>
  <c r="E83" i="21"/>
  <c r="B83" i="21"/>
  <c r="J82" i="21"/>
  <c r="K82" i="21" s="1"/>
  <c r="E82" i="21"/>
  <c r="B82" i="21"/>
  <c r="J81" i="21"/>
  <c r="K81" i="21" s="1"/>
  <c r="E81" i="21"/>
  <c r="B81" i="21"/>
  <c r="J80" i="21"/>
  <c r="K80" i="21" s="1"/>
  <c r="E80" i="21"/>
  <c r="B80" i="21"/>
  <c r="J79" i="21"/>
  <c r="K79" i="21" s="1"/>
  <c r="E79" i="21"/>
  <c r="B79" i="21"/>
  <c r="J78" i="21"/>
  <c r="K78" i="21" s="1"/>
  <c r="E78" i="21"/>
  <c r="B78" i="21"/>
  <c r="J77" i="21"/>
  <c r="K77" i="21" s="1"/>
  <c r="E77" i="21"/>
  <c r="B77" i="21"/>
  <c r="J76" i="21"/>
  <c r="K76" i="21" s="1"/>
  <c r="E76" i="21"/>
  <c r="B76" i="21"/>
  <c r="J75" i="21"/>
  <c r="K75" i="21" s="1"/>
  <c r="E75" i="21"/>
  <c r="B75" i="21"/>
  <c r="J74" i="21"/>
  <c r="K74" i="21" s="1"/>
  <c r="E74" i="21"/>
  <c r="B74" i="21"/>
  <c r="J73" i="21"/>
  <c r="K73" i="21" s="1"/>
  <c r="E73" i="21"/>
  <c r="B73" i="21"/>
  <c r="J72" i="21"/>
  <c r="K72" i="21" s="1"/>
  <c r="E72" i="21"/>
  <c r="B72" i="21"/>
  <c r="J71" i="21"/>
  <c r="K71" i="21" s="1"/>
  <c r="E71" i="21"/>
  <c r="B71" i="21"/>
  <c r="J70" i="21"/>
  <c r="K70" i="21" s="1"/>
  <c r="E70" i="21"/>
  <c r="B70" i="21"/>
  <c r="J69" i="21"/>
  <c r="K69" i="21" s="1"/>
  <c r="E69" i="21"/>
  <c r="B69" i="21"/>
  <c r="J68" i="21"/>
  <c r="K68" i="21" s="1"/>
  <c r="E68" i="21"/>
  <c r="B68" i="21"/>
  <c r="J67" i="21"/>
  <c r="K67" i="21" s="1"/>
  <c r="E67" i="21"/>
  <c r="B67" i="21"/>
  <c r="J66" i="21"/>
  <c r="K66" i="21" s="1"/>
  <c r="E66" i="21"/>
  <c r="B66" i="21"/>
  <c r="J65" i="21"/>
  <c r="K65" i="21" s="1"/>
  <c r="E65" i="21"/>
  <c r="B65" i="21"/>
  <c r="J64" i="21"/>
  <c r="K64" i="21" s="1"/>
  <c r="E64" i="21"/>
  <c r="B64" i="21"/>
  <c r="J63" i="21"/>
  <c r="K63" i="21" s="1"/>
  <c r="E63" i="21"/>
  <c r="B63" i="21"/>
  <c r="J62" i="21"/>
  <c r="K62" i="21" s="1"/>
  <c r="E62" i="21"/>
  <c r="B62" i="21"/>
  <c r="K61" i="21"/>
  <c r="J61" i="21"/>
  <c r="E61" i="21"/>
  <c r="B61" i="21"/>
  <c r="J60" i="21"/>
  <c r="K60" i="21" s="1"/>
  <c r="E60" i="21"/>
  <c r="B60" i="21"/>
  <c r="K59" i="21"/>
  <c r="J59" i="21"/>
  <c r="E59" i="21"/>
  <c r="B59" i="21"/>
  <c r="J58" i="21"/>
  <c r="K58" i="21" s="1"/>
  <c r="E58" i="21"/>
  <c r="B58" i="21"/>
  <c r="K57" i="21"/>
  <c r="J57" i="21"/>
  <c r="E57" i="21"/>
  <c r="B57" i="21"/>
  <c r="J56" i="21"/>
  <c r="K56" i="21" s="1"/>
  <c r="E56" i="21"/>
  <c r="B56" i="21"/>
  <c r="K55" i="21"/>
  <c r="J55" i="21"/>
  <c r="E55" i="21"/>
  <c r="B55" i="21"/>
  <c r="J54" i="21"/>
  <c r="K54" i="21" s="1"/>
  <c r="E54" i="21"/>
  <c r="B54" i="21"/>
  <c r="K53" i="21"/>
  <c r="J53" i="21"/>
  <c r="E53" i="21"/>
  <c r="B53" i="21"/>
  <c r="J52" i="21"/>
  <c r="K52" i="21" s="1"/>
  <c r="E52" i="21"/>
  <c r="B52" i="21"/>
  <c r="K51" i="21"/>
  <c r="J51" i="21"/>
  <c r="E51" i="21"/>
  <c r="B51" i="21"/>
  <c r="J50" i="21"/>
  <c r="K50" i="21" s="1"/>
  <c r="E50" i="21"/>
  <c r="B50" i="21"/>
  <c r="J49" i="21"/>
  <c r="K49" i="21" s="1"/>
  <c r="E49" i="21"/>
  <c r="B49" i="21"/>
  <c r="J48" i="21"/>
  <c r="K48" i="21" s="1"/>
  <c r="E48" i="21"/>
  <c r="B48" i="21"/>
  <c r="J47" i="21"/>
  <c r="K47" i="21" s="1"/>
  <c r="E47" i="21"/>
  <c r="B47" i="21"/>
  <c r="J46" i="21"/>
  <c r="K46" i="21" s="1"/>
  <c r="E46" i="21"/>
  <c r="B46" i="21"/>
  <c r="J45" i="21"/>
  <c r="K45" i="21" s="1"/>
  <c r="E45" i="21"/>
  <c r="B45" i="21"/>
  <c r="J44" i="21"/>
  <c r="K44" i="21" s="1"/>
  <c r="E44" i="21"/>
  <c r="B44" i="21"/>
  <c r="J43" i="21"/>
  <c r="K43" i="21" s="1"/>
  <c r="E43" i="21"/>
  <c r="B43" i="21"/>
  <c r="J42" i="21"/>
  <c r="K42" i="21" s="1"/>
  <c r="E42" i="21"/>
  <c r="B42" i="21"/>
  <c r="J41" i="21"/>
  <c r="K41" i="21" s="1"/>
  <c r="E41" i="21"/>
  <c r="B41" i="21"/>
  <c r="J40" i="21"/>
  <c r="K40" i="21" s="1"/>
  <c r="E40" i="21"/>
  <c r="B40" i="21"/>
  <c r="J39" i="21"/>
  <c r="K39" i="21" s="1"/>
  <c r="E39" i="21"/>
  <c r="B39" i="21"/>
  <c r="J38" i="21"/>
  <c r="K38" i="21" s="1"/>
  <c r="E38" i="21"/>
  <c r="B38" i="21"/>
  <c r="J37" i="21"/>
  <c r="K37" i="21" s="1"/>
  <c r="E37" i="21"/>
  <c r="B37" i="21"/>
  <c r="J36" i="21"/>
  <c r="K36" i="21" s="1"/>
  <c r="E36" i="21"/>
  <c r="B36" i="21"/>
  <c r="J35" i="21"/>
  <c r="K35" i="21" s="1"/>
  <c r="E35" i="21"/>
  <c r="B35" i="21"/>
  <c r="J34" i="21"/>
  <c r="K34" i="21" s="1"/>
  <c r="E34" i="21"/>
  <c r="B34" i="21"/>
  <c r="J33" i="21"/>
  <c r="K33" i="21" s="1"/>
  <c r="E33" i="21"/>
  <c r="B33" i="21"/>
  <c r="J32" i="21"/>
  <c r="K32" i="21" s="1"/>
  <c r="E32" i="21"/>
  <c r="B32" i="21"/>
  <c r="J31" i="21"/>
  <c r="K31" i="21" s="1"/>
  <c r="E31" i="21"/>
  <c r="B31" i="21"/>
  <c r="J30" i="21"/>
  <c r="K30" i="21" s="1"/>
  <c r="E30" i="21"/>
  <c r="B30" i="21"/>
  <c r="J29" i="21"/>
  <c r="K29" i="21" s="1"/>
  <c r="E29" i="21"/>
  <c r="B29" i="21"/>
  <c r="J28" i="21"/>
  <c r="K28" i="21" s="1"/>
  <c r="E28" i="21"/>
  <c r="B28" i="21"/>
  <c r="J27" i="21"/>
  <c r="K27" i="21" s="1"/>
  <c r="E27" i="21"/>
  <c r="B27" i="21"/>
  <c r="J26" i="21"/>
  <c r="K26" i="21" s="1"/>
  <c r="E26" i="21"/>
  <c r="B26" i="21"/>
  <c r="J25" i="21"/>
  <c r="K25" i="21" s="1"/>
  <c r="E25" i="21"/>
  <c r="B25" i="21"/>
  <c r="J24" i="21"/>
  <c r="K24" i="21" s="1"/>
  <c r="E24" i="21"/>
  <c r="B24" i="21"/>
  <c r="J23" i="21"/>
  <c r="K23" i="21" s="1"/>
  <c r="E23" i="21"/>
  <c r="B23" i="21"/>
  <c r="J22" i="21"/>
  <c r="K22" i="21" s="1"/>
  <c r="E22" i="21"/>
  <c r="B22" i="21"/>
  <c r="J21" i="21"/>
  <c r="K21" i="21" s="1"/>
  <c r="E21" i="21"/>
  <c r="B21" i="21"/>
  <c r="J20" i="21"/>
  <c r="K20" i="21" s="1"/>
  <c r="E20" i="21"/>
  <c r="B20" i="21"/>
  <c r="J19" i="21"/>
  <c r="K19" i="21" s="1"/>
  <c r="E19" i="21"/>
  <c r="B19" i="21"/>
  <c r="J18" i="21"/>
  <c r="K18" i="21" s="1"/>
  <c r="E18" i="21"/>
  <c r="B18" i="21"/>
  <c r="J17" i="21"/>
  <c r="K17" i="21" s="1"/>
  <c r="E17" i="21"/>
  <c r="B17" i="21"/>
  <c r="J16" i="21"/>
  <c r="K16" i="21" s="1"/>
  <c r="E16" i="21"/>
  <c r="B16" i="21"/>
  <c r="J15" i="21"/>
  <c r="K15" i="21" s="1"/>
  <c r="E15" i="21"/>
  <c r="B15" i="21"/>
  <c r="J14" i="21"/>
  <c r="K14" i="21" s="1"/>
  <c r="E14" i="21"/>
  <c r="B14" i="21"/>
  <c r="J13" i="21"/>
  <c r="K13" i="21" s="1"/>
  <c r="E13" i="21"/>
  <c r="B13" i="21"/>
  <c r="J12" i="21"/>
  <c r="K12" i="21" s="1"/>
  <c r="E12" i="21"/>
  <c r="B12" i="21"/>
  <c r="A12" i="21"/>
  <c r="J11" i="21"/>
  <c r="K11" i="21" s="1"/>
  <c r="E11" i="21"/>
  <c r="B11" i="21"/>
  <c r="A11" i="21"/>
  <c r="J135" i="14"/>
  <c r="K135" i="14" s="1"/>
  <c r="E135" i="14"/>
  <c r="B135" i="14"/>
  <c r="J134" i="14"/>
  <c r="K134" i="14" s="1"/>
  <c r="E134" i="14"/>
  <c r="B134" i="14"/>
  <c r="J133" i="14"/>
  <c r="K133" i="14" s="1"/>
  <c r="E133" i="14"/>
  <c r="B133" i="14"/>
  <c r="J132" i="14"/>
  <c r="K132" i="14" s="1"/>
  <c r="E132" i="14"/>
  <c r="B132" i="14"/>
  <c r="J131" i="14"/>
  <c r="K131" i="14" s="1"/>
  <c r="E131" i="14"/>
  <c r="B131" i="14"/>
  <c r="J130" i="14"/>
  <c r="K130" i="14" s="1"/>
  <c r="E130" i="14"/>
  <c r="B130" i="14"/>
  <c r="J129" i="14"/>
  <c r="K129" i="14" s="1"/>
  <c r="E129" i="14"/>
  <c r="B129" i="14"/>
  <c r="J128" i="14"/>
  <c r="K128" i="14" s="1"/>
  <c r="E128" i="14"/>
  <c r="B128" i="14"/>
  <c r="J127" i="14"/>
  <c r="K127" i="14" s="1"/>
  <c r="E127" i="14"/>
  <c r="B127" i="14"/>
  <c r="J126" i="14"/>
  <c r="K126" i="14" s="1"/>
  <c r="E126" i="14"/>
  <c r="B126" i="14"/>
  <c r="J125" i="14"/>
  <c r="K125" i="14" s="1"/>
  <c r="E125" i="14"/>
  <c r="B125" i="14"/>
  <c r="J124" i="14"/>
  <c r="K124" i="14" s="1"/>
  <c r="E124" i="14"/>
  <c r="B124" i="14"/>
  <c r="J123" i="14"/>
  <c r="K123" i="14" s="1"/>
  <c r="E123" i="14"/>
  <c r="B123" i="14"/>
  <c r="J122" i="14"/>
  <c r="K122" i="14" s="1"/>
  <c r="E122" i="14"/>
  <c r="B122" i="14"/>
  <c r="J121" i="14"/>
  <c r="K121" i="14" s="1"/>
  <c r="E121" i="14"/>
  <c r="B121" i="14"/>
  <c r="J120" i="14"/>
  <c r="K120" i="14" s="1"/>
  <c r="E120" i="14"/>
  <c r="B120" i="14"/>
  <c r="J119" i="14"/>
  <c r="K119" i="14" s="1"/>
  <c r="E119" i="14"/>
  <c r="B119" i="14"/>
  <c r="J118" i="14"/>
  <c r="K118" i="14" s="1"/>
  <c r="E118" i="14"/>
  <c r="B118" i="14"/>
  <c r="J117" i="14"/>
  <c r="K117" i="14" s="1"/>
  <c r="E117" i="14"/>
  <c r="B117" i="14"/>
  <c r="J116" i="14"/>
  <c r="K116" i="14" s="1"/>
  <c r="E116" i="14"/>
  <c r="B116" i="14"/>
  <c r="A116" i="14"/>
  <c r="J115" i="14"/>
  <c r="K115" i="14" s="1"/>
  <c r="E115" i="14"/>
  <c r="B115" i="14"/>
  <c r="A115" i="14"/>
  <c r="J114" i="14"/>
  <c r="K114" i="14" s="1"/>
  <c r="E114" i="14"/>
  <c r="B114" i="14"/>
  <c r="A114" i="14"/>
  <c r="J113" i="14"/>
  <c r="K113" i="14" s="1"/>
  <c r="E113" i="14"/>
  <c r="B113" i="14"/>
  <c r="A113" i="14"/>
  <c r="J112" i="14"/>
  <c r="K112" i="14" s="1"/>
  <c r="E112" i="14"/>
  <c r="B112" i="14"/>
  <c r="A112" i="14"/>
  <c r="J111" i="14"/>
  <c r="K111" i="14" s="1"/>
  <c r="E111" i="14"/>
  <c r="B111" i="14"/>
  <c r="A111" i="14"/>
  <c r="J110" i="14"/>
  <c r="K110" i="14" s="1"/>
  <c r="E110" i="14"/>
  <c r="B110" i="14"/>
  <c r="A110" i="14"/>
  <c r="J109" i="14"/>
  <c r="K109" i="14" s="1"/>
  <c r="E109" i="14"/>
  <c r="B109" i="14"/>
  <c r="A109" i="14"/>
  <c r="J108" i="14"/>
  <c r="K108" i="14" s="1"/>
  <c r="E108" i="14"/>
  <c r="B108" i="14"/>
  <c r="A108" i="14"/>
  <c r="J107" i="14"/>
  <c r="K107" i="14" s="1"/>
  <c r="E107" i="14"/>
  <c r="B107" i="14"/>
  <c r="A107" i="14"/>
  <c r="J106" i="14"/>
  <c r="K106" i="14" s="1"/>
  <c r="E106" i="14"/>
  <c r="B106" i="14"/>
  <c r="A106" i="14"/>
  <c r="J105" i="14"/>
  <c r="K105" i="14" s="1"/>
  <c r="E105" i="14"/>
  <c r="B105" i="14"/>
  <c r="A105" i="14"/>
  <c r="J104" i="14"/>
  <c r="K104" i="14" s="1"/>
  <c r="E104" i="14"/>
  <c r="B104" i="14"/>
  <c r="A104" i="14"/>
  <c r="J103" i="14"/>
  <c r="K103" i="14" s="1"/>
  <c r="E103" i="14"/>
  <c r="B103" i="14"/>
  <c r="A103" i="14"/>
  <c r="J102" i="14"/>
  <c r="K102" i="14" s="1"/>
  <c r="E102" i="14"/>
  <c r="B102" i="14"/>
  <c r="A102" i="14"/>
  <c r="J101" i="14"/>
  <c r="K101" i="14" s="1"/>
  <c r="E101" i="14"/>
  <c r="B101" i="14"/>
  <c r="A101" i="14"/>
  <c r="J100" i="14"/>
  <c r="K100" i="14" s="1"/>
  <c r="E100" i="14"/>
  <c r="B100" i="14"/>
  <c r="A100" i="14"/>
  <c r="J99" i="14"/>
  <c r="K99" i="14" s="1"/>
  <c r="E99" i="14"/>
  <c r="B99" i="14"/>
  <c r="A99" i="14"/>
  <c r="J98" i="14"/>
  <c r="K98" i="14" s="1"/>
  <c r="E98" i="14"/>
  <c r="B98" i="14"/>
  <c r="A98" i="14"/>
  <c r="J97" i="14"/>
  <c r="K97" i="14" s="1"/>
  <c r="E97" i="14"/>
  <c r="B97" i="14"/>
  <c r="A97" i="14"/>
  <c r="J96" i="14"/>
  <c r="K96" i="14" s="1"/>
  <c r="E96" i="14"/>
  <c r="B96" i="14"/>
  <c r="A96" i="14"/>
  <c r="J95" i="14"/>
  <c r="K95" i="14" s="1"/>
  <c r="E95" i="14"/>
  <c r="B95" i="14"/>
  <c r="A95" i="14"/>
  <c r="J94" i="14"/>
  <c r="K94" i="14" s="1"/>
  <c r="E94" i="14"/>
  <c r="B94" i="14"/>
  <c r="A94" i="14"/>
  <c r="J93" i="14"/>
  <c r="K93" i="14" s="1"/>
  <c r="E93" i="14"/>
  <c r="B93" i="14"/>
  <c r="A93" i="14"/>
  <c r="J92" i="14"/>
  <c r="K92" i="14" s="1"/>
  <c r="E92" i="14"/>
  <c r="B92" i="14"/>
  <c r="A92" i="14"/>
  <c r="J91" i="14"/>
  <c r="K91" i="14" s="1"/>
  <c r="E91" i="14"/>
  <c r="B91" i="14"/>
  <c r="A91" i="14"/>
  <c r="J90" i="14"/>
  <c r="K90" i="14" s="1"/>
  <c r="E90" i="14"/>
  <c r="B90" i="14"/>
  <c r="J89" i="14"/>
  <c r="K89" i="14" s="1"/>
  <c r="E89" i="14"/>
  <c r="B89" i="14"/>
  <c r="J88" i="14"/>
  <c r="K88" i="14" s="1"/>
  <c r="E88" i="14"/>
  <c r="B88" i="14"/>
  <c r="J87" i="14"/>
  <c r="K87" i="14" s="1"/>
  <c r="E87" i="14"/>
  <c r="B87" i="14"/>
  <c r="J86" i="14"/>
  <c r="K86" i="14" s="1"/>
  <c r="E86" i="14"/>
  <c r="B86" i="14"/>
  <c r="J85" i="14"/>
  <c r="K85" i="14" s="1"/>
  <c r="E85" i="14"/>
  <c r="B85" i="14"/>
  <c r="J84" i="14"/>
  <c r="K84" i="14" s="1"/>
  <c r="E84" i="14"/>
  <c r="B84" i="14"/>
  <c r="J83" i="14"/>
  <c r="K83" i="14" s="1"/>
  <c r="E83" i="14"/>
  <c r="B83" i="14"/>
  <c r="J82" i="14"/>
  <c r="K82" i="14" s="1"/>
  <c r="E82" i="14"/>
  <c r="B82" i="14"/>
  <c r="J81" i="14"/>
  <c r="K81" i="14" s="1"/>
  <c r="E81" i="14"/>
  <c r="B81" i="14"/>
  <c r="J80" i="14"/>
  <c r="K80" i="14" s="1"/>
  <c r="E80" i="14"/>
  <c r="B80" i="14"/>
  <c r="J79" i="14"/>
  <c r="K79" i="14" s="1"/>
  <c r="E79" i="14"/>
  <c r="B79" i="14"/>
  <c r="J78" i="14"/>
  <c r="K78" i="14" s="1"/>
  <c r="E78" i="14"/>
  <c r="B78" i="14"/>
  <c r="J77" i="14"/>
  <c r="K77" i="14" s="1"/>
  <c r="E77" i="14"/>
  <c r="B77" i="14"/>
  <c r="J76" i="14"/>
  <c r="K76" i="14" s="1"/>
  <c r="E76" i="14"/>
  <c r="B76" i="14"/>
  <c r="J75" i="14"/>
  <c r="K75" i="14" s="1"/>
  <c r="E75" i="14"/>
  <c r="B75" i="14"/>
  <c r="J74" i="14"/>
  <c r="K74" i="14" s="1"/>
  <c r="E74" i="14"/>
  <c r="B74" i="14"/>
  <c r="J73" i="14"/>
  <c r="K73" i="14" s="1"/>
  <c r="E73" i="14"/>
  <c r="B73" i="14"/>
  <c r="J72" i="14"/>
  <c r="K72" i="14" s="1"/>
  <c r="E72" i="14"/>
  <c r="B72" i="14"/>
  <c r="J71" i="14"/>
  <c r="K71" i="14" s="1"/>
  <c r="E71" i="14"/>
  <c r="B71" i="14"/>
  <c r="J70" i="14"/>
  <c r="K70" i="14" s="1"/>
  <c r="E70" i="14"/>
  <c r="B70" i="14"/>
  <c r="J69" i="14"/>
  <c r="K69" i="14" s="1"/>
  <c r="E69" i="14"/>
  <c r="B69" i="14"/>
  <c r="J68" i="14"/>
  <c r="K68" i="14" s="1"/>
  <c r="E68" i="14"/>
  <c r="B68" i="14"/>
  <c r="J67" i="14"/>
  <c r="K67" i="14" s="1"/>
  <c r="E67" i="14"/>
  <c r="B67" i="14"/>
  <c r="J66" i="14"/>
  <c r="K66" i="14" s="1"/>
  <c r="E66" i="14"/>
  <c r="B66" i="14"/>
  <c r="J65" i="14"/>
  <c r="K65" i="14" s="1"/>
  <c r="E65" i="14"/>
  <c r="B65" i="14"/>
  <c r="J64" i="14"/>
  <c r="K64" i="14" s="1"/>
  <c r="E64" i="14"/>
  <c r="B64" i="14"/>
  <c r="J63" i="14"/>
  <c r="K63" i="14" s="1"/>
  <c r="E63" i="14"/>
  <c r="B63" i="14"/>
  <c r="J62" i="14"/>
  <c r="K62" i="14" s="1"/>
  <c r="E62" i="14"/>
  <c r="B62" i="14"/>
  <c r="J61" i="14"/>
  <c r="K61" i="14" s="1"/>
  <c r="E61" i="14"/>
  <c r="B61" i="14"/>
  <c r="J60" i="14"/>
  <c r="K60" i="14" s="1"/>
  <c r="E60" i="14"/>
  <c r="B60" i="14"/>
  <c r="J59" i="14"/>
  <c r="K59" i="14" s="1"/>
  <c r="E59" i="14"/>
  <c r="B59" i="14"/>
  <c r="J58" i="14"/>
  <c r="K58" i="14" s="1"/>
  <c r="E58" i="14"/>
  <c r="B58" i="14"/>
  <c r="J57" i="14"/>
  <c r="K57" i="14" s="1"/>
  <c r="E57" i="14"/>
  <c r="B57" i="14"/>
  <c r="J56" i="14"/>
  <c r="K56" i="14" s="1"/>
  <c r="E56" i="14"/>
  <c r="B56" i="14"/>
  <c r="J55" i="14"/>
  <c r="K55" i="14" s="1"/>
  <c r="E55" i="14"/>
  <c r="B55" i="14"/>
  <c r="J54" i="14"/>
  <c r="K54" i="14" s="1"/>
  <c r="E54" i="14"/>
  <c r="B54" i="14"/>
  <c r="J53" i="14"/>
  <c r="K53" i="14" s="1"/>
  <c r="E53" i="14"/>
  <c r="B53" i="14"/>
  <c r="J52" i="14"/>
  <c r="K52" i="14" s="1"/>
  <c r="E52" i="14"/>
  <c r="B52" i="14"/>
  <c r="J51" i="14"/>
  <c r="K51" i="14" s="1"/>
  <c r="E51" i="14"/>
  <c r="B51" i="14"/>
  <c r="J50" i="14"/>
  <c r="K50" i="14" s="1"/>
  <c r="E50" i="14"/>
  <c r="B50" i="14"/>
  <c r="J49" i="14"/>
  <c r="K49" i="14" s="1"/>
  <c r="E49" i="14"/>
  <c r="B49" i="14"/>
  <c r="J48" i="14"/>
  <c r="K48" i="14" s="1"/>
  <c r="E48" i="14"/>
  <c r="B48" i="14"/>
  <c r="J47" i="14"/>
  <c r="K47" i="14" s="1"/>
  <c r="E47" i="14"/>
  <c r="B47" i="14"/>
  <c r="J46" i="14"/>
  <c r="K46" i="14" s="1"/>
  <c r="E46" i="14"/>
  <c r="B46" i="14"/>
  <c r="J45" i="14"/>
  <c r="K45" i="14" s="1"/>
  <c r="E45" i="14"/>
  <c r="B45" i="14"/>
  <c r="J44" i="14"/>
  <c r="K44" i="14" s="1"/>
  <c r="E44" i="14"/>
  <c r="B44" i="14"/>
  <c r="J43" i="14"/>
  <c r="K43" i="14" s="1"/>
  <c r="E43" i="14"/>
  <c r="B43" i="14"/>
  <c r="J42" i="14"/>
  <c r="K42" i="14" s="1"/>
  <c r="E42" i="14"/>
  <c r="B42" i="14"/>
  <c r="J41" i="14"/>
  <c r="K41" i="14" s="1"/>
  <c r="E41" i="14"/>
  <c r="B41" i="14"/>
  <c r="J40" i="14"/>
  <c r="K40" i="14" s="1"/>
  <c r="E40" i="14"/>
  <c r="B40" i="14"/>
  <c r="J39" i="14"/>
  <c r="K39" i="14" s="1"/>
  <c r="E39" i="14"/>
  <c r="B39" i="14"/>
  <c r="J38" i="14"/>
  <c r="K38" i="14" s="1"/>
  <c r="E38" i="14"/>
  <c r="B38" i="14"/>
  <c r="J37" i="14"/>
  <c r="K37" i="14" s="1"/>
  <c r="E37" i="14"/>
  <c r="B37" i="14"/>
  <c r="J36" i="14"/>
  <c r="K36" i="14" s="1"/>
  <c r="E36" i="14"/>
  <c r="B36" i="14"/>
  <c r="J35" i="14"/>
  <c r="K35" i="14" s="1"/>
  <c r="E35" i="14"/>
  <c r="B35" i="14"/>
  <c r="J34" i="14"/>
  <c r="K34" i="14" s="1"/>
  <c r="E34" i="14"/>
  <c r="B34" i="14"/>
  <c r="J33" i="14"/>
  <c r="K33" i="14" s="1"/>
  <c r="E33" i="14"/>
  <c r="B33" i="14"/>
  <c r="J32" i="14"/>
  <c r="K32" i="14" s="1"/>
  <c r="E32" i="14"/>
  <c r="B32" i="14"/>
  <c r="J31" i="14"/>
  <c r="K31" i="14" s="1"/>
  <c r="E31" i="14"/>
  <c r="B31" i="14"/>
  <c r="J30" i="14"/>
  <c r="K30" i="14" s="1"/>
  <c r="E30" i="14"/>
  <c r="B30" i="14"/>
  <c r="J29" i="14"/>
  <c r="K29" i="14" s="1"/>
  <c r="E29" i="14"/>
  <c r="B29" i="14"/>
  <c r="J28" i="14"/>
  <c r="K28" i="14" s="1"/>
  <c r="E28" i="14"/>
  <c r="B28" i="14"/>
  <c r="J27" i="14"/>
  <c r="K27" i="14" s="1"/>
  <c r="E27" i="14"/>
  <c r="B27" i="14"/>
  <c r="J26" i="14"/>
  <c r="K26" i="14" s="1"/>
  <c r="E26" i="14"/>
  <c r="B26" i="14"/>
  <c r="J25" i="14"/>
  <c r="K25" i="14" s="1"/>
  <c r="E25" i="14"/>
  <c r="B25" i="14"/>
  <c r="J24" i="14"/>
  <c r="K24" i="14" s="1"/>
  <c r="E24" i="14"/>
  <c r="B24" i="14"/>
  <c r="J23" i="14"/>
  <c r="K23" i="14" s="1"/>
  <c r="E23" i="14"/>
  <c r="B23" i="14"/>
  <c r="J22" i="14"/>
  <c r="K22" i="14" s="1"/>
  <c r="E22" i="14"/>
  <c r="B22" i="14"/>
  <c r="J21" i="14"/>
  <c r="K21" i="14" s="1"/>
  <c r="E21" i="14"/>
  <c r="B21" i="14"/>
  <c r="J20" i="14"/>
  <c r="K20" i="14" s="1"/>
  <c r="E20" i="14"/>
  <c r="B20" i="14"/>
  <c r="J19" i="14"/>
  <c r="K19" i="14" s="1"/>
  <c r="E19" i="14"/>
  <c r="B19" i="14"/>
  <c r="J18" i="14"/>
  <c r="K18" i="14" s="1"/>
  <c r="E18" i="14"/>
  <c r="B18" i="14"/>
  <c r="J17" i="14"/>
  <c r="K17" i="14" s="1"/>
  <c r="E17" i="14"/>
  <c r="B17" i="14"/>
  <c r="J16" i="14"/>
  <c r="K16" i="14" s="1"/>
  <c r="E16" i="14"/>
  <c r="B16" i="14"/>
  <c r="J15" i="14"/>
  <c r="K15" i="14" s="1"/>
  <c r="E15" i="14"/>
  <c r="B15" i="14"/>
  <c r="J14" i="14"/>
  <c r="K14" i="14" s="1"/>
  <c r="E14" i="14"/>
  <c r="B14" i="14"/>
  <c r="J13" i="14"/>
  <c r="K13" i="14" s="1"/>
  <c r="E13" i="14"/>
  <c r="B13" i="14"/>
  <c r="J12" i="14"/>
  <c r="K12" i="14" s="1"/>
  <c r="E12" i="14"/>
  <c r="B12" i="14"/>
  <c r="A12" i="14"/>
  <c r="J11" i="14"/>
  <c r="K11" i="14" s="1"/>
  <c r="E11" i="14"/>
  <c r="B11" i="14"/>
  <c r="A11" i="14"/>
  <c r="J135" i="13"/>
  <c r="K135" i="13" s="1"/>
  <c r="E135" i="13"/>
  <c r="B135" i="13"/>
  <c r="J134" i="13"/>
  <c r="K134" i="13" s="1"/>
  <c r="E134" i="13"/>
  <c r="B134" i="13"/>
  <c r="J133" i="13"/>
  <c r="K133" i="13" s="1"/>
  <c r="E133" i="13"/>
  <c r="B133" i="13"/>
  <c r="J132" i="13"/>
  <c r="K132" i="13" s="1"/>
  <c r="E132" i="13"/>
  <c r="B132" i="13"/>
  <c r="J131" i="13"/>
  <c r="K131" i="13" s="1"/>
  <c r="E131" i="13"/>
  <c r="B131" i="13"/>
  <c r="J130" i="13"/>
  <c r="K130" i="13" s="1"/>
  <c r="E130" i="13"/>
  <c r="B130" i="13"/>
  <c r="J129" i="13"/>
  <c r="K129" i="13" s="1"/>
  <c r="E129" i="13"/>
  <c r="B129" i="13"/>
  <c r="J128" i="13"/>
  <c r="K128" i="13" s="1"/>
  <c r="E128" i="13"/>
  <c r="B128" i="13"/>
  <c r="J127" i="13"/>
  <c r="K127" i="13" s="1"/>
  <c r="E127" i="13"/>
  <c r="B127" i="13"/>
  <c r="J126" i="13"/>
  <c r="K126" i="13" s="1"/>
  <c r="E126" i="13"/>
  <c r="B126" i="13"/>
  <c r="J125" i="13"/>
  <c r="K125" i="13" s="1"/>
  <c r="E125" i="13"/>
  <c r="B125" i="13"/>
  <c r="J124" i="13"/>
  <c r="K124" i="13" s="1"/>
  <c r="E124" i="13"/>
  <c r="B124" i="13"/>
  <c r="J123" i="13"/>
  <c r="K123" i="13" s="1"/>
  <c r="E123" i="13"/>
  <c r="B123" i="13"/>
  <c r="J122" i="13"/>
  <c r="K122" i="13" s="1"/>
  <c r="E122" i="13"/>
  <c r="B122" i="13"/>
  <c r="J121" i="13"/>
  <c r="K121" i="13" s="1"/>
  <c r="E121" i="13"/>
  <c r="B121" i="13"/>
  <c r="J120" i="13"/>
  <c r="K120" i="13" s="1"/>
  <c r="E120" i="13"/>
  <c r="B120" i="13"/>
  <c r="J119" i="13"/>
  <c r="K119" i="13" s="1"/>
  <c r="E119" i="13"/>
  <c r="B119" i="13"/>
  <c r="J118" i="13"/>
  <c r="K118" i="13" s="1"/>
  <c r="E118" i="13"/>
  <c r="B118" i="13"/>
  <c r="J117" i="13"/>
  <c r="K117" i="13" s="1"/>
  <c r="E117" i="13"/>
  <c r="B117" i="13"/>
  <c r="J116" i="13"/>
  <c r="K116" i="13" s="1"/>
  <c r="E116" i="13"/>
  <c r="B116" i="13"/>
  <c r="A116" i="13"/>
  <c r="J115" i="13"/>
  <c r="K115" i="13" s="1"/>
  <c r="E115" i="13"/>
  <c r="B115" i="13"/>
  <c r="A115" i="13"/>
  <c r="J114" i="13"/>
  <c r="K114" i="13" s="1"/>
  <c r="E114" i="13"/>
  <c r="B114" i="13"/>
  <c r="A114" i="13"/>
  <c r="J113" i="13"/>
  <c r="K113" i="13" s="1"/>
  <c r="E113" i="13"/>
  <c r="B113" i="13"/>
  <c r="A113" i="13"/>
  <c r="J112" i="13"/>
  <c r="K112" i="13" s="1"/>
  <c r="E112" i="13"/>
  <c r="B112" i="13"/>
  <c r="A112" i="13"/>
  <c r="J111" i="13"/>
  <c r="K111" i="13" s="1"/>
  <c r="E111" i="13"/>
  <c r="B111" i="13"/>
  <c r="A111" i="13"/>
  <c r="J110" i="13"/>
  <c r="K110" i="13" s="1"/>
  <c r="E110" i="13"/>
  <c r="B110" i="13"/>
  <c r="A110" i="13"/>
  <c r="J109" i="13"/>
  <c r="K109" i="13" s="1"/>
  <c r="E109" i="13"/>
  <c r="B109" i="13"/>
  <c r="A109" i="13"/>
  <c r="J108" i="13"/>
  <c r="K108" i="13" s="1"/>
  <c r="E108" i="13"/>
  <c r="B108" i="13"/>
  <c r="A108" i="13"/>
  <c r="J107" i="13"/>
  <c r="K107" i="13" s="1"/>
  <c r="E107" i="13"/>
  <c r="B107" i="13"/>
  <c r="A107" i="13"/>
  <c r="J106" i="13"/>
  <c r="K106" i="13" s="1"/>
  <c r="E106" i="13"/>
  <c r="B106" i="13"/>
  <c r="A106" i="13"/>
  <c r="J105" i="13"/>
  <c r="K105" i="13" s="1"/>
  <c r="E105" i="13"/>
  <c r="B105" i="13"/>
  <c r="A105" i="13"/>
  <c r="J104" i="13"/>
  <c r="K104" i="13" s="1"/>
  <c r="E104" i="13"/>
  <c r="B104" i="13"/>
  <c r="A104" i="13"/>
  <c r="J103" i="13"/>
  <c r="K103" i="13" s="1"/>
  <c r="E103" i="13"/>
  <c r="B103" i="13"/>
  <c r="A103" i="13"/>
  <c r="J102" i="13"/>
  <c r="K102" i="13" s="1"/>
  <c r="E102" i="13"/>
  <c r="B102" i="13"/>
  <c r="A102" i="13"/>
  <c r="J101" i="13"/>
  <c r="K101" i="13" s="1"/>
  <c r="E101" i="13"/>
  <c r="B101" i="13"/>
  <c r="A101" i="13"/>
  <c r="J100" i="13"/>
  <c r="K100" i="13" s="1"/>
  <c r="E100" i="13"/>
  <c r="B100" i="13"/>
  <c r="A100" i="13"/>
  <c r="J99" i="13"/>
  <c r="K99" i="13" s="1"/>
  <c r="E99" i="13"/>
  <c r="B99" i="13"/>
  <c r="A99" i="13"/>
  <c r="J98" i="13"/>
  <c r="K98" i="13" s="1"/>
  <c r="E98" i="13"/>
  <c r="B98" i="13"/>
  <c r="A98" i="13"/>
  <c r="J97" i="13"/>
  <c r="K97" i="13" s="1"/>
  <c r="E97" i="13"/>
  <c r="B97" i="13"/>
  <c r="A97" i="13"/>
  <c r="J96" i="13"/>
  <c r="K96" i="13" s="1"/>
  <c r="E96" i="13"/>
  <c r="B96" i="13"/>
  <c r="A96" i="13"/>
  <c r="J95" i="13"/>
  <c r="K95" i="13" s="1"/>
  <c r="E95" i="13"/>
  <c r="B95" i="13"/>
  <c r="A95" i="13"/>
  <c r="J94" i="13"/>
  <c r="K94" i="13" s="1"/>
  <c r="E94" i="13"/>
  <c r="B94" i="13"/>
  <c r="A94" i="13"/>
  <c r="J93" i="13"/>
  <c r="K93" i="13" s="1"/>
  <c r="E93" i="13"/>
  <c r="B93" i="13"/>
  <c r="A93" i="13"/>
  <c r="J92" i="13"/>
  <c r="K92" i="13" s="1"/>
  <c r="E92" i="13"/>
  <c r="B92" i="13"/>
  <c r="A92" i="13"/>
  <c r="J91" i="13"/>
  <c r="K91" i="13" s="1"/>
  <c r="E91" i="13"/>
  <c r="B91" i="13"/>
  <c r="A91" i="13"/>
  <c r="J90" i="13"/>
  <c r="K90" i="13" s="1"/>
  <c r="E90" i="13"/>
  <c r="B90" i="13"/>
  <c r="J89" i="13"/>
  <c r="K89" i="13" s="1"/>
  <c r="E89" i="13"/>
  <c r="B89" i="13"/>
  <c r="J88" i="13"/>
  <c r="K88" i="13" s="1"/>
  <c r="E88" i="13"/>
  <c r="B88" i="13"/>
  <c r="J87" i="13"/>
  <c r="K87" i="13" s="1"/>
  <c r="E87" i="13"/>
  <c r="B87" i="13"/>
  <c r="J86" i="13"/>
  <c r="K86" i="13" s="1"/>
  <c r="E86" i="13"/>
  <c r="B86" i="13"/>
  <c r="J85" i="13"/>
  <c r="K85" i="13" s="1"/>
  <c r="E85" i="13"/>
  <c r="B85" i="13"/>
  <c r="J84" i="13"/>
  <c r="K84" i="13" s="1"/>
  <c r="E84" i="13"/>
  <c r="B84" i="13"/>
  <c r="J83" i="13"/>
  <c r="K83" i="13" s="1"/>
  <c r="E83" i="13"/>
  <c r="B83" i="13"/>
  <c r="J82" i="13"/>
  <c r="K82" i="13" s="1"/>
  <c r="E82" i="13"/>
  <c r="B82" i="13"/>
  <c r="J81" i="13"/>
  <c r="K81" i="13" s="1"/>
  <c r="E81" i="13"/>
  <c r="B81" i="13"/>
  <c r="J80" i="13"/>
  <c r="K80" i="13" s="1"/>
  <c r="E80" i="13"/>
  <c r="B80" i="13"/>
  <c r="J79" i="13"/>
  <c r="K79" i="13" s="1"/>
  <c r="E79" i="13"/>
  <c r="B79" i="13"/>
  <c r="J78" i="13"/>
  <c r="K78" i="13" s="1"/>
  <c r="E78" i="13"/>
  <c r="B78" i="13"/>
  <c r="J77" i="13"/>
  <c r="K77" i="13" s="1"/>
  <c r="E77" i="13"/>
  <c r="B77" i="13"/>
  <c r="J76" i="13"/>
  <c r="K76" i="13" s="1"/>
  <c r="E76" i="13"/>
  <c r="B76" i="13"/>
  <c r="J75" i="13"/>
  <c r="K75" i="13" s="1"/>
  <c r="E75" i="13"/>
  <c r="B75" i="13"/>
  <c r="J74" i="13"/>
  <c r="K74" i="13" s="1"/>
  <c r="E74" i="13"/>
  <c r="B74" i="13"/>
  <c r="J73" i="13"/>
  <c r="K73" i="13" s="1"/>
  <c r="E73" i="13"/>
  <c r="B73" i="13"/>
  <c r="J72" i="13"/>
  <c r="K72" i="13" s="1"/>
  <c r="E72" i="13"/>
  <c r="B72" i="13"/>
  <c r="J71" i="13"/>
  <c r="K71" i="13" s="1"/>
  <c r="E71" i="13"/>
  <c r="B71" i="13"/>
  <c r="J70" i="13"/>
  <c r="K70" i="13" s="1"/>
  <c r="E70" i="13"/>
  <c r="B70" i="13"/>
  <c r="J69" i="13"/>
  <c r="K69" i="13" s="1"/>
  <c r="E69" i="13"/>
  <c r="B69" i="13"/>
  <c r="J68" i="13"/>
  <c r="K68" i="13" s="1"/>
  <c r="E68" i="13"/>
  <c r="B68" i="13"/>
  <c r="J67" i="13"/>
  <c r="K67" i="13" s="1"/>
  <c r="E67" i="13"/>
  <c r="B67" i="13"/>
  <c r="J66" i="13"/>
  <c r="K66" i="13" s="1"/>
  <c r="E66" i="13"/>
  <c r="B66" i="13"/>
  <c r="J65" i="13"/>
  <c r="K65" i="13" s="1"/>
  <c r="E65" i="13"/>
  <c r="B65" i="13"/>
  <c r="J64" i="13"/>
  <c r="K64" i="13" s="1"/>
  <c r="E64" i="13"/>
  <c r="B64" i="13"/>
  <c r="J63" i="13"/>
  <c r="K63" i="13" s="1"/>
  <c r="E63" i="13"/>
  <c r="B63" i="13"/>
  <c r="J62" i="13"/>
  <c r="K62" i="13" s="1"/>
  <c r="E62" i="13"/>
  <c r="B62" i="13"/>
  <c r="J61" i="13"/>
  <c r="K61" i="13" s="1"/>
  <c r="E61" i="13"/>
  <c r="B61" i="13"/>
  <c r="J60" i="13"/>
  <c r="K60" i="13" s="1"/>
  <c r="E60" i="13"/>
  <c r="B60" i="13"/>
  <c r="J59" i="13"/>
  <c r="K59" i="13" s="1"/>
  <c r="E59" i="13"/>
  <c r="B59" i="13"/>
  <c r="J58" i="13"/>
  <c r="K58" i="13" s="1"/>
  <c r="E58" i="13"/>
  <c r="B58" i="13"/>
  <c r="J57" i="13"/>
  <c r="K57" i="13" s="1"/>
  <c r="E57" i="13"/>
  <c r="B57" i="13"/>
  <c r="J56" i="13"/>
  <c r="K56" i="13" s="1"/>
  <c r="E56" i="13"/>
  <c r="B56" i="13"/>
  <c r="J55" i="13"/>
  <c r="K55" i="13" s="1"/>
  <c r="E55" i="13"/>
  <c r="B55" i="13"/>
  <c r="J54" i="13"/>
  <c r="K54" i="13" s="1"/>
  <c r="E54" i="13"/>
  <c r="B54" i="13"/>
  <c r="J53" i="13"/>
  <c r="K53" i="13" s="1"/>
  <c r="E53" i="13"/>
  <c r="B53" i="13"/>
  <c r="J52" i="13"/>
  <c r="K52" i="13" s="1"/>
  <c r="E52" i="13"/>
  <c r="B52" i="13"/>
  <c r="J51" i="13"/>
  <c r="K51" i="13" s="1"/>
  <c r="E51" i="13"/>
  <c r="B51" i="13"/>
  <c r="J50" i="13"/>
  <c r="K50" i="13" s="1"/>
  <c r="E50" i="13"/>
  <c r="B50" i="13"/>
  <c r="J49" i="13"/>
  <c r="K49" i="13" s="1"/>
  <c r="E49" i="13"/>
  <c r="B49" i="13"/>
  <c r="J48" i="13"/>
  <c r="K48" i="13" s="1"/>
  <c r="E48" i="13"/>
  <c r="B48" i="13"/>
  <c r="J47" i="13"/>
  <c r="K47" i="13" s="1"/>
  <c r="E47" i="13"/>
  <c r="B47" i="13"/>
  <c r="J46" i="13"/>
  <c r="K46" i="13" s="1"/>
  <c r="E46" i="13"/>
  <c r="B46" i="13"/>
  <c r="J45" i="13"/>
  <c r="K45" i="13" s="1"/>
  <c r="E45" i="13"/>
  <c r="B45" i="13"/>
  <c r="J44" i="13"/>
  <c r="K44" i="13" s="1"/>
  <c r="E44" i="13"/>
  <c r="B44" i="13"/>
  <c r="J43" i="13"/>
  <c r="K43" i="13" s="1"/>
  <c r="E43" i="13"/>
  <c r="B43" i="13"/>
  <c r="J42" i="13"/>
  <c r="K42" i="13" s="1"/>
  <c r="E42" i="13"/>
  <c r="B42" i="13"/>
  <c r="J41" i="13"/>
  <c r="K41" i="13" s="1"/>
  <c r="E41" i="13"/>
  <c r="B41" i="13"/>
  <c r="J40" i="13"/>
  <c r="K40" i="13" s="1"/>
  <c r="E40" i="13"/>
  <c r="B40" i="13"/>
  <c r="J39" i="13"/>
  <c r="K39" i="13" s="1"/>
  <c r="E39" i="13"/>
  <c r="B39" i="13"/>
  <c r="J38" i="13"/>
  <c r="K38" i="13" s="1"/>
  <c r="E38" i="13"/>
  <c r="B38" i="13"/>
  <c r="J37" i="13"/>
  <c r="K37" i="13" s="1"/>
  <c r="E37" i="13"/>
  <c r="B37" i="13"/>
  <c r="J36" i="13"/>
  <c r="K36" i="13" s="1"/>
  <c r="E36" i="13"/>
  <c r="B36" i="13"/>
  <c r="J35" i="13"/>
  <c r="K35" i="13" s="1"/>
  <c r="E35" i="13"/>
  <c r="B35" i="13"/>
  <c r="J34" i="13"/>
  <c r="K34" i="13" s="1"/>
  <c r="E34" i="13"/>
  <c r="B34" i="13"/>
  <c r="J33" i="13"/>
  <c r="K33" i="13" s="1"/>
  <c r="E33" i="13"/>
  <c r="B33" i="13"/>
  <c r="J32" i="13"/>
  <c r="K32" i="13" s="1"/>
  <c r="E32" i="13"/>
  <c r="B32" i="13"/>
  <c r="J31" i="13"/>
  <c r="K31" i="13" s="1"/>
  <c r="E31" i="13"/>
  <c r="B31" i="13"/>
  <c r="J30" i="13"/>
  <c r="K30" i="13" s="1"/>
  <c r="E30" i="13"/>
  <c r="B30" i="13"/>
  <c r="J29" i="13"/>
  <c r="K29" i="13" s="1"/>
  <c r="E29" i="13"/>
  <c r="B29" i="13"/>
  <c r="J28" i="13"/>
  <c r="K28" i="13" s="1"/>
  <c r="E28" i="13"/>
  <c r="B28" i="13"/>
  <c r="J27" i="13"/>
  <c r="K27" i="13" s="1"/>
  <c r="E27" i="13"/>
  <c r="B27" i="13"/>
  <c r="J26" i="13"/>
  <c r="K26" i="13" s="1"/>
  <c r="E26" i="13"/>
  <c r="B26" i="13"/>
  <c r="J25" i="13"/>
  <c r="K25" i="13" s="1"/>
  <c r="E25" i="13"/>
  <c r="B25" i="13"/>
  <c r="J24" i="13"/>
  <c r="K24" i="13" s="1"/>
  <c r="E24" i="13"/>
  <c r="B24" i="13"/>
  <c r="J23" i="13"/>
  <c r="K23" i="13" s="1"/>
  <c r="E23" i="13"/>
  <c r="B23" i="13"/>
  <c r="J22" i="13"/>
  <c r="K22" i="13" s="1"/>
  <c r="E22" i="13"/>
  <c r="B22" i="13"/>
  <c r="J21" i="13"/>
  <c r="K21" i="13" s="1"/>
  <c r="E21" i="13"/>
  <c r="B21" i="13"/>
  <c r="J20" i="13"/>
  <c r="K20" i="13" s="1"/>
  <c r="E20" i="13"/>
  <c r="B20" i="13"/>
  <c r="J19" i="13"/>
  <c r="K19" i="13" s="1"/>
  <c r="E19" i="13"/>
  <c r="B19" i="13"/>
  <c r="J18" i="13"/>
  <c r="K18" i="13" s="1"/>
  <c r="E18" i="13"/>
  <c r="B18" i="13"/>
  <c r="J17" i="13"/>
  <c r="K17" i="13" s="1"/>
  <c r="E17" i="13"/>
  <c r="B17" i="13"/>
  <c r="J16" i="13"/>
  <c r="K16" i="13" s="1"/>
  <c r="E16" i="13"/>
  <c r="B16" i="13"/>
  <c r="J15" i="13"/>
  <c r="K15" i="13" s="1"/>
  <c r="E15" i="13"/>
  <c r="B15" i="13"/>
  <c r="J14" i="13"/>
  <c r="K14" i="13" s="1"/>
  <c r="E14" i="13"/>
  <c r="B14" i="13"/>
  <c r="J13" i="13"/>
  <c r="K13" i="13" s="1"/>
  <c r="E13" i="13"/>
  <c r="B13" i="13"/>
  <c r="J12" i="13"/>
  <c r="K12" i="13" s="1"/>
  <c r="E12" i="13"/>
  <c r="B12" i="13"/>
  <c r="A12" i="13"/>
  <c r="J11" i="13"/>
  <c r="K11" i="13" s="1"/>
  <c r="E11" i="13"/>
  <c r="B11" i="13"/>
  <c r="A11" i="13"/>
  <c r="J135" i="12"/>
  <c r="K135" i="12" s="1"/>
  <c r="E135" i="12"/>
  <c r="B135" i="12"/>
  <c r="J134" i="12"/>
  <c r="K134" i="12" s="1"/>
  <c r="E134" i="12"/>
  <c r="B134" i="12"/>
  <c r="J133" i="12"/>
  <c r="K133" i="12" s="1"/>
  <c r="E133" i="12"/>
  <c r="B133" i="12"/>
  <c r="J132" i="12"/>
  <c r="K132" i="12" s="1"/>
  <c r="E132" i="12"/>
  <c r="B132" i="12"/>
  <c r="J131" i="12"/>
  <c r="K131" i="12" s="1"/>
  <c r="E131" i="12"/>
  <c r="B131" i="12"/>
  <c r="J130" i="12"/>
  <c r="K130" i="12" s="1"/>
  <c r="E130" i="12"/>
  <c r="B130" i="12"/>
  <c r="J129" i="12"/>
  <c r="K129" i="12" s="1"/>
  <c r="E129" i="12"/>
  <c r="B129" i="12"/>
  <c r="J128" i="12"/>
  <c r="K128" i="12" s="1"/>
  <c r="E128" i="12"/>
  <c r="B128" i="12"/>
  <c r="J127" i="12"/>
  <c r="K127" i="12" s="1"/>
  <c r="E127" i="12"/>
  <c r="B127" i="12"/>
  <c r="J126" i="12"/>
  <c r="K126" i="12" s="1"/>
  <c r="E126" i="12"/>
  <c r="B126" i="12"/>
  <c r="J125" i="12"/>
  <c r="K125" i="12" s="1"/>
  <c r="E125" i="12"/>
  <c r="B125" i="12"/>
  <c r="J124" i="12"/>
  <c r="K124" i="12" s="1"/>
  <c r="E124" i="12"/>
  <c r="B124" i="12"/>
  <c r="J123" i="12"/>
  <c r="K123" i="12" s="1"/>
  <c r="E123" i="12"/>
  <c r="B123" i="12"/>
  <c r="J122" i="12"/>
  <c r="K122" i="12" s="1"/>
  <c r="E122" i="12"/>
  <c r="B122" i="12"/>
  <c r="J121" i="12"/>
  <c r="K121" i="12" s="1"/>
  <c r="E121" i="12"/>
  <c r="B121" i="12"/>
  <c r="J120" i="12"/>
  <c r="K120" i="12" s="1"/>
  <c r="E120" i="12"/>
  <c r="B120" i="12"/>
  <c r="J119" i="12"/>
  <c r="K119" i="12" s="1"/>
  <c r="E119" i="12"/>
  <c r="B119" i="12"/>
  <c r="J118" i="12"/>
  <c r="K118" i="12" s="1"/>
  <c r="E118" i="12"/>
  <c r="B118" i="12"/>
  <c r="J117" i="12"/>
  <c r="K117" i="12" s="1"/>
  <c r="E117" i="12"/>
  <c r="B117" i="12"/>
  <c r="J116" i="12"/>
  <c r="K116" i="12" s="1"/>
  <c r="E116" i="12"/>
  <c r="B116" i="12"/>
  <c r="A116" i="12"/>
  <c r="J115" i="12"/>
  <c r="K115" i="12" s="1"/>
  <c r="E115" i="12"/>
  <c r="B115" i="12"/>
  <c r="A115" i="12"/>
  <c r="J114" i="12"/>
  <c r="K114" i="12" s="1"/>
  <c r="E114" i="12"/>
  <c r="B114" i="12"/>
  <c r="A114" i="12"/>
  <c r="J113" i="12"/>
  <c r="K113" i="12" s="1"/>
  <c r="E113" i="12"/>
  <c r="B113" i="12"/>
  <c r="A113" i="12"/>
  <c r="J112" i="12"/>
  <c r="K112" i="12" s="1"/>
  <c r="E112" i="12"/>
  <c r="B112" i="12"/>
  <c r="A112" i="12"/>
  <c r="J111" i="12"/>
  <c r="K111" i="12" s="1"/>
  <c r="E111" i="12"/>
  <c r="B111" i="12"/>
  <c r="A111" i="12"/>
  <c r="J110" i="12"/>
  <c r="K110" i="12" s="1"/>
  <c r="E110" i="12"/>
  <c r="B110" i="12"/>
  <c r="A110" i="12"/>
  <c r="J109" i="12"/>
  <c r="K109" i="12" s="1"/>
  <c r="E109" i="12"/>
  <c r="B109" i="12"/>
  <c r="A109" i="12"/>
  <c r="J108" i="12"/>
  <c r="K108" i="12" s="1"/>
  <c r="E108" i="12"/>
  <c r="B108" i="12"/>
  <c r="A108" i="12"/>
  <c r="J107" i="12"/>
  <c r="K107" i="12" s="1"/>
  <c r="E107" i="12"/>
  <c r="B107" i="12"/>
  <c r="A107" i="12"/>
  <c r="J106" i="12"/>
  <c r="K106" i="12" s="1"/>
  <c r="E106" i="12"/>
  <c r="B106" i="12"/>
  <c r="A106" i="12"/>
  <c r="J105" i="12"/>
  <c r="K105" i="12" s="1"/>
  <c r="E105" i="12"/>
  <c r="B105" i="12"/>
  <c r="A105" i="12"/>
  <c r="J104" i="12"/>
  <c r="K104" i="12" s="1"/>
  <c r="E104" i="12"/>
  <c r="B104" i="12"/>
  <c r="A104" i="12"/>
  <c r="J103" i="12"/>
  <c r="K103" i="12" s="1"/>
  <c r="E103" i="12"/>
  <c r="B103" i="12"/>
  <c r="A103" i="12"/>
  <c r="J102" i="12"/>
  <c r="K102" i="12" s="1"/>
  <c r="E102" i="12"/>
  <c r="B102" i="12"/>
  <c r="A102" i="12"/>
  <c r="J101" i="12"/>
  <c r="K101" i="12" s="1"/>
  <c r="E101" i="12"/>
  <c r="B101" i="12"/>
  <c r="A101" i="12"/>
  <c r="J100" i="12"/>
  <c r="K100" i="12" s="1"/>
  <c r="E100" i="12"/>
  <c r="B100" i="12"/>
  <c r="A100" i="12"/>
  <c r="J99" i="12"/>
  <c r="K99" i="12" s="1"/>
  <c r="E99" i="12"/>
  <c r="B99" i="12"/>
  <c r="A99" i="12"/>
  <c r="J98" i="12"/>
  <c r="K98" i="12" s="1"/>
  <c r="E98" i="12"/>
  <c r="B98" i="12"/>
  <c r="A98" i="12"/>
  <c r="J97" i="12"/>
  <c r="K97" i="12" s="1"/>
  <c r="E97" i="12"/>
  <c r="B97" i="12"/>
  <c r="A97" i="12"/>
  <c r="J96" i="12"/>
  <c r="K96" i="12" s="1"/>
  <c r="E96" i="12"/>
  <c r="B96" i="12"/>
  <c r="A96" i="12"/>
  <c r="J95" i="12"/>
  <c r="K95" i="12" s="1"/>
  <c r="E95" i="12"/>
  <c r="B95" i="12"/>
  <c r="A95" i="12"/>
  <c r="J94" i="12"/>
  <c r="K94" i="12" s="1"/>
  <c r="E94" i="12"/>
  <c r="B94" i="12"/>
  <c r="A94" i="12"/>
  <c r="J93" i="12"/>
  <c r="K93" i="12" s="1"/>
  <c r="E93" i="12"/>
  <c r="B93" i="12"/>
  <c r="A93" i="12"/>
  <c r="J92" i="12"/>
  <c r="K92" i="12" s="1"/>
  <c r="E92" i="12"/>
  <c r="B92" i="12"/>
  <c r="A92" i="12"/>
  <c r="J91" i="12"/>
  <c r="K91" i="12" s="1"/>
  <c r="E91" i="12"/>
  <c r="B91" i="12"/>
  <c r="A91" i="12"/>
  <c r="J90" i="12"/>
  <c r="K90" i="12" s="1"/>
  <c r="E90" i="12"/>
  <c r="B90" i="12"/>
  <c r="J89" i="12"/>
  <c r="K89" i="12" s="1"/>
  <c r="E89" i="12"/>
  <c r="B89" i="12"/>
  <c r="J88" i="12"/>
  <c r="K88" i="12" s="1"/>
  <c r="E88" i="12"/>
  <c r="B88" i="12"/>
  <c r="J87" i="12"/>
  <c r="K87" i="12" s="1"/>
  <c r="E87" i="12"/>
  <c r="B87" i="12"/>
  <c r="J86" i="12"/>
  <c r="K86" i="12" s="1"/>
  <c r="E86" i="12"/>
  <c r="B86" i="12"/>
  <c r="J85" i="12"/>
  <c r="K85" i="12" s="1"/>
  <c r="E85" i="12"/>
  <c r="B85" i="12"/>
  <c r="J84" i="12"/>
  <c r="K84" i="12" s="1"/>
  <c r="E84" i="12"/>
  <c r="B84" i="12"/>
  <c r="J83" i="12"/>
  <c r="K83" i="12" s="1"/>
  <c r="E83" i="12"/>
  <c r="B83" i="12"/>
  <c r="J82" i="12"/>
  <c r="K82" i="12" s="1"/>
  <c r="E82" i="12"/>
  <c r="B82" i="12"/>
  <c r="J81" i="12"/>
  <c r="K81" i="12" s="1"/>
  <c r="E81" i="12"/>
  <c r="B81" i="12"/>
  <c r="J80" i="12"/>
  <c r="K80" i="12" s="1"/>
  <c r="E80" i="12"/>
  <c r="B80" i="12"/>
  <c r="J79" i="12"/>
  <c r="K79" i="12" s="1"/>
  <c r="E79" i="12"/>
  <c r="B79" i="12"/>
  <c r="J78" i="12"/>
  <c r="K78" i="12" s="1"/>
  <c r="E78" i="12"/>
  <c r="B78" i="12"/>
  <c r="J77" i="12"/>
  <c r="K77" i="12" s="1"/>
  <c r="E77" i="12"/>
  <c r="B77" i="12"/>
  <c r="J76" i="12"/>
  <c r="K76" i="12" s="1"/>
  <c r="E76" i="12"/>
  <c r="B76" i="12"/>
  <c r="J75" i="12"/>
  <c r="K75" i="12" s="1"/>
  <c r="E75" i="12"/>
  <c r="B75" i="12"/>
  <c r="J74" i="12"/>
  <c r="K74" i="12" s="1"/>
  <c r="E74" i="12"/>
  <c r="B74" i="12"/>
  <c r="J73" i="12"/>
  <c r="K73" i="12" s="1"/>
  <c r="E73" i="12"/>
  <c r="B73" i="12"/>
  <c r="J72" i="12"/>
  <c r="K72" i="12" s="1"/>
  <c r="E72" i="12"/>
  <c r="B72" i="12"/>
  <c r="J71" i="12"/>
  <c r="K71" i="12" s="1"/>
  <c r="E71" i="12"/>
  <c r="B71" i="12"/>
  <c r="J70" i="12"/>
  <c r="K70" i="12" s="1"/>
  <c r="E70" i="12"/>
  <c r="B70" i="12"/>
  <c r="J69" i="12"/>
  <c r="K69" i="12" s="1"/>
  <c r="E69" i="12"/>
  <c r="B69" i="12"/>
  <c r="J68" i="12"/>
  <c r="K68" i="12" s="1"/>
  <c r="E68" i="12"/>
  <c r="B68" i="12"/>
  <c r="J67" i="12"/>
  <c r="K67" i="12" s="1"/>
  <c r="E67" i="12"/>
  <c r="B67" i="12"/>
  <c r="J66" i="12"/>
  <c r="K66" i="12" s="1"/>
  <c r="E66" i="12"/>
  <c r="B66" i="12"/>
  <c r="J65" i="12"/>
  <c r="K65" i="12" s="1"/>
  <c r="E65" i="12"/>
  <c r="B65" i="12"/>
  <c r="J64" i="12"/>
  <c r="K64" i="12" s="1"/>
  <c r="E64" i="12"/>
  <c r="B64" i="12"/>
  <c r="J63" i="12"/>
  <c r="K63" i="12" s="1"/>
  <c r="E63" i="12"/>
  <c r="B63" i="12"/>
  <c r="J62" i="12"/>
  <c r="K62" i="12" s="1"/>
  <c r="E62" i="12"/>
  <c r="B62" i="12"/>
  <c r="J61" i="12"/>
  <c r="K61" i="12" s="1"/>
  <c r="E61" i="12"/>
  <c r="B61" i="12"/>
  <c r="J60" i="12"/>
  <c r="K60" i="12" s="1"/>
  <c r="E60" i="12"/>
  <c r="B60" i="12"/>
  <c r="J59" i="12"/>
  <c r="K59" i="12" s="1"/>
  <c r="E59" i="12"/>
  <c r="B59" i="12"/>
  <c r="J58" i="12"/>
  <c r="K58" i="12" s="1"/>
  <c r="E58" i="12"/>
  <c r="B58" i="12"/>
  <c r="J57" i="12"/>
  <c r="K57" i="12" s="1"/>
  <c r="E57" i="12"/>
  <c r="B57" i="12"/>
  <c r="K56" i="12"/>
  <c r="J56" i="12"/>
  <c r="E56" i="12"/>
  <c r="B56" i="12"/>
  <c r="K55" i="12"/>
  <c r="J55" i="12"/>
  <c r="E55" i="12"/>
  <c r="B55" i="12"/>
  <c r="K54" i="12"/>
  <c r="J54" i="12"/>
  <c r="E54" i="12"/>
  <c r="B54" i="12"/>
  <c r="K53" i="12"/>
  <c r="J53" i="12"/>
  <c r="E53" i="12"/>
  <c r="B53" i="12"/>
  <c r="K52" i="12"/>
  <c r="J52" i="12"/>
  <c r="E52" i="12"/>
  <c r="B52" i="12"/>
  <c r="J51" i="12"/>
  <c r="K51" i="12" s="1"/>
  <c r="E51" i="12"/>
  <c r="B51" i="12"/>
  <c r="K50" i="12"/>
  <c r="J50" i="12"/>
  <c r="E50" i="12"/>
  <c r="B50" i="12"/>
  <c r="K49" i="12"/>
  <c r="J49" i="12"/>
  <c r="E49" i="12"/>
  <c r="B49" i="12"/>
  <c r="K48" i="12"/>
  <c r="J48" i="12"/>
  <c r="E48" i="12"/>
  <c r="B48" i="12"/>
  <c r="K47" i="12"/>
  <c r="J47" i="12"/>
  <c r="E47" i="12"/>
  <c r="B47" i="12"/>
  <c r="K46" i="12"/>
  <c r="J46" i="12"/>
  <c r="E46" i="12"/>
  <c r="B46" i="12"/>
  <c r="K45" i="12"/>
  <c r="J45" i="12"/>
  <c r="E45" i="12"/>
  <c r="B45" i="12"/>
  <c r="K44" i="12"/>
  <c r="J44" i="12"/>
  <c r="E44" i="12"/>
  <c r="B44" i="12"/>
  <c r="K43" i="12"/>
  <c r="J43" i="12"/>
  <c r="E43" i="12"/>
  <c r="B43" i="12"/>
  <c r="K42" i="12"/>
  <c r="J42" i="12"/>
  <c r="E42" i="12"/>
  <c r="B42" i="12"/>
  <c r="K41" i="12"/>
  <c r="J41" i="12"/>
  <c r="E41" i="12"/>
  <c r="B41" i="12"/>
  <c r="K40" i="12"/>
  <c r="J40" i="12"/>
  <c r="E40" i="12"/>
  <c r="B40" i="12"/>
  <c r="K39" i="12"/>
  <c r="J39" i="12"/>
  <c r="E39" i="12"/>
  <c r="B39" i="12"/>
  <c r="K38" i="12"/>
  <c r="J38" i="12"/>
  <c r="E38" i="12"/>
  <c r="B38" i="12"/>
  <c r="K37" i="12"/>
  <c r="J37" i="12"/>
  <c r="E37" i="12"/>
  <c r="B37" i="12"/>
  <c r="K36" i="12"/>
  <c r="J36" i="12"/>
  <c r="E36" i="12"/>
  <c r="B36" i="12"/>
  <c r="K35" i="12"/>
  <c r="J35" i="12"/>
  <c r="E35" i="12"/>
  <c r="B35" i="12"/>
  <c r="K34" i="12"/>
  <c r="J34" i="12"/>
  <c r="E34" i="12"/>
  <c r="B34" i="12"/>
  <c r="K33" i="12"/>
  <c r="J33" i="12"/>
  <c r="E33" i="12"/>
  <c r="B33" i="12"/>
  <c r="K32" i="12"/>
  <c r="J32" i="12"/>
  <c r="E32" i="12"/>
  <c r="B32" i="12"/>
  <c r="K31" i="12"/>
  <c r="J31" i="12"/>
  <c r="E31" i="12"/>
  <c r="B31" i="12"/>
  <c r="K30" i="12"/>
  <c r="J30" i="12"/>
  <c r="E30" i="12"/>
  <c r="B30" i="12"/>
  <c r="K29" i="12"/>
  <c r="J29" i="12"/>
  <c r="E29" i="12"/>
  <c r="B29" i="12"/>
  <c r="K28" i="12"/>
  <c r="J28" i="12"/>
  <c r="E28" i="12"/>
  <c r="B28" i="12"/>
  <c r="K27" i="12"/>
  <c r="J27" i="12"/>
  <c r="E27" i="12"/>
  <c r="B27" i="12"/>
  <c r="K26" i="12"/>
  <c r="J26" i="12"/>
  <c r="E26" i="12"/>
  <c r="B26" i="12"/>
  <c r="K25" i="12"/>
  <c r="J25" i="12"/>
  <c r="E25" i="12"/>
  <c r="B25" i="12"/>
  <c r="K24" i="12"/>
  <c r="J24" i="12"/>
  <c r="E24" i="12"/>
  <c r="B24" i="12"/>
  <c r="K23" i="12"/>
  <c r="J23" i="12"/>
  <c r="E23" i="12"/>
  <c r="B23" i="12"/>
  <c r="K22" i="12"/>
  <c r="J22" i="12"/>
  <c r="E22" i="12"/>
  <c r="B22" i="12"/>
  <c r="K21" i="12"/>
  <c r="J21" i="12"/>
  <c r="E21" i="12"/>
  <c r="B21" i="12"/>
  <c r="K20" i="12"/>
  <c r="J20" i="12"/>
  <c r="E20" i="12"/>
  <c r="B20" i="12"/>
  <c r="K19" i="12"/>
  <c r="J19" i="12"/>
  <c r="E19" i="12"/>
  <c r="B19" i="12"/>
  <c r="K18" i="12"/>
  <c r="J18" i="12"/>
  <c r="E18" i="12"/>
  <c r="B18" i="12"/>
  <c r="K17" i="12"/>
  <c r="J17" i="12"/>
  <c r="E17" i="12"/>
  <c r="B17" i="12"/>
  <c r="K16" i="12"/>
  <c r="J16" i="12"/>
  <c r="E16" i="12"/>
  <c r="B16" i="12"/>
  <c r="K15" i="12"/>
  <c r="J15" i="12"/>
  <c r="E15" i="12"/>
  <c r="B15" i="12"/>
  <c r="K14" i="12"/>
  <c r="J14" i="12"/>
  <c r="E14" i="12"/>
  <c r="B14" i="12"/>
  <c r="K13" i="12"/>
  <c r="J13" i="12"/>
  <c r="E13" i="12"/>
  <c r="B13" i="12"/>
  <c r="K12" i="12"/>
  <c r="J12" i="12"/>
  <c r="E12" i="12"/>
  <c r="B12" i="12"/>
  <c r="A12" i="12"/>
  <c r="K11" i="12"/>
  <c r="J11" i="12"/>
  <c r="E11" i="12"/>
  <c r="B11" i="12"/>
  <c r="A11" i="12"/>
  <c r="J135" i="11"/>
  <c r="K135" i="11" s="1"/>
  <c r="E135" i="11"/>
  <c r="B135" i="11"/>
  <c r="J134" i="11"/>
  <c r="K134" i="11" s="1"/>
  <c r="E134" i="11"/>
  <c r="B134" i="11"/>
  <c r="J133" i="11"/>
  <c r="K133" i="11" s="1"/>
  <c r="E133" i="11"/>
  <c r="B133" i="11"/>
  <c r="J132" i="11"/>
  <c r="K132" i="11" s="1"/>
  <c r="E132" i="11"/>
  <c r="B132" i="11"/>
  <c r="J131" i="11"/>
  <c r="K131" i="11" s="1"/>
  <c r="E131" i="11"/>
  <c r="B131" i="11"/>
  <c r="J130" i="11"/>
  <c r="K130" i="11" s="1"/>
  <c r="E130" i="11"/>
  <c r="B130" i="11"/>
  <c r="J129" i="11"/>
  <c r="K129" i="11" s="1"/>
  <c r="E129" i="11"/>
  <c r="B129" i="11"/>
  <c r="J128" i="11"/>
  <c r="K128" i="11" s="1"/>
  <c r="E128" i="11"/>
  <c r="B128" i="11"/>
  <c r="J127" i="11"/>
  <c r="K127" i="11" s="1"/>
  <c r="E127" i="11"/>
  <c r="B127" i="11"/>
  <c r="J126" i="11"/>
  <c r="K126" i="11" s="1"/>
  <c r="E126" i="11"/>
  <c r="B126" i="11"/>
  <c r="J125" i="11"/>
  <c r="K125" i="11" s="1"/>
  <c r="E125" i="11"/>
  <c r="B125" i="11"/>
  <c r="J124" i="11"/>
  <c r="K124" i="11" s="1"/>
  <c r="E124" i="11"/>
  <c r="B124" i="11"/>
  <c r="J123" i="11"/>
  <c r="K123" i="11" s="1"/>
  <c r="E123" i="11"/>
  <c r="B123" i="11"/>
  <c r="J122" i="11"/>
  <c r="K122" i="11" s="1"/>
  <c r="E122" i="11"/>
  <c r="B122" i="11"/>
  <c r="J121" i="11"/>
  <c r="K121" i="11" s="1"/>
  <c r="E121" i="11"/>
  <c r="B121" i="11"/>
  <c r="J120" i="11"/>
  <c r="K120" i="11" s="1"/>
  <c r="E120" i="11"/>
  <c r="B120" i="11"/>
  <c r="J119" i="11"/>
  <c r="K119" i="11" s="1"/>
  <c r="E119" i="11"/>
  <c r="B119" i="11"/>
  <c r="J118" i="11"/>
  <c r="K118" i="11" s="1"/>
  <c r="E118" i="11"/>
  <c r="B118" i="11"/>
  <c r="J117" i="11"/>
  <c r="K117" i="11" s="1"/>
  <c r="E117" i="11"/>
  <c r="B117" i="11"/>
  <c r="J116" i="11"/>
  <c r="K116" i="11" s="1"/>
  <c r="E116" i="11"/>
  <c r="B116" i="11"/>
  <c r="A116" i="11"/>
  <c r="J115" i="11"/>
  <c r="K115" i="11" s="1"/>
  <c r="E115" i="11"/>
  <c r="B115" i="11"/>
  <c r="A115" i="11"/>
  <c r="J114" i="11"/>
  <c r="K114" i="11" s="1"/>
  <c r="E114" i="11"/>
  <c r="B114" i="11"/>
  <c r="A114" i="11"/>
  <c r="J113" i="11"/>
  <c r="K113" i="11" s="1"/>
  <c r="E113" i="11"/>
  <c r="B113" i="11"/>
  <c r="A113" i="11"/>
  <c r="J112" i="11"/>
  <c r="K112" i="11" s="1"/>
  <c r="E112" i="11"/>
  <c r="B112" i="11"/>
  <c r="A112" i="11"/>
  <c r="J111" i="11"/>
  <c r="K111" i="11" s="1"/>
  <c r="E111" i="11"/>
  <c r="B111" i="11"/>
  <c r="A111" i="11"/>
  <c r="J110" i="11"/>
  <c r="K110" i="11" s="1"/>
  <c r="E110" i="11"/>
  <c r="B110" i="11"/>
  <c r="A110" i="11"/>
  <c r="J109" i="11"/>
  <c r="K109" i="11" s="1"/>
  <c r="E109" i="11"/>
  <c r="B109" i="11"/>
  <c r="A109" i="11"/>
  <c r="J108" i="11"/>
  <c r="K108" i="11" s="1"/>
  <c r="E108" i="11"/>
  <c r="B108" i="11"/>
  <c r="A108" i="11"/>
  <c r="J107" i="11"/>
  <c r="K107" i="11" s="1"/>
  <c r="E107" i="11"/>
  <c r="B107" i="11"/>
  <c r="A107" i="11"/>
  <c r="J106" i="11"/>
  <c r="K106" i="11" s="1"/>
  <c r="E106" i="11"/>
  <c r="B106" i="11"/>
  <c r="A106" i="11"/>
  <c r="J105" i="11"/>
  <c r="K105" i="11" s="1"/>
  <c r="E105" i="11"/>
  <c r="B105" i="11"/>
  <c r="A105" i="11"/>
  <c r="J104" i="11"/>
  <c r="K104" i="11" s="1"/>
  <c r="E104" i="11"/>
  <c r="B104" i="11"/>
  <c r="A104" i="11"/>
  <c r="J103" i="11"/>
  <c r="K103" i="11" s="1"/>
  <c r="E103" i="11"/>
  <c r="B103" i="11"/>
  <c r="A103" i="11"/>
  <c r="J102" i="11"/>
  <c r="K102" i="11" s="1"/>
  <c r="E102" i="11"/>
  <c r="B102" i="11"/>
  <c r="A102" i="11"/>
  <c r="J101" i="11"/>
  <c r="K101" i="11" s="1"/>
  <c r="E101" i="11"/>
  <c r="B101" i="11"/>
  <c r="A101" i="11"/>
  <c r="J100" i="11"/>
  <c r="K100" i="11" s="1"/>
  <c r="E100" i="11"/>
  <c r="B100" i="11"/>
  <c r="A100" i="11"/>
  <c r="J99" i="11"/>
  <c r="K99" i="11" s="1"/>
  <c r="E99" i="11"/>
  <c r="B99" i="11"/>
  <c r="A99" i="11"/>
  <c r="J98" i="11"/>
  <c r="K98" i="11" s="1"/>
  <c r="E98" i="11"/>
  <c r="B98" i="11"/>
  <c r="A98" i="11"/>
  <c r="J97" i="11"/>
  <c r="K97" i="11" s="1"/>
  <c r="E97" i="11"/>
  <c r="B97" i="11"/>
  <c r="A97" i="11"/>
  <c r="J96" i="11"/>
  <c r="K96" i="11" s="1"/>
  <c r="E96" i="11"/>
  <c r="B96" i="11"/>
  <c r="A96" i="11"/>
  <c r="J95" i="11"/>
  <c r="K95" i="11" s="1"/>
  <c r="E95" i="11"/>
  <c r="B95" i="11"/>
  <c r="A95" i="11"/>
  <c r="J94" i="11"/>
  <c r="K94" i="11" s="1"/>
  <c r="E94" i="11"/>
  <c r="B94" i="11"/>
  <c r="A94" i="11"/>
  <c r="J93" i="11"/>
  <c r="K93" i="11" s="1"/>
  <c r="E93" i="11"/>
  <c r="B93" i="11"/>
  <c r="A93" i="11"/>
  <c r="J92" i="11"/>
  <c r="K92" i="11" s="1"/>
  <c r="E92" i="11"/>
  <c r="B92" i="11"/>
  <c r="A92" i="11"/>
  <c r="J91" i="11"/>
  <c r="K91" i="11" s="1"/>
  <c r="E91" i="11"/>
  <c r="B91" i="11"/>
  <c r="A91" i="11"/>
  <c r="J90" i="11"/>
  <c r="K90" i="11" s="1"/>
  <c r="E90" i="11"/>
  <c r="B90" i="11"/>
  <c r="J89" i="11"/>
  <c r="K89" i="11" s="1"/>
  <c r="E89" i="11"/>
  <c r="B89" i="11"/>
  <c r="J88" i="11"/>
  <c r="K88" i="11" s="1"/>
  <c r="E88" i="11"/>
  <c r="B88" i="11"/>
  <c r="J87" i="11"/>
  <c r="K87" i="11" s="1"/>
  <c r="E87" i="11"/>
  <c r="B87" i="11"/>
  <c r="J86" i="11"/>
  <c r="K86" i="11" s="1"/>
  <c r="E86" i="11"/>
  <c r="B86" i="11"/>
  <c r="J85" i="11"/>
  <c r="K85" i="11" s="1"/>
  <c r="E85" i="11"/>
  <c r="B85" i="11"/>
  <c r="J84" i="11"/>
  <c r="K84" i="11" s="1"/>
  <c r="E84" i="11"/>
  <c r="B84" i="11"/>
  <c r="J83" i="11"/>
  <c r="K83" i="11" s="1"/>
  <c r="E83" i="11"/>
  <c r="B83" i="11"/>
  <c r="J82" i="11"/>
  <c r="K82" i="11" s="1"/>
  <c r="E82" i="11"/>
  <c r="B82" i="11"/>
  <c r="J81" i="11"/>
  <c r="K81" i="11" s="1"/>
  <c r="E81" i="11"/>
  <c r="B81" i="11"/>
  <c r="J80" i="11"/>
  <c r="K80" i="11" s="1"/>
  <c r="E80" i="11"/>
  <c r="B80" i="11"/>
  <c r="J79" i="11"/>
  <c r="K79" i="11" s="1"/>
  <c r="E79" i="11"/>
  <c r="B79" i="11"/>
  <c r="J78" i="11"/>
  <c r="K78" i="11" s="1"/>
  <c r="E78" i="11"/>
  <c r="B78" i="11"/>
  <c r="J77" i="11"/>
  <c r="K77" i="11" s="1"/>
  <c r="E77" i="11"/>
  <c r="B77" i="11"/>
  <c r="J76" i="11"/>
  <c r="K76" i="11" s="1"/>
  <c r="E76" i="11"/>
  <c r="B76" i="11"/>
  <c r="J75" i="11"/>
  <c r="K75" i="11" s="1"/>
  <c r="E75" i="11"/>
  <c r="B75" i="11"/>
  <c r="J74" i="11"/>
  <c r="K74" i="11" s="1"/>
  <c r="E74" i="11"/>
  <c r="B74" i="11"/>
  <c r="J73" i="11"/>
  <c r="K73" i="11" s="1"/>
  <c r="E73" i="11"/>
  <c r="B73" i="11"/>
  <c r="J72" i="11"/>
  <c r="K72" i="11" s="1"/>
  <c r="E72" i="11"/>
  <c r="B72" i="11"/>
  <c r="J71" i="11"/>
  <c r="K71" i="11" s="1"/>
  <c r="E71" i="11"/>
  <c r="B71" i="11"/>
  <c r="J70" i="11"/>
  <c r="K70" i="11" s="1"/>
  <c r="E70" i="11"/>
  <c r="B70" i="11"/>
  <c r="J69" i="11"/>
  <c r="K69" i="11" s="1"/>
  <c r="E69" i="11"/>
  <c r="B69" i="11"/>
  <c r="J68" i="11"/>
  <c r="K68" i="11" s="1"/>
  <c r="E68" i="11"/>
  <c r="B68" i="11"/>
  <c r="J67" i="11"/>
  <c r="K67" i="11" s="1"/>
  <c r="E67" i="11"/>
  <c r="B67" i="11"/>
  <c r="J66" i="11"/>
  <c r="K66" i="11" s="1"/>
  <c r="E66" i="11"/>
  <c r="B66" i="11"/>
  <c r="J65" i="11"/>
  <c r="K65" i="11" s="1"/>
  <c r="E65" i="11"/>
  <c r="B65" i="11"/>
  <c r="J64" i="11"/>
  <c r="K64" i="11" s="1"/>
  <c r="E64" i="11"/>
  <c r="B64" i="11"/>
  <c r="J63" i="11"/>
  <c r="K63" i="11" s="1"/>
  <c r="E63" i="11"/>
  <c r="B63" i="11"/>
  <c r="J62" i="11"/>
  <c r="K62" i="11" s="1"/>
  <c r="E62" i="11"/>
  <c r="B62" i="11"/>
  <c r="J61" i="11"/>
  <c r="K61" i="11" s="1"/>
  <c r="E61" i="11"/>
  <c r="B61" i="11"/>
  <c r="J60" i="11"/>
  <c r="K60" i="11" s="1"/>
  <c r="E60" i="11"/>
  <c r="B60" i="11"/>
  <c r="J59" i="11"/>
  <c r="K59" i="11" s="1"/>
  <c r="E59" i="11"/>
  <c r="B59" i="11"/>
  <c r="J58" i="11"/>
  <c r="K58" i="11" s="1"/>
  <c r="E58" i="11"/>
  <c r="B58" i="11"/>
  <c r="J57" i="11"/>
  <c r="K57" i="11" s="1"/>
  <c r="E57" i="11"/>
  <c r="B57" i="11"/>
  <c r="J56" i="11"/>
  <c r="K56" i="11" s="1"/>
  <c r="E56" i="11"/>
  <c r="B56" i="11"/>
  <c r="J55" i="11"/>
  <c r="K55" i="11" s="1"/>
  <c r="E55" i="11"/>
  <c r="B55" i="11"/>
  <c r="J54" i="11"/>
  <c r="K54" i="11" s="1"/>
  <c r="E54" i="11"/>
  <c r="B54" i="11"/>
  <c r="J53" i="11"/>
  <c r="K53" i="11" s="1"/>
  <c r="E53" i="11"/>
  <c r="B53" i="11"/>
  <c r="K52" i="11"/>
  <c r="J52" i="11"/>
  <c r="E52" i="11"/>
  <c r="B52" i="11"/>
  <c r="J51" i="11"/>
  <c r="K51" i="11" s="1"/>
  <c r="E51" i="11"/>
  <c r="B51" i="11"/>
  <c r="K50" i="11"/>
  <c r="J50" i="11"/>
  <c r="E50" i="11"/>
  <c r="B50" i="11"/>
  <c r="K49" i="11"/>
  <c r="J49" i="11"/>
  <c r="E49" i="11"/>
  <c r="B49" i="11"/>
  <c r="K48" i="11"/>
  <c r="J48" i="11"/>
  <c r="E48" i="11"/>
  <c r="B48" i="11"/>
  <c r="K47" i="11"/>
  <c r="J47" i="11"/>
  <c r="E47" i="11"/>
  <c r="B47" i="11"/>
  <c r="K46" i="11"/>
  <c r="J46" i="11"/>
  <c r="E46" i="11"/>
  <c r="B46" i="11"/>
  <c r="K45" i="11"/>
  <c r="J45" i="11"/>
  <c r="E45" i="11"/>
  <c r="B45" i="11"/>
  <c r="K44" i="11"/>
  <c r="J44" i="11"/>
  <c r="E44" i="11"/>
  <c r="B44" i="11"/>
  <c r="K43" i="11"/>
  <c r="J43" i="11"/>
  <c r="E43" i="11"/>
  <c r="B43" i="11"/>
  <c r="K42" i="11"/>
  <c r="J42" i="11"/>
  <c r="E42" i="11"/>
  <c r="B42" i="11"/>
  <c r="K41" i="11"/>
  <c r="J41" i="11"/>
  <c r="E41" i="11"/>
  <c r="B41" i="11"/>
  <c r="K40" i="11"/>
  <c r="J40" i="11"/>
  <c r="E40" i="11"/>
  <c r="B40" i="11"/>
  <c r="K39" i="11"/>
  <c r="J39" i="11"/>
  <c r="E39" i="11"/>
  <c r="B39" i="11"/>
  <c r="K38" i="11"/>
  <c r="J38" i="11"/>
  <c r="E38" i="11"/>
  <c r="B38" i="11"/>
  <c r="K37" i="11"/>
  <c r="J37" i="11"/>
  <c r="E37" i="11"/>
  <c r="B37" i="11"/>
  <c r="K36" i="11"/>
  <c r="J36" i="11"/>
  <c r="E36" i="11"/>
  <c r="B36" i="11"/>
  <c r="K35" i="11"/>
  <c r="J35" i="11"/>
  <c r="E35" i="11"/>
  <c r="B35" i="11"/>
  <c r="K34" i="11"/>
  <c r="J34" i="11"/>
  <c r="E34" i="11"/>
  <c r="B34" i="11"/>
  <c r="K33" i="11"/>
  <c r="J33" i="11"/>
  <c r="E33" i="11"/>
  <c r="B33" i="11"/>
  <c r="K32" i="11"/>
  <c r="J32" i="11"/>
  <c r="E32" i="11"/>
  <c r="B32" i="11"/>
  <c r="K31" i="11"/>
  <c r="J31" i="11"/>
  <c r="E31" i="11"/>
  <c r="B31" i="11"/>
  <c r="K30" i="11"/>
  <c r="J30" i="11"/>
  <c r="E30" i="11"/>
  <c r="B30" i="11"/>
  <c r="K29" i="11"/>
  <c r="J29" i="11"/>
  <c r="E29" i="11"/>
  <c r="B29" i="11"/>
  <c r="K28" i="11"/>
  <c r="J28" i="11"/>
  <c r="E28" i="11"/>
  <c r="B28" i="11"/>
  <c r="K27" i="11"/>
  <c r="J27" i="11"/>
  <c r="E27" i="11"/>
  <c r="B27" i="11"/>
  <c r="K26" i="11"/>
  <c r="J26" i="11"/>
  <c r="E26" i="11"/>
  <c r="B26" i="11"/>
  <c r="K25" i="11"/>
  <c r="J25" i="11"/>
  <c r="E25" i="11"/>
  <c r="B25" i="11"/>
  <c r="K24" i="11"/>
  <c r="J24" i="11"/>
  <c r="E24" i="11"/>
  <c r="B24" i="11"/>
  <c r="K23" i="11"/>
  <c r="J23" i="11"/>
  <c r="E23" i="11"/>
  <c r="B23" i="11"/>
  <c r="K22" i="11"/>
  <c r="J22" i="11"/>
  <c r="E22" i="11"/>
  <c r="B22" i="11"/>
  <c r="J21" i="11"/>
  <c r="K21" i="11" s="1"/>
  <c r="E21" i="11"/>
  <c r="B21" i="11"/>
  <c r="J20" i="11"/>
  <c r="K20" i="11" s="1"/>
  <c r="E20" i="11"/>
  <c r="B20" i="11"/>
  <c r="J19" i="11"/>
  <c r="K19" i="11" s="1"/>
  <c r="E19" i="11"/>
  <c r="B19" i="11"/>
  <c r="J18" i="11"/>
  <c r="K18" i="11" s="1"/>
  <c r="E18" i="11"/>
  <c r="B18" i="11"/>
  <c r="J17" i="11"/>
  <c r="K17" i="11" s="1"/>
  <c r="E17" i="11"/>
  <c r="B17" i="11"/>
  <c r="J16" i="11"/>
  <c r="K16" i="11" s="1"/>
  <c r="E16" i="11"/>
  <c r="B16" i="11"/>
  <c r="J15" i="11"/>
  <c r="K15" i="11" s="1"/>
  <c r="E15" i="11"/>
  <c r="B15" i="11"/>
  <c r="J14" i="11"/>
  <c r="K14" i="11" s="1"/>
  <c r="E14" i="11"/>
  <c r="B14" i="11"/>
  <c r="J13" i="11"/>
  <c r="K13" i="11" s="1"/>
  <c r="E13" i="11"/>
  <c r="B13" i="11"/>
  <c r="J12" i="11"/>
  <c r="K12" i="11" s="1"/>
  <c r="E12" i="11"/>
  <c r="B12" i="11"/>
  <c r="A12" i="11"/>
  <c r="J11" i="11"/>
  <c r="K11" i="11" s="1"/>
  <c r="E11" i="11"/>
  <c r="B11" i="11"/>
  <c r="A11" i="11"/>
  <c r="J135" i="10"/>
  <c r="K135" i="10" s="1"/>
  <c r="E135" i="10"/>
  <c r="B135" i="10"/>
  <c r="J134" i="10"/>
  <c r="K134" i="10" s="1"/>
  <c r="E134" i="10"/>
  <c r="B134" i="10"/>
  <c r="J133" i="10"/>
  <c r="K133" i="10" s="1"/>
  <c r="E133" i="10"/>
  <c r="B133" i="10"/>
  <c r="J132" i="10"/>
  <c r="K132" i="10" s="1"/>
  <c r="E132" i="10"/>
  <c r="B132" i="10"/>
  <c r="J131" i="10"/>
  <c r="K131" i="10" s="1"/>
  <c r="E131" i="10"/>
  <c r="B131" i="10"/>
  <c r="J130" i="10"/>
  <c r="K130" i="10" s="1"/>
  <c r="E130" i="10"/>
  <c r="B130" i="10"/>
  <c r="J129" i="10"/>
  <c r="K129" i="10" s="1"/>
  <c r="E129" i="10"/>
  <c r="B129" i="10"/>
  <c r="J128" i="10"/>
  <c r="K128" i="10" s="1"/>
  <c r="E128" i="10"/>
  <c r="B128" i="10"/>
  <c r="J127" i="10"/>
  <c r="K127" i="10" s="1"/>
  <c r="E127" i="10"/>
  <c r="B127" i="10"/>
  <c r="J126" i="10"/>
  <c r="K126" i="10" s="1"/>
  <c r="E126" i="10"/>
  <c r="B126" i="10"/>
  <c r="J125" i="10"/>
  <c r="K125" i="10" s="1"/>
  <c r="E125" i="10"/>
  <c r="B125" i="10"/>
  <c r="J124" i="10"/>
  <c r="K124" i="10" s="1"/>
  <c r="E124" i="10"/>
  <c r="B124" i="10"/>
  <c r="J123" i="10"/>
  <c r="K123" i="10" s="1"/>
  <c r="E123" i="10"/>
  <c r="B123" i="10"/>
  <c r="J122" i="10"/>
  <c r="K122" i="10" s="1"/>
  <c r="E122" i="10"/>
  <c r="B122" i="10"/>
  <c r="J121" i="10"/>
  <c r="K121" i="10" s="1"/>
  <c r="E121" i="10"/>
  <c r="B121" i="10"/>
  <c r="J120" i="10"/>
  <c r="K120" i="10" s="1"/>
  <c r="E120" i="10"/>
  <c r="B120" i="10"/>
  <c r="J119" i="10"/>
  <c r="K119" i="10" s="1"/>
  <c r="E119" i="10"/>
  <c r="B119" i="10"/>
  <c r="J118" i="10"/>
  <c r="K118" i="10" s="1"/>
  <c r="E118" i="10"/>
  <c r="B118" i="10"/>
  <c r="J117" i="10"/>
  <c r="K117" i="10" s="1"/>
  <c r="E117" i="10"/>
  <c r="B117" i="10"/>
  <c r="J116" i="10"/>
  <c r="K116" i="10" s="1"/>
  <c r="E116" i="10"/>
  <c r="B116" i="10"/>
  <c r="A116" i="10"/>
  <c r="J115" i="10"/>
  <c r="K115" i="10" s="1"/>
  <c r="E115" i="10"/>
  <c r="B115" i="10"/>
  <c r="A115" i="10"/>
  <c r="J114" i="10"/>
  <c r="K114" i="10" s="1"/>
  <c r="E114" i="10"/>
  <c r="B114" i="10"/>
  <c r="A114" i="10"/>
  <c r="J113" i="10"/>
  <c r="K113" i="10" s="1"/>
  <c r="E113" i="10"/>
  <c r="B113" i="10"/>
  <c r="A113" i="10"/>
  <c r="J112" i="10"/>
  <c r="K112" i="10" s="1"/>
  <c r="E112" i="10"/>
  <c r="B112" i="10"/>
  <c r="A112" i="10"/>
  <c r="J111" i="10"/>
  <c r="K111" i="10" s="1"/>
  <c r="E111" i="10"/>
  <c r="B111" i="10"/>
  <c r="A111" i="10"/>
  <c r="J110" i="10"/>
  <c r="K110" i="10" s="1"/>
  <c r="E110" i="10"/>
  <c r="B110" i="10"/>
  <c r="A110" i="10"/>
  <c r="J109" i="10"/>
  <c r="K109" i="10" s="1"/>
  <c r="E109" i="10"/>
  <c r="B109" i="10"/>
  <c r="A109" i="10"/>
  <c r="J108" i="10"/>
  <c r="K108" i="10" s="1"/>
  <c r="E108" i="10"/>
  <c r="B108" i="10"/>
  <c r="A108" i="10"/>
  <c r="J107" i="10"/>
  <c r="K107" i="10" s="1"/>
  <c r="E107" i="10"/>
  <c r="B107" i="10"/>
  <c r="A107" i="10"/>
  <c r="J106" i="10"/>
  <c r="K106" i="10" s="1"/>
  <c r="E106" i="10"/>
  <c r="B106" i="10"/>
  <c r="A106" i="10"/>
  <c r="J105" i="10"/>
  <c r="K105" i="10" s="1"/>
  <c r="E105" i="10"/>
  <c r="B105" i="10"/>
  <c r="A105" i="10"/>
  <c r="J104" i="10"/>
  <c r="K104" i="10" s="1"/>
  <c r="E104" i="10"/>
  <c r="B104" i="10"/>
  <c r="A104" i="10"/>
  <c r="J103" i="10"/>
  <c r="K103" i="10" s="1"/>
  <c r="E103" i="10"/>
  <c r="B103" i="10"/>
  <c r="A103" i="10"/>
  <c r="J102" i="10"/>
  <c r="K102" i="10" s="1"/>
  <c r="E102" i="10"/>
  <c r="B102" i="10"/>
  <c r="A102" i="10"/>
  <c r="J101" i="10"/>
  <c r="K101" i="10" s="1"/>
  <c r="E101" i="10"/>
  <c r="B101" i="10"/>
  <c r="A101" i="10"/>
  <c r="J100" i="10"/>
  <c r="K100" i="10" s="1"/>
  <c r="E100" i="10"/>
  <c r="B100" i="10"/>
  <c r="A100" i="10"/>
  <c r="J99" i="10"/>
  <c r="K99" i="10" s="1"/>
  <c r="E99" i="10"/>
  <c r="B99" i="10"/>
  <c r="A99" i="10"/>
  <c r="J98" i="10"/>
  <c r="K98" i="10" s="1"/>
  <c r="E98" i="10"/>
  <c r="B98" i="10"/>
  <c r="A98" i="10"/>
  <c r="J97" i="10"/>
  <c r="K97" i="10" s="1"/>
  <c r="E97" i="10"/>
  <c r="B97" i="10"/>
  <c r="A97" i="10"/>
  <c r="J96" i="10"/>
  <c r="K96" i="10" s="1"/>
  <c r="E96" i="10"/>
  <c r="B96" i="10"/>
  <c r="A96" i="10"/>
  <c r="J95" i="10"/>
  <c r="K95" i="10" s="1"/>
  <c r="E95" i="10"/>
  <c r="B95" i="10"/>
  <c r="A95" i="10"/>
  <c r="J94" i="10"/>
  <c r="K94" i="10" s="1"/>
  <c r="E94" i="10"/>
  <c r="B94" i="10"/>
  <c r="A94" i="10"/>
  <c r="J93" i="10"/>
  <c r="K93" i="10" s="1"/>
  <c r="E93" i="10"/>
  <c r="B93" i="10"/>
  <c r="A93" i="10"/>
  <c r="J92" i="10"/>
  <c r="K92" i="10" s="1"/>
  <c r="E92" i="10"/>
  <c r="B92" i="10"/>
  <c r="A92" i="10"/>
  <c r="J91" i="10"/>
  <c r="K91" i="10" s="1"/>
  <c r="E91" i="10"/>
  <c r="B91" i="10"/>
  <c r="A91" i="10"/>
  <c r="J90" i="10"/>
  <c r="K90" i="10" s="1"/>
  <c r="E90" i="10"/>
  <c r="B90" i="10"/>
  <c r="J89" i="10"/>
  <c r="K89" i="10" s="1"/>
  <c r="E89" i="10"/>
  <c r="B89" i="10"/>
  <c r="J88" i="10"/>
  <c r="K88" i="10" s="1"/>
  <c r="E88" i="10"/>
  <c r="B88" i="10"/>
  <c r="J87" i="10"/>
  <c r="K87" i="10" s="1"/>
  <c r="E87" i="10"/>
  <c r="B87" i="10"/>
  <c r="J86" i="10"/>
  <c r="K86" i="10" s="1"/>
  <c r="E86" i="10"/>
  <c r="B86" i="10"/>
  <c r="J85" i="10"/>
  <c r="K85" i="10" s="1"/>
  <c r="E85" i="10"/>
  <c r="B85" i="10"/>
  <c r="J84" i="10"/>
  <c r="K84" i="10" s="1"/>
  <c r="E84" i="10"/>
  <c r="B84" i="10"/>
  <c r="J83" i="10"/>
  <c r="K83" i="10" s="1"/>
  <c r="E83" i="10"/>
  <c r="B83" i="10"/>
  <c r="J82" i="10"/>
  <c r="K82" i="10" s="1"/>
  <c r="E82" i="10"/>
  <c r="B82" i="10"/>
  <c r="J81" i="10"/>
  <c r="K81" i="10" s="1"/>
  <c r="E81" i="10"/>
  <c r="B81" i="10"/>
  <c r="J80" i="10"/>
  <c r="K80" i="10" s="1"/>
  <c r="E80" i="10"/>
  <c r="B80" i="10"/>
  <c r="J79" i="10"/>
  <c r="K79" i="10" s="1"/>
  <c r="E79" i="10"/>
  <c r="B79" i="10"/>
  <c r="J78" i="10"/>
  <c r="K78" i="10" s="1"/>
  <c r="E78" i="10"/>
  <c r="B78" i="10"/>
  <c r="J77" i="10"/>
  <c r="K77" i="10" s="1"/>
  <c r="E77" i="10"/>
  <c r="B77" i="10"/>
  <c r="J76" i="10"/>
  <c r="K76" i="10" s="1"/>
  <c r="E76" i="10"/>
  <c r="B76" i="10"/>
  <c r="J75" i="10"/>
  <c r="K75" i="10" s="1"/>
  <c r="E75" i="10"/>
  <c r="B75" i="10"/>
  <c r="J74" i="10"/>
  <c r="K74" i="10" s="1"/>
  <c r="E74" i="10"/>
  <c r="B74" i="10"/>
  <c r="J73" i="10"/>
  <c r="K73" i="10" s="1"/>
  <c r="E73" i="10"/>
  <c r="B73" i="10"/>
  <c r="J72" i="10"/>
  <c r="K72" i="10" s="1"/>
  <c r="E72" i="10"/>
  <c r="B72" i="10"/>
  <c r="J71" i="10"/>
  <c r="K71" i="10" s="1"/>
  <c r="E71" i="10"/>
  <c r="B71" i="10"/>
  <c r="J70" i="10"/>
  <c r="K70" i="10" s="1"/>
  <c r="E70" i="10"/>
  <c r="B70" i="10"/>
  <c r="J69" i="10"/>
  <c r="K69" i="10" s="1"/>
  <c r="E69" i="10"/>
  <c r="B69" i="10"/>
  <c r="J68" i="10"/>
  <c r="K68" i="10" s="1"/>
  <c r="E68" i="10"/>
  <c r="B68" i="10"/>
  <c r="J67" i="10"/>
  <c r="K67" i="10" s="1"/>
  <c r="E67" i="10"/>
  <c r="B67" i="10"/>
  <c r="J66" i="10"/>
  <c r="K66" i="10" s="1"/>
  <c r="E66" i="10"/>
  <c r="B66" i="10"/>
  <c r="J65" i="10"/>
  <c r="K65" i="10" s="1"/>
  <c r="E65" i="10"/>
  <c r="B65" i="10"/>
  <c r="J64" i="10"/>
  <c r="K64" i="10" s="1"/>
  <c r="E64" i="10"/>
  <c r="B64" i="10"/>
  <c r="J63" i="10"/>
  <c r="K63" i="10" s="1"/>
  <c r="E63" i="10"/>
  <c r="B63" i="10"/>
  <c r="J62" i="10"/>
  <c r="K62" i="10" s="1"/>
  <c r="E62" i="10"/>
  <c r="B62" i="10"/>
  <c r="J61" i="10"/>
  <c r="K61" i="10" s="1"/>
  <c r="E61" i="10"/>
  <c r="B61" i="10"/>
  <c r="J60" i="10"/>
  <c r="K60" i="10" s="1"/>
  <c r="E60" i="10"/>
  <c r="B60" i="10"/>
  <c r="J59" i="10"/>
  <c r="K59" i="10" s="1"/>
  <c r="E59" i="10"/>
  <c r="B59" i="10"/>
  <c r="J58" i="10"/>
  <c r="K58" i="10" s="1"/>
  <c r="E58" i="10"/>
  <c r="B58" i="10"/>
  <c r="J57" i="10"/>
  <c r="K57" i="10" s="1"/>
  <c r="E57" i="10"/>
  <c r="B57" i="10"/>
  <c r="J56" i="10"/>
  <c r="K56" i="10" s="1"/>
  <c r="E56" i="10"/>
  <c r="B56" i="10"/>
  <c r="J55" i="10"/>
  <c r="K55" i="10" s="1"/>
  <c r="E55" i="10"/>
  <c r="B55" i="10"/>
  <c r="J54" i="10"/>
  <c r="K54" i="10" s="1"/>
  <c r="E54" i="10"/>
  <c r="B54" i="10"/>
  <c r="J53" i="10"/>
  <c r="K53" i="10" s="1"/>
  <c r="E53" i="10"/>
  <c r="B53" i="10"/>
  <c r="J52" i="10"/>
  <c r="K52" i="10" s="1"/>
  <c r="E52" i="10"/>
  <c r="B52" i="10"/>
  <c r="J51" i="10"/>
  <c r="K51" i="10" s="1"/>
  <c r="E51" i="10"/>
  <c r="B51" i="10"/>
  <c r="J50" i="10"/>
  <c r="K50" i="10" s="1"/>
  <c r="E50" i="10"/>
  <c r="B50" i="10"/>
  <c r="J49" i="10"/>
  <c r="K49" i="10" s="1"/>
  <c r="E49" i="10"/>
  <c r="B49" i="10"/>
  <c r="J48" i="10"/>
  <c r="K48" i="10" s="1"/>
  <c r="E48" i="10"/>
  <c r="B48" i="10"/>
  <c r="J47" i="10"/>
  <c r="K47" i="10" s="1"/>
  <c r="E47" i="10"/>
  <c r="B47" i="10"/>
  <c r="J46" i="10"/>
  <c r="K46" i="10" s="1"/>
  <c r="E46" i="10"/>
  <c r="B46" i="10"/>
  <c r="J45" i="10"/>
  <c r="K45" i="10" s="1"/>
  <c r="E45" i="10"/>
  <c r="B45" i="10"/>
  <c r="J44" i="10"/>
  <c r="K44" i="10" s="1"/>
  <c r="E44" i="10"/>
  <c r="B44" i="10"/>
  <c r="J43" i="10"/>
  <c r="K43" i="10" s="1"/>
  <c r="E43" i="10"/>
  <c r="B43" i="10"/>
  <c r="J42" i="10"/>
  <c r="K42" i="10" s="1"/>
  <c r="E42" i="10"/>
  <c r="B42" i="10"/>
  <c r="J41" i="10"/>
  <c r="K41" i="10" s="1"/>
  <c r="E41" i="10"/>
  <c r="B41" i="10"/>
  <c r="J40" i="10"/>
  <c r="K40" i="10" s="1"/>
  <c r="E40" i="10"/>
  <c r="B40" i="10"/>
  <c r="J39" i="10"/>
  <c r="K39" i="10" s="1"/>
  <c r="E39" i="10"/>
  <c r="B39" i="10"/>
  <c r="J38" i="10"/>
  <c r="K38" i="10" s="1"/>
  <c r="E38" i="10"/>
  <c r="B38" i="10"/>
  <c r="J37" i="10"/>
  <c r="K37" i="10" s="1"/>
  <c r="E37" i="10"/>
  <c r="B37" i="10"/>
  <c r="J36" i="10"/>
  <c r="K36" i="10" s="1"/>
  <c r="E36" i="10"/>
  <c r="B36" i="10"/>
  <c r="J35" i="10"/>
  <c r="K35" i="10" s="1"/>
  <c r="E35" i="10"/>
  <c r="B35" i="10"/>
  <c r="J34" i="10"/>
  <c r="K34" i="10" s="1"/>
  <c r="E34" i="10"/>
  <c r="B34" i="10"/>
  <c r="J33" i="10"/>
  <c r="K33" i="10" s="1"/>
  <c r="E33" i="10"/>
  <c r="B33" i="10"/>
  <c r="J32" i="10"/>
  <c r="K32" i="10" s="1"/>
  <c r="E32" i="10"/>
  <c r="B32" i="10"/>
  <c r="J31" i="10"/>
  <c r="K31" i="10" s="1"/>
  <c r="E31" i="10"/>
  <c r="B31" i="10"/>
  <c r="J30" i="10"/>
  <c r="K30" i="10" s="1"/>
  <c r="E30" i="10"/>
  <c r="B30" i="10"/>
  <c r="J29" i="10"/>
  <c r="K29" i="10" s="1"/>
  <c r="E29" i="10"/>
  <c r="B29" i="10"/>
  <c r="J28" i="10"/>
  <c r="K28" i="10" s="1"/>
  <c r="E28" i="10"/>
  <c r="B28" i="10"/>
  <c r="J27" i="10"/>
  <c r="K27" i="10" s="1"/>
  <c r="E27" i="10"/>
  <c r="B27" i="10"/>
  <c r="J26" i="10"/>
  <c r="K26" i="10" s="1"/>
  <c r="E26" i="10"/>
  <c r="B26" i="10"/>
  <c r="J25" i="10"/>
  <c r="K25" i="10" s="1"/>
  <c r="E25" i="10"/>
  <c r="B25" i="10"/>
  <c r="J24" i="10"/>
  <c r="K24" i="10" s="1"/>
  <c r="E24" i="10"/>
  <c r="B24" i="10"/>
  <c r="J23" i="10"/>
  <c r="K23" i="10" s="1"/>
  <c r="E23" i="10"/>
  <c r="B23" i="10"/>
  <c r="J22" i="10"/>
  <c r="K22" i="10" s="1"/>
  <c r="E22" i="10"/>
  <c r="B22" i="10"/>
  <c r="J21" i="10"/>
  <c r="K21" i="10" s="1"/>
  <c r="E21" i="10"/>
  <c r="B21" i="10"/>
  <c r="J20" i="10"/>
  <c r="K20" i="10" s="1"/>
  <c r="E20" i="10"/>
  <c r="B20" i="10"/>
  <c r="J19" i="10"/>
  <c r="K19" i="10" s="1"/>
  <c r="E19" i="10"/>
  <c r="B19" i="10"/>
  <c r="J18" i="10"/>
  <c r="K18" i="10" s="1"/>
  <c r="E18" i="10"/>
  <c r="B18" i="10"/>
  <c r="J17" i="10"/>
  <c r="K17" i="10" s="1"/>
  <c r="E17" i="10"/>
  <c r="B17" i="10"/>
  <c r="J16" i="10"/>
  <c r="K16" i="10" s="1"/>
  <c r="E16" i="10"/>
  <c r="B16" i="10"/>
  <c r="J15" i="10"/>
  <c r="K15" i="10" s="1"/>
  <c r="E15" i="10"/>
  <c r="B15" i="10"/>
  <c r="J14" i="10"/>
  <c r="K14" i="10" s="1"/>
  <c r="E14" i="10"/>
  <c r="B14" i="10"/>
  <c r="J13" i="10"/>
  <c r="K13" i="10" s="1"/>
  <c r="E13" i="10"/>
  <c r="B13" i="10"/>
  <c r="J12" i="10"/>
  <c r="K12" i="10" s="1"/>
  <c r="E12" i="10"/>
  <c r="B12" i="10"/>
  <c r="A12" i="10"/>
  <c r="J11" i="10"/>
  <c r="K11" i="10" s="1"/>
  <c r="E11" i="10"/>
  <c r="B11" i="10"/>
  <c r="A11" i="10"/>
  <c r="J135" i="9"/>
  <c r="K135" i="9" s="1"/>
  <c r="E135" i="9"/>
  <c r="B135" i="9"/>
  <c r="J134" i="9"/>
  <c r="K134" i="9" s="1"/>
  <c r="E134" i="9"/>
  <c r="B134" i="9"/>
  <c r="J133" i="9"/>
  <c r="K133" i="9" s="1"/>
  <c r="E133" i="9"/>
  <c r="B133" i="9"/>
  <c r="J132" i="9"/>
  <c r="K132" i="9" s="1"/>
  <c r="E132" i="9"/>
  <c r="B132" i="9"/>
  <c r="J131" i="9"/>
  <c r="K131" i="9" s="1"/>
  <c r="E131" i="9"/>
  <c r="B131" i="9"/>
  <c r="J130" i="9"/>
  <c r="K130" i="9" s="1"/>
  <c r="E130" i="9"/>
  <c r="B130" i="9"/>
  <c r="J129" i="9"/>
  <c r="K129" i="9" s="1"/>
  <c r="E129" i="9"/>
  <c r="B129" i="9"/>
  <c r="J128" i="9"/>
  <c r="K128" i="9" s="1"/>
  <c r="E128" i="9"/>
  <c r="B128" i="9"/>
  <c r="J127" i="9"/>
  <c r="K127" i="9" s="1"/>
  <c r="E127" i="9"/>
  <c r="B127" i="9"/>
  <c r="J126" i="9"/>
  <c r="K126" i="9" s="1"/>
  <c r="E126" i="9"/>
  <c r="B126" i="9"/>
  <c r="K125" i="9"/>
  <c r="J125" i="9"/>
  <c r="E125" i="9"/>
  <c r="B125" i="9"/>
  <c r="K124" i="9"/>
  <c r="J124" i="9"/>
  <c r="E124" i="9"/>
  <c r="B124" i="9"/>
  <c r="K123" i="9"/>
  <c r="J123" i="9"/>
  <c r="E123" i="9"/>
  <c r="B123" i="9"/>
  <c r="K122" i="9"/>
  <c r="J122" i="9"/>
  <c r="E122" i="9"/>
  <c r="B122" i="9"/>
  <c r="K121" i="9"/>
  <c r="J121" i="9"/>
  <c r="E121" i="9"/>
  <c r="B121" i="9"/>
  <c r="K120" i="9"/>
  <c r="J120" i="9"/>
  <c r="E120" i="9"/>
  <c r="B120" i="9"/>
  <c r="K119" i="9"/>
  <c r="J119" i="9"/>
  <c r="E119" i="9"/>
  <c r="B119" i="9"/>
  <c r="K118" i="9"/>
  <c r="J118" i="9"/>
  <c r="E118" i="9"/>
  <c r="B118" i="9"/>
  <c r="K117" i="9"/>
  <c r="J117" i="9"/>
  <c r="E117" i="9"/>
  <c r="B117" i="9"/>
  <c r="K116" i="9"/>
  <c r="J116" i="9"/>
  <c r="E116" i="9"/>
  <c r="B116" i="9"/>
  <c r="A116" i="9"/>
  <c r="K115" i="9"/>
  <c r="J115" i="9"/>
  <c r="E115" i="9"/>
  <c r="B115" i="9"/>
  <c r="A115" i="9"/>
  <c r="K114" i="9"/>
  <c r="J114" i="9"/>
  <c r="E114" i="9"/>
  <c r="B114" i="9"/>
  <c r="A114" i="9"/>
  <c r="K113" i="9"/>
  <c r="J113" i="9"/>
  <c r="E113" i="9"/>
  <c r="B113" i="9"/>
  <c r="A113" i="9"/>
  <c r="K112" i="9"/>
  <c r="J112" i="9"/>
  <c r="E112" i="9"/>
  <c r="B112" i="9"/>
  <c r="A112" i="9"/>
  <c r="K111" i="9"/>
  <c r="J111" i="9"/>
  <c r="E111" i="9"/>
  <c r="B111" i="9"/>
  <c r="A111" i="9"/>
  <c r="K110" i="9"/>
  <c r="J110" i="9"/>
  <c r="E110" i="9"/>
  <c r="B110" i="9"/>
  <c r="A110" i="9"/>
  <c r="K109" i="9"/>
  <c r="J109" i="9"/>
  <c r="E109" i="9"/>
  <c r="B109" i="9"/>
  <c r="A109" i="9"/>
  <c r="K108" i="9"/>
  <c r="J108" i="9"/>
  <c r="E108" i="9"/>
  <c r="B108" i="9"/>
  <c r="A108" i="9"/>
  <c r="K107" i="9"/>
  <c r="J107" i="9"/>
  <c r="E107" i="9"/>
  <c r="B107" i="9"/>
  <c r="A107" i="9"/>
  <c r="K106" i="9"/>
  <c r="J106" i="9"/>
  <c r="E106" i="9"/>
  <c r="B106" i="9"/>
  <c r="A106" i="9"/>
  <c r="K105" i="9"/>
  <c r="J105" i="9"/>
  <c r="E105" i="9"/>
  <c r="B105" i="9"/>
  <c r="A105" i="9"/>
  <c r="K104" i="9"/>
  <c r="J104" i="9"/>
  <c r="E104" i="9"/>
  <c r="B104" i="9"/>
  <c r="A104" i="9"/>
  <c r="K103" i="9"/>
  <c r="J103" i="9"/>
  <c r="E103" i="9"/>
  <c r="B103" i="9"/>
  <c r="A103" i="9"/>
  <c r="K102" i="9"/>
  <c r="J102" i="9"/>
  <c r="E102" i="9"/>
  <c r="B102" i="9"/>
  <c r="A102" i="9"/>
  <c r="K101" i="9"/>
  <c r="J101" i="9"/>
  <c r="E101" i="9"/>
  <c r="B101" i="9"/>
  <c r="A101" i="9"/>
  <c r="K100" i="9"/>
  <c r="J100" i="9"/>
  <c r="E100" i="9"/>
  <c r="B100" i="9"/>
  <c r="A100" i="9"/>
  <c r="K99" i="9"/>
  <c r="J99" i="9"/>
  <c r="E99" i="9"/>
  <c r="B99" i="9"/>
  <c r="A99" i="9"/>
  <c r="K98" i="9"/>
  <c r="J98" i="9"/>
  <c r="E98" i="9"/>
  <c r="B98" i="9"/>
  <c r="A98" i="9"/>
  <c r="K97" i="9"/>
  <c r="J97" i="9"/>
  <c r="E97" i="9"/>
  <c r="B97" i="9"/>
  <c r="A97" i="9"/>
  <c r="K96" i="9"/>
  <c r="J96" i="9"/>
  <c r="E96" i="9"/>
  <c r="B96" i="9"/>
  <c r="A96" i="9"/>
  <c r="K95" i="9"/>
  <c r="J95" i="9"/>
  <c r="E95" i="9"/>
  <c r="B95" i="9"/>
  <c r="A95" i="9"/>
  <c r="K94" i="9"/>
  <c r="J94" i="9"/>
  <c r="E94" i="9"/>
  <c r="B94" i="9"/>
  <c r="A94" i="9"/>
  <c r="K93" i="9"/>
  <c r="J93" i="9"/>
  <c r="E93" i="9"/>
  <c r="B93" i="9"/>
  <c r="A93" i="9"/>
  <c r="K92" i="9"/>
  <c r="J92" i="9"/>
  <c r="E92" i="9"/>
  <c r="B92" i="9"/>
  <c r="A92" i="9"/>
  <c r="K91" i="9"/>
  <c r="J91" i="9"/>
  <c r="E91" i="9"/>
  <c r="B91" i="9"/>
  <c r="A91" i="9"/>
  <c r="K90" i="9"/>
  <c r="J90" i="9"/>
  <c r="E90" i="9"/>
  <c r="B90" i="9"/>
  <c r="K89" i="9"/>
  <c r="J89" i="9"/>
  <c r="E89" i="9"/>
  <c r="B89" i="9"/>
  <c r="K88" i="9"/>
  <c r="J88" i="9"/>
  <c r="E88" i="9"/>
  <c r="B88" i="9"/>
  <c r="K87" i="9"/>
  <c r="J87" i="9"/>
  <c r="E87" i="9"/>
  <c r="B87" i="9"/>
  <c r="K86" i="9"/>
  <c r="J86" i="9"/>
  <c r="E86" i="9"/>
  <c r="B86" i="9"/>
  <c r="K85" i="9"/>
  <c r="J85" i="9"/>
  <c r="E85" i="9"/>
  <c r="B85" i="9"/>
  <c r="K84" i="9"/>
  <c r="J84" i="9"/>
  <c r="E84" i="9"/>
  <c r="B84" i="9"/>
  <c r="K83" i="9"/>
  <c r="J83" i="9"/>
  <c r="E83" i="9"/>
  <c r="B83" i="9"/>
  <c r="K82" i="9"/>
  <c r="J82" i="9"/>
  <c r="E82" i="9"/>
  <c r="B82" i="9"/>
  <c r="K81" i="9"/>
  <c r="J81" i="9"/>
  <c r="E81" i="9"/>
  <c r="B81" i="9"/>
  <c r="K80" i="9"/>
  <c r="J80" i="9"/>
  <c r="E80" i="9"/>
  <c r="B80" i="9"/>
  <c r="K79" i="9"/>
  <c r="J79" i="9"/>
  <c r="E79" i="9"/>
  <c r="B79" i="9"/>
  <c r="K78" i="9"/>
  <c r="J78" i="9"/>
  <c r="E78" i="9"/>
  <c r="B78" i="9"/>
  <c r="K77" i="9"/>
  <c r="J77" i="9"/>
  <c r="E77" i="9"/>
  <c r="B77" i="9"/>
  <c r="K76" i="9"/>
  <c r="J76" i="9"/>
  <c r="E76" i="9"/>
  <c r="B76" i="9"/>
  <c r="K75" i="9"/>
  <c r="J75" i="9"/>
  <c r="E75" i="9"/>
  <c r="B75" i="9"/>
  <c r="K74" i="9"/>
  <c r="J74" i="9"/>
  <c r="E74" i="9"/>
  <c r="B74" i="9"/>
  <c r="K73" i="9"/>
  <c r="J73" i="9"/>
  <c r="E73" i="9"/>
  <c r="B73" i="9"/>
  <c r="K72" i="9"/>
  <c r="J72" i="9"/>
  <c r="E72" i="9"/>
  <c r="B72" i="9"/>
  <c r="K71" i="9"/>
  <c r="J71" i="9"/>
  <c r="E71" i="9"/>
  <c r="B71" i="9"/>
  <c r="K70" i="9"/>
  <c r="J70" i="9"/>
  <c r="E70" i="9"/>
  <c r="B70" i="9"/>
  <c r="K69" i="9"/>
  <c r="J69" i="9"/>
  <c r="E69" i="9"/>
  <c r="B69" i="9"/>
  <c r="K68" i="9"/>
  <c r="J68" i="9"/>
  <c r="E68" i="9"/>
  <c r="B68" i="9"/>
  <c r="K67" i="9"/>
  <c r="J67" i="9"/>
  <c r="E67" i="9"/>
  <c r="B67" i="9"/>
  <c r="K66" i="9"/>
  <c r="J66" i="9"/>
  <c r="E66" i="9"/>
  <c r="B66" i="9"/>
  <c r="K65" i="9"/>
  <c r="J65" i="9"/>
  <c r="E65" i="9"/>
  <c r="B65" i="9"/>
  <c r="K64" i="9"/>
  <c r="J64" i="9"/>
  <c r="E64" i="9"/>
  <c r="B64" i="9"/>
  <c r="K63" i="9"/>
  <c r="J63" i="9"/>
  <c r="E63" i="9"/>
  <c r="B63" i="9"/>
  <c r="K62" i="9"/>
  <c r="J62" i="9"/>
  <c r="E62" i="9"/>
  <c r="B62" i="9"/>
  <c r="K61" i="9"/>
  <c r="J61" i="9"/>
  <c r="E61" i="9"/>
  <c r="B61" i="9"/>
  <c r="K60" i="9"/>
  <c r="J60" i="9"/>
  <c r="E60" i="9"/>
  <c r="B60" i="9"/>
  <c r="K59" i="9"/>
  <c r="J59" i="9"/>
  <c r="E59" i="9"/>
  <c r="B59" i="9"/>
  <c r="K58" i="9"/>
  <c r="J58" i="9"/>
  <c r="E58" i="9"/>
  <c r="B58" i="9"/>
  <c r="K57" i="9"/>
  <c r="J57" i="9"/>
  <c r="E57" i="9"/>
  <c r="B57" i="9"/>
  <c r="K56" i="9"/>
  <c r="J56" i="9"/>
  <c r="E56" i="9"/>
  <c r="B56" i="9"/>
  <c r="K55" i="9"/>
  <c r="J55" i="9"/>
  <c r="E55" i="9"/>
  <c r="B55" i="9"/>
  <c r="K54" i="9"/>
  <c r="J54" i="9"/>
  <c r="E54" i="9"/>
  <c r="B54" i="9"/>
  <c r="K53" i="9"/>
  <c r="J53" i="9"/>
  <c r="E53" i="9"/>
  <c r="B53" i="9"/>
  <c r="K52" i="9"/>
  <c r="J52" i="9"/>
  <c r="E52" i="9"/>
  <c r="B52" i="9"/>
  <c r="J51" i="9"/>
  <c r="K51" i="9" s="1"/>
  <c r="E51" i="9"/>
  <c r="B51" i="9"/>
  <c r="J50" i="9"/>
  <c r="K50" i="9" s="1"/>
  <c r="E50" i="9"/>
  <c r="B50" i="9"/>
  <c r="J49" i="9"/>
  <c r="K49" i="9" s="1"/>
  <c r="E49" i="9"/>
  <c r="B49" i="9"/>
  <c r="J48" i="9"/>
  <c r="K48" i="9" s="1"/>
  <c r="E48" i="9"/>
  <c r="B48" i="9"/>
  <c r="J47" i="9"/>
  <c r="K47" i="9" s="1"/>
  <c r="E47" i="9"/>
  <c r="B47" i="9"/>
  <c r="J46" i="9"/>
  <c r="K46" i="9" s="1"/>
  <c r="E46" i="9"/>
  <c r="B46" i="9"/>
  <c r="J45" i="9"/>
  <c r="K45" i="9" s="1"/>
  <c r="E45" i="9"/>
  <c r="B45" i="9"/>
  <c r="J44" i="9"/>
  <c r="K44" i="9" s="1"/>
  <c r="E44" i="9"/>
  <c r="B44" i="9"/>
  <c r="J43" i="9"/>
  <c r="K43" i="9" s="1"/>
  <c r="E43" i="9"/>
  <c r="B43" i="9"/>
  <c r="J42" i="9"/>
  <c r="K42" i="9" s="1"/>
  <c r="E42" i="9"/>
  <c r="B42" i="9"/>
  <c r="J41" i="9"/>
  <c r="K41" i="9" s="1"/>
  <c r="E41" i="9"/>
  <c r="B41" i="9"/>
  <c r="J40" i="9"/>
  <c r="K40" i="9" s="1"/>
  <c r="E40" i="9"/>
  <c r="B40" i="9"/>
  <c r="J39" i="9"/>
  <c r="K39" i="9" s="1"/>
  <c r="E39" i="9"/>
  <c r="B39" i="9"/>
  <c r="J38" i="9"/>
  <c r="K38" i="9" s="1"/>
  <c r="E38" i="9"/>
  <c r="B38" i="9"/>
  <c r="J37" i="9"/>
  <c r="K37" i="9" s="1"/>
  <c r="E37" i="9"/>
  <c r="B37" i="9"/>
  <c r="J36" i="9"/>
  <c r="K36" i="9" s="1"/>
  <c r="E36" i="9"/>
  <c r="B36" i="9"/>
  <c r="J35" i="9"/>
  <c r="K35" i="9" s="1"/>
  <c r="E35" i="9"/>
  <c r="B35" i="9"/>
  <c r="J34" i="9"/>
  <c r="K34" i="9" s="1"/>
  <c r="E34" i="9"/>
  <c r="B34" i="9"/>
  <c r="J33" i="9"/>
  <c r="K33" i="9" s="1"/>
  <c r="E33" i="9"/>
  <c r="B33" i="9"/>
  <c r="J32" i="9"/>
  <c r="K32" i="9" s="1"/>
  <c r="E32" i="9"/>
  <c r="B32" i="9"/>
  <c r="J31" i="9"/>
  <c r="K31" i="9" s="1"/>
  <c r="E31" i="9"/>
  <c r="B31" i="9"/>
  <c r="J30" i="9"/>
  <c r="K30" i="9" s="1"/>
  <c r="E30" i="9"/>
  <c r="B30" i="9"/>
  <c r="J29" i="9"/>
  <c r="K29" i="9" s="1"/>
  <c r="E29" i="9"/>
  <c r="B29" i="9"/>
  <c r="J28" i="9"/>
  <c r="K28" i="9" s="1"/>
  <c r="E28" i="9"/>
  <c r="B28" i="9"/>
  <c r="J27" i="9"/>
  <c r="K27" i="9" s="1"/>
  <c r="E27" i="9"/>
  <c r="B27" i="9"/>
  <c r="J26" i="9"/>
  <c r="K26" i="9" s="1"/>
  <c r="E26" i="9"/>
  <c r="B26" i="9"/>
  <c r="J25" i="9"/>
  <c r="K25" i="9" s="1"/>
  <c r="E25" i="9"/>
  <c r="B25" i="9"/>
  <c r="J24" i="9"/>
  <c r="K24" i="9" s="1"/>
  <c r="E24" i="9"/>
  <c r="B24" i="9"/>
  <c r="J23" i="9"/>
  <c r="K23" i="9" s="1"/>
  <c r="E23" i="9"/>
  <c r="B23" i="9"/>
  <c r="J22" i="9"/>
  <c r="K22" i="9" s="1"/>
  <c r="E22" i="9"/>
  <c r="B22" i="9"/>
  <c r="J21" i="9"/>
  <c r="K21" i="9" s="1"/>
  <c r="E21" i="9"/>
  <c r="B21" i="9"/>
  <c r="J20" i="9"/>
  <c r="K20" i="9" s="1"/>
  <c r="E20" i="9"/>
  <c r="B20" i="9"/>
  <c r="J19" i="9"/>
  <c r="K19" i="9" s="1"/>
  <c r="E19" i="9"/>
  <c r="B19" i="9"/>
  <c r="J18" i="9"/>
  <c r="K18" i="9" s="1"/>
  <c r="E18" i="9"/>
  <c r="B18" i="9"/>
  <c r="J17" i="9"/>
  <c r="K17" i="9" s="1"/>
  <c r="E17" i="9"/>
  <c r="B17" i="9"/>
  <c r="J16" i="9"/>
  <c r="K16" i="9" s="1"/>
  <c r="E16" i="9"/>
  <c r="B16" i="9"/>
  <c r="J15" i="9"/>
  <c r="K15" i="9" s="1"/>
  <c r="E15" i="9"/>
  <c r="B15" i="9"/>
  <c r="J14" i="9"/>
  <c r="K14" i="9" s="1"/>
  <c r="E14" i="9"/>
  <c r="B14" i="9"/>
  <c r="J13" i="9"/>
  <c r="K13" i="9" s="1"/>
  <c r="E13" i="9"/>
  <c r="B13" i="9"/>
  <c r="J12" i="9"/>
  <c r="K12" i="9" s="1"/>
  <c r="E12" i="9"/>
  <c r="B12" i="9"/>
  <c r="A12" i="9"/>
  <c r="J11" i="9"/>
  <c r="K11" i="9" s="1"/>
  <c r="E11" i="9"/>
  <c r="B11" i="9"/>
  <c r="A11" i="9"/>
  <c r="J135" i="8"/>
  <c r="K135" i="8" s="1"/>
  <c r="E135" i="8"/>
  <c r="B135" i="8"/>
  <c r="J134" i="8"/>
  <c r="K134" i="8" s="1"/>
  <c r="E134" i="8"/>
  <c r="B134" i="8"/>
  <c r="J133" i="8"/>
  <c r="K133" i="8" s="1"/>
  <c r="E133" i="8"/>
  <c r="B133" i="8"/>
  <c r="J132" i="8"/>
  <c r="K132" i="8" s="1"/>
  <c r="E132" i="8"/>
  <c r="B132" i="8"/>
  <c r="J131" i="8"/>
  <c r="K131" i="8" s="1"/>
  <c r="E131" i="8"/>
  <c r="B131" i="8"/>
  <c r="J130" i="8"/>
  <c r="K130" i="8" s="1"/>
  <c r="E130" i="8"/>
  <c r="B130" i="8"/>
  <c r="J129" i="8"/>
  <c r="K129" i="8" s="1"/>
  <c r="E129" i="8"/>
  <c r="B129" i="8"/>
  <c r="J128" i="8"/>
  <c r="K128" i="8" s="1"/>
  <c r="E128" i="8"/>
  <c r="B128" i="8"/>
  <c r="J127" i="8"/>
  <c r="K127" i="8" s="1"/>
  <c r="E127" i="8"/>
  <c r="B127" i="8"/>
  <c r="J126" i="8"/>
  <c r="K126" i="8" s="1"/>
  <c r="E126" i="8"/>
  <c r="B126" i="8"/>
  <c r="J125" i="8"/>
  <c r="K125" i="8" s="1"/>
  <c r="E125" i="8"/>
  <c r="B125" i="8"/>
  <c r="J124" i="8"/>
  <c r="K124" i="8" s="1"/>
  <c r="E124" i="8"/>
  <c r="B124" i="8"/>
  <c r="J123" i="8"/>
  <c r="K123" i="8" s="1"/>
  <c r="E123" i="8"/>
  <c r="B123" i="8"/>
  <c r="J122" i="8"/>
  <c r="K122" i="8" s="1"/>
  <c r="E122" i="8"/>
  <c r="B122" i="8"/>
  <c r="J121" i="8"/>
  <c r="K121" i="8" s="1"/>
  <c r="E121" i="8"/>
  <c r="B121" i="8"/>
  <c r="J120" i="8"/>
  <c r="K120" i="8" s="1"/>
  <c r="E120" i="8"/>
  <c r="B120" i="8"/>
  <c r="J119" i="8"/>
  <c r="K119" i="8" s="1"/>
  <c r="E119" i="8"/>
  <c r="B119" i="8"/>
  <c r="J118" i="8"/>
  <c r="K118" i="8" s="1"/>
  <c r="E118" i="8"/>
  <c r="B118" i="8"/>
  <c r="J117" i="8"/>
  <c r="K117" i="8" s="1"/>
  <c r="E117" i="8"/>
  <c r="B117" i="8"/>
  <c r="J116" i="8"/>
  <c r="K116" i="8" s="1"/>
  <c r="E116" i="8"/>
  <c r="B116" i="8"/>
  <c r="A116" i="8"/>
  <c r="J115" i="8"/>
  <c r="K115" i="8" s="1"/>
  <c r="E115" i="8"/>
  <c r="B115" i="8"/>
  <c r="A115" i="8"/>
  <c r="J114" i="8"/>
  <c r="K114" i="8" s="1"/>
  <c r="E114" i="8"/>
  <c r="B114" i="8"/>
  <c r="A114" i="8"/>
  <c r="J113" i="8"/>
  <c r="K113" i="8" s="1"/>
  <c r="E113" i="8"/>
  <c r="B113" i="8"/>
  <c r="A113" i="8"/>
  <c r="J112" i="8"/>
  <c r="K112" i="8" s="1"/>
  <c r="E112" i="8"/>
  <c r="B112" i="8"/>
  <c r="A112" i="8"/>
  <c r="J111" i="8"/>
  <c r="K111" i="8" s="1"/>
  <c r="E111" i="8"/>
  <c r="B111" i="8"/>
  <c r="A111" i="8"/>
  <c r="J110" i="8"/>
  <c r="K110" i="8" s="1"/>
  <c r="E110" i="8"/>
  <c r="B110" i="8"/>
  <c r="A110" i="8"/>
  <c r="J109" i="8"/>
  <c r="K109" i="8" s="1"/>
  <c r="E109" i="8"/>
  <c r="B109" i="8"/>
  <c r="A109" i="8"/>
  <c r="J108" i="8"/>
  <c r="K108" i="8" s="1"/>
  <c r="E108" i="8"/>
  <c r="B108" i="8"/>
  <c r="A108" i="8"/>
  <c r="J107" i="8"/>
  <c r="K107" i="8" s="1"/>
  <c r="E107" i="8"/>
  <c r="B107" i="8"/>
  <c r="A107" i="8"/>
  <c r="J106" i="8"/>
  <c r="K106" i="8" s="1"/>
  <c r="E106" i="8"/>
  <c r="B106" i="8"/>
  <c r="A106" i="8"/>
  <c r="J105" i="8"/>
  <c r="K105" i="8" s="1"/>
  <c r="E105" i="8"/>
  <c r="B105" i="8"/>
  <c r="A105" i="8"/>
  <c r="J104" i="8"/>
  <c r="K104" i="8" s="1"/>
  <c r="E104" i="8"/>
  <c r="B104" i="8"/>
  <c r="A104" i="8"/>
  <c r="J103" i="8"/>
  <c r="K103" i="8" s="1"/>
  <c r="E103" i="8"/>
  <c r="B103" i="8"/>
  <c r="A103" i="8"/>
  <c r="J102" i="8"/>
  <c r="K102" i="8" s="1"/>
  <c r="E102" i="8"/>
  <c r="B102" i="8"/>
  <c r="A102" i="8"/>
  <c r="J101" i="8"/>
  <c r="K101" i="8" s="1"/>
  <c r="E101" i="8"/>
  <c r="B101" i="8"/>
  <c r="A101" i="8"/>
  <c r="J100" i="8"/>
  <c r="K100" i="8" s="1"/>
  <c r="E100" i="8"/>
  <c r="B100" i="8"/>
  <c r="A100" i="8"/>
  <c r="J99" i="8"/>
  <c r="K99" i="8" s="1"/>
  <c r="E99" i="8"/>
  <c r="B99" i="8"/>
  <c r="A99" i="8"/>
  <c r="J98" i="8"/>
  <c r="K98" i="8" s="1"/>
  <c r="E98" i="8"/>
  <c r="B98" i="8"/>
  <c r="A98" i="8"/>
  <c r="J97" i="8"/>
  <c r="K97" i="8" s="1"/>
  <c r="E97" i="8"/>
  <c r="B97" i="8"/>
  <c r="A97" i="8"/>
  <c r="J96" i="8"/>
  <c r="K96" i="8" s="1"/>
  <c r="E96" i="8"/>
  <c r="B96" i="8"/>
  <c r="A96" i="8"/>
  <c r="J95" i="8"/>
  <c r="K95" i="8" s="1"/>
  <c r="E95" i="8"/>
  <c r="B95" i="8"/>
  <c r="A95" i="8"/>
  <c r="J94" i="8"/>
  <c r="K94" i="8" s="1"/>
  <c r="E94" i="8"/>
  <c r="B94" i="8"/>
  <c r="A94" i="8"/>
  <c r="J93" i="8"/>
  <c r="K93" i="8" s="1"/>
  <c r="E93" i="8"/>
  <c r="B93" i="8"/>
  <c r="A93" i="8"/>
  <c r="J92" i="8"/>
  <c r="K92" i="8" s="1"/>
  <c r="E92" i="8"/>
  <c r="B92" i="8"/>
  <c r="A92" i="8"/>
  <c r="J91" i="8"/>
  <c r="K91" i="8" s="1"/>
  <c r="E91" i="8"/>
  <c r="B91" i="8"/>
  <c r="A91" i="8"/>
  <c r="J90" i="8"/>
  <c r="K90" i="8" s="1"/>
  <c r="E90" i="8"/>
  <c r="B90" i="8"/>
  <c r="J89" i="8"/>
  <c r="K89" i="8" s="1"/>
  <c r="E89" i="8"/>
  <c r="B89" i="8"/>
  <c r="J88" i="8"/>
  <c r="K88" i="8" s="1"/>
  <c r="E88" i="8"/>
  <c r="B88" i="8"/>
  <c r="J87" i="8"/>
  <c r="K87" i="8" s="1"/>
  <c r="E87" i="8"/>
  <c r="B87" i="8"/>
  <c r="J86" i="8"/>
  <c r="K86" i="8" s="1"/>
  <c r="E86" i="8"/>
  <c r="B86" i="8"/>
  <c r="J85" i="8"/>
  <c r="K85" i="8" s="1"/>
  <c r="E85" i="8"/>
  <c r="B85" i="8"/>
  <c r="J84" i="8"/>
  <c r="K84" i="8" s="1"/>
  <c r="E84" i="8"/>
  <c r="B84" i="8"/>
  <c r="J83" i="8"/>
  <c r="K83" i="8" s="1"/>
  <c r="E83" i="8"/>
  <c r="B83" i="8"/>
  <c r="J82" i="8"/>
  <c r="K82" i="8" s="1"/>
  <c r="E82" i="8"/>
  <c r="B82" i="8"/>
  <c r="J81" i="8"/>
  <c r="K81" i="8" s="1"/>
  <c r="E81" i="8"/>
  <c r="B81" i="8"/>
  <c r="J80" i="8"/>
  <c r="K80" i="8" s="1"/>
  <c r="E80" i="8"/>
  <c r="B80" i="8"/>
  <c r="J79" i="8"/>
  <c r="K79" i="8" s="1"/>
  <c r="E79" i="8"/>
  <c r="B79" i="8"/>
  <c r="J78" i="8"/>
  <c r="K78" i="8" s="1"/>
  <c r="E78" i="8"/>
  <c r="B78" i="8"/>
  <c r="J77" i="8"/>
  <c r="K77" i="8" s="1"/>
  <c r="E77" i="8"/>
  <c r="B77" i="8"/>
  <c r="J76" i="8"/>
  <c r="K76" i="8" s="1"/>
  <c r="E76" i="8"/>
  <c r="B76" i="8"/>
  <c r="J75" i="8"/>
  <c r="K75" i="8" s="1"/>
  <c r="E75" i="8"/>
  <c r="B75" i="8"/>
  <c r="J74" i="8"/>
  <c r="K74" i="8" s="1"/>
  <c r="E74" i="8"/>
  <c r="B74" i="8"/>
  <c r="J73" i="8"/>
  <c r="K73" i="8" s="1"/>
  <c r="E73" i="8"/>
  <c r="B73" i="8"/>
  <c r="J72" i="8"/>
  <c r="K72" i="8" s="1"/>
  <c r="E72" i="8"/>
  <c r="B72" i="8"/>
  <c r="J71" i="8"/>
  <c r="K71" i="8" s="1"/>
  <c r="E71" i="8"/>
  <c r="B71" i="8"/>
  <c r="J70" i="8"/>
  <c r="K70" i="8" s="1"/>
  <c r="E70" i="8"/>
  <c r="B70" i="8"/>
  <c r="J69" i="8"/>
  <c r="K69" i="8" s="1"/>
  <c r="E69" i="8"/>
  <c r="B69" i="8"/>
  <c r="J68" i="8"/>
  <c r="K68" i="8" s="1"/>
  <c r="E68" i="8"/>
  <c r="B68" i="8"/>
  <c r="J67" i="8"/>
  <c r="K67" i="8" s="1"/>
  <c r="E67" i="8"/>
  <c r="B67" i="8"/>
  <c r="J66" i="8"/>
  <c r="K66" i="8" s="1"/>
  <c r="E66" i="8"/>
  <c r="B66" i="8"/>
  <c r="J65" i="8"/>
  <c r="K65" i="8" s="1"/>
  <c r="E65" i="8"/>
  <c r="B65" i="8"/>
  <c r="J64" i="8"/>
  <c r="K64" i="8" s="1"/>
  <c r="E64" i="8"/>
  <c r="B64" i="8"/>
  <c r="J63" i="8"/>
  <c r="K63" i="8" s="1"/>
  <c r="E63" i="8"/>
  <c r="B63" i="8"/>
  <c r="J62" i="8"/>
  <c r="K62" i="8" s="1"/>
  <c r="E62" i="8"/>
  <c r="B62" i="8"/>
  <c r="J61" i="8"/>
  <c r="K61" i="8" s="1"/>
  <c r="E61" i="8"/>
  <c r="B61" i="8"/>
  <c r="J60" i="8"/>
  <c r="K60" i="8" s="1"/>
  <c r="E60" i="8"/>
  <c r="B60" i="8"/>
  <c r="J59" i="8"/>
  <c r="K59" i="8" s="1"/>
  <c r="E59" i="8"/>
  <c r="B59" i="8"/>
  <c r="J58" i="8"/>
  <c r="K58" i="8" s="1"/>
  <c r="E58" i="8"/>
  <c r="B58" i="8"/>
  <c r="J57" i="8"/>
  <c r="K57" i="8" s="1"/>
  <c r="E57" i="8"/>
  <c r="B57" i="8"/>
  <c r="J56" i="8"/>
  <c r="K56" i="8" s="1"/>
  <c r="E56" i="8"/>
  <c r="B56" i="8"/>
  <c r="J55" i="8"/>
  <c r="K55" i="8" s="1"/>
  <c r="E55" i="8"/>
  <c r="B55" i="8"/>
  <c r="J54" i="8"/>
  <c r="K54" i="8" s="1"/>
  <c r="E54" i="8"/>
  <c r="B54" i="8"/>
  <c r="J53" i="8"/>
  <c r="K53" i="8" s="1"/>
  <c r="E53" i="8"/>
  <c r="B53" i="8"/>
  <c r="J52" i="8"/>
  <c r="K52" i="8" s="1"/>
  <c r="E52" i="8"/>
  <c r="B52" i="8"/>
  <c r="J51" i="8"/>
  <c r="K51" i="8" s="1"/>
  <c r="E51" i="8"/>
  <c r="B51" i="8"/>
  <c r="J50" i="8"/>
  <c r="K50" i="8" s="1"/>
  <c r="E50" i="8"/>
  <c r="B50" i="8"/>
  <c r="J49" i="8"/>
  <c r="K49" i="8" s="1"/>
  <c r="E49" i="8"/>
  <c r="B49" i="8"/>
  <c r="J48" i="8"/>
  <c r="K48" i="8" s="1"/>
  <c r="E48" i="8"/>
  <c r="B48" i="8"/>
  <c r="J47" i="8"/>
  <c r="K47" i="8" s="1"/>
  <c r="E47" i="8"/>
  <c r="B47" i="8"/>
  <c r="J46" i="8"/>
  <c r="K46" i="8" s="1"/>
  <c r="E46" i="8"/>
  <c r="B46" i="8"/>
  <c r="J45" i="8"/>
  <c r="K45" i="8" s="1"/>
  <c r="E45" i="8"/>
  <c r="B45" i="8"/>
  <c r="J44" i="8"/>
  <c r="K44" i="8" s="1"/>
  <c r="E44" i="8"/>
  <c r="B44" i="8"/>
  <c r="J43" i="8"/>
  <c r="K43" i="8" s="1"/>
  <c r="E43" i="8"/>
  <c r="B43" i="8"/>
  <c r="J42" i="8"/>
  <c r="K42" i="8" s="1"/>
  <c r="E42" i="8"/>
  <c r="B42" i="8"/>
  <c r="J41" i="8"/>
  <c r="K41" i="8" s="1"/>
  <c r="E41" i="8"/>
  <c r="B41" i="8"/>
  <c r="J40" i="8"/>
  <c r="K40" i="8" s="1"/>
  <c r="E40" i="8"/>
  <c r="B40" i="8"/>
  <c r="J39" i="8"/>
  <c r="K39" i="8" s="1"/>
  <c r="E39" i="8"/>
  <c r="B39" i="8"/>
  <c r="J38" i="8"/>
  <c r="K38" i="8" s="1"/>
  <c r="E38" i="8"/>
  <c r="B38" i="8"/>
  <c r="J37" i="8"/>
  <c r="K37" i="8" s="1"/>
  <c r="E37" i="8"/>
  <c r="B37" i="8"/>
  <c r="J36" i="8"/>
  <c r="K36" i="8" s="1"/>
  <c r="E36" i="8"/>
  <c r="B36" i="8"/>
  <c r="J35" i="8"/>
  <c r="K35" i="8" s="1"/>
  <c r="E35" i="8"/>
  <c r="B35" i="8"/>
  <c r="J34" i="8"/>
  <c r="K34" i="8" s="1"/>
  <c r="E34" i="8"/>
  <c r="B34" i="8"/>
  <c r="J33" i="8"/>
  <c r="K33" i="8" s="1"/>
  <c r="E33" i="8"/>
  <c r="B33" i="8"/>
  <c r="J32" i="8"/>
  <c r="K32" i="8" s="1"/>
  <c r="E32" i="8"/>
  <c r="B32" i="8"/>
  <c r="J31" i="8"/>
  <c r="K31" i="8" s="1"/>
  <c r="E31" i="8"/>
  <c r="B31" i="8"/>
  <c r="J30" i="8"/>
  <c r="K30" i="8" s="1"/>
  <c r="E30" i="8"/>
  <c r="B30" i="8"/>
  <c r="J29" i="8"/>
  <c r="K29" i="8" s="1"/>
  <c r="E29" i="8"/>
  <c r="B29" i="8"/>
  <c r="J28" i="8"/>
  <c r="K28" i="8" s="1"/>
  <c r="E28" i="8"/>
  <c r="B28" i="8"/>
  <c r="J27" i="8"/>
  <c r="K27" i="8" s="1"/>
  <c r="E27" i="8"/>
  <c r="B27" i="8"/>
  <c r="J26" i="8"/>
  <c r="K26" i="8" s="1"/>
  <c r="E26" i="8"/>
  <c r="B26" i="8"/>
  <c r="J25" i="8"/>
  <c r="K25" i="8" s="1"/>
  <c r="E25" i="8"/>
  <c r="B25" i="8"/>
  <c r="J24" i="8"/>
  <c r="K24" i="8" s="1"/>
  <c r="E24" i="8"/>
  <c r="B24" i="8"/>
  <c r="J23" i="8"/>
  <c r="K23" i="8" s="1"/>
  <c r="E23" i="8"/>
  <c r="B23" i="8"/>
  <c r="J22" i="8"/>
  <c r="K22" i="8" s="1"/>
  <c r="E22" i="8"/>
  <c r="B22" i="8"/>
  <c r="J21" i="8"/>
  <c r="K21" i="8" s="1"/>
  <c r="E21" i="8"/>
  <c r="B21" i="8"/>
  <c r="J20" i="8"/>
  <c r="K20" i="8" s="1"/>
  <c r="E20" i="8"/>
  <c r="B20" i="8"/>
  <c r="J19" i="8"/>
  <c r="K19" i="8" s="1"/>
  <c r="E19" i="8"/>
  <c r="B19" i="8"/>
  <c r="J18" i="8"/>
  <c r="K18" i="8" s="1"/>
  <c r="E18" i="8"/>
  <c r="B18" i="8"/>
  <c r="J17" i="8"/>
  <c r="K17" i="8" s="1"/>
  <c r="E17" i="8"/>
  <c r="B17" i="8"/>
  <c r="J16" i="8"/>
  <c r="K16" i="8" s="1"/>
  <c r="E16" i="8"/>
  <c r="B16" i="8"/>
  <c r="J15" i="8"/>
  <c r="K15" i="8" s="1"/>
  <c r="E15" i="8"/>
  <c r="B15" i="8"/>
  <c r="J14" i="8"/>
  <c r="K14" i="8" s="1"/>
  <c r="E14" i="8"/>
  <c r="B14" i="8"/>
  <c r="J13" i="8"/>
  <c r="K13" i="8" s="1"/>
  <c r="E13" i="8"/>
  <c r="B13" i="8"/>
  <c r="J12" i="8"/>
  <c r="K12" i="8" s="1"/>
  <c r="E12" i="8"/>
  <c r="B12" i="8"/>
  <c r="A12" i="8"/>
  <c r="J11" i="8"/>
  <c r="K11" i="8" s="1"/>
  <c r="E11" i="8"/>
  <c r="B11" i="8"/>
  <c r="A11" i="8"/>
  <c r="J135" i="7"/>
  <c r="K135" i="7" s="1"/>
  <c r="E135" i="7"/>
  <c r="B135" i="7"/>
  <c r="J134" i="7"/>
  <c r="K134" i="7" s="1"/>
  <c r="E134" i="7"/>
  <c r="B134" i="7"/>
  <c r="J133" i="7"/>
  <c r="K133" i="7" s="1"/>
  <c r="E133" i="7"/>
  <c r="B133" i="7"/>
  <c r="J132" i="7"/>
  <c r="K132" i="7" s="1"/>
  <c r="E132" i="7"/>
  <c r="B132" i="7"/>
  <c r="J131" i="7"/>
  <c r="K131" i="7" s="1"/>
  <c r="E131" i="7"/>
  <c r="B131" i="7"/>
  <c r="J130" i="7"/>
  <c r="K130" i="7" s="1"/>
  <c r="E130" i="7"/>
  <c r="B130" i="7"/>
  <c r="J129" i="7"/>
  <c r="K129" i="7" s="1"/>
  <c r="E129" i="7"/>
  <c r="B129" i="7"/>
  <c r="J128" i="7"/>
  <c r="K128" i="7" s="1"/>
  <c r="E128" i="7"/>
  <c r="B128" i="7"/>
  <c r="J127" i="7"/>
  <c r="K127" i="7" s="1"/>
  <c r="E127" i="7"/>
  <c r="B127" i="7"/>
  <c r="J126" i="7"/>
  <c r="K126" i="7" s="1"/>
  <c r="E126" i="7"/>
  <c r="B126" i="7"/>
  <c r="J125" i="7"/>
  <c r="K125" i="7" s="1"/>
  <c r="E125" i="7"/>
  <c r="B125" i="7"/>
  <c r="J124" i="7"/>
  <c r="K124" i="7" s="1"/>
  <c r="E124" i="7"/>
  <c r="B124" i="7"/>
  <c r="J123" i="7"/>
  <c r="K123" i="7" s="1"/>
  <c r="E123" i="7"/>
  <c r="B123" i="7"/>
  <c r="J122" i="7"/>
  <c r="K122" i="7" s="1"/>
  <c r="E122" i="7"/>
  <c r="B122" i="7"/>
  <c r="J121" i="7"/>
  <c r="K121" i="7" s="1"/>
  <c r="E121" i="7"/>
  <c r="B121" i="7"/>
  <c r="J120" i="7"/>
  <c r="K120" i="7" s="1"/>
  <c r="E120" i="7"/>
  <c r="B120" i="7"/>
  <c r="J119" i="7"/>
  <c r="K119" i="7" s="1"/>
  <c r="E119" i="7"/>
  <c r="B119" i="7"/>
  <c r="J118" i="7"/>
  <c r="K118" i="7" s="1"/>
  <c r="E118" i="7"/>
  <c r="B118" i="7"/>
  <c r="J117" i="7"/>
  <c r="K117" i="7" s="1"/>
  <c r="E117" i="7"/>
  <c r="B117" i="7"/>
  <c r="J116" i="7"/>
  <c r="K116" i="7" s="1"/>
  <c r="E116" i="7"/>
  <c r="B116" i="7"/>
  <c r="A116" i="7"/>
  <c r="J115" i="7"/>
  <c r="K115" i="7" s="1"/>
  <c r="E115" i="7"/>
  <c r="B115" i="7"/>
  <c r="A115" i="7"/>
  <c r="J114" i="7"/>
  <c r="K114" i="7" s="1"/>
  <c r="E114" i="7"/>
  <c r="B114" i="7"/>
  <c r="A114" i="7"/>
  <c r="J113" i="7"/>
  <c r="K113" i="7" s="1"/>
  <c r="E113" i="7"/>
  <c r="B113" i="7"/>
  <c r="A113" i="7"/>
  <c r="J112" i="7"/>
  <c r="K112" i="7" s="1"/>
  <c r="E112" i="7"/>
  <c r="B112" i="7"/>
  <c r="A112" i="7"/>
  <c r="J111" i="7"/>
  <c r="K111" i="7" s="1"/>
  <c r="E111" i="7"/>
  <c r="B111" i="7"/>
  <c r="A111" i="7"/>
  <c r="J110" i="7"/>
  <c r="K110" i="7" s="1"/>
  <c r="E110" i="7"/>
  <c r="B110" i="7"/>
  <c r="A110" i="7"/>
  <c r="J109" i="7"/>
  <c r="K109" i="7" s="1"/>
  <c r="E109" i="7"/>
  <c r="B109" i="7"/>
  <c r="A109" i="7"/>
  <c r="J108" i="7"/>
  <c r="K108" i="7" s="1"/>
  <c r="E108" i="7"/>
  <c r="B108" i="7"/>
  <c r="A108" i="7"/>
  <c r="J107" i="7"/>
  <c r="K107" i="7" s="1"/>
  <c r="E107" i="7"/>
  <c r="B107" i="7"/>
  <c r="A107" i="7"/>
  <c r="J106" i="7"/>
  <c r="K106" i="7" s="1"/>
  <c r="E106" i="7"/>
  <c r="B106" i="7"/>
  <c r="A106" i="7"/>
  <c r="J105" i="7"/>
  <c r="K105" i="7" s="1"/>
  <c r="E105" i="7"/>
  <c r="B105" i="7"/>
  <c r="A105" i="7"/>
  <c r="J104" i="7"/>
  <c r="K104" i="7" s="1"/>
  <c r="E104" i="7"/>
  <c r="B104" i="7"/>
  <c r="A104" i="7"/>
  <c r="J103" i="7"/>
  <c r="K103" i="7" s="1"/>
  <c r="E103" i="7"/>
  <c r="B103" i="7"/>
  <c r="A103" i="7"/>
  <c r="J102" i="7"/>
  <c r="K102" i="7" s="1"/>
  <c r="E102" i="7"/>
  <c r="B102" i="7"/>
  <c r="A102" i="7"/>
  <c r="J101" i="7"/>
  <c r="K101" i="7" s="1"/>
  <c r="E101" i="7"/>
  <c r="B101" i="7"/>
  <c r="A101" i="7"/>
  <c r="J100" i="7"/>
  <c r="K100" i="7" s="1"/>
  <c r="E100" i="7"/>
  <c r="B100" i="7"/>
  <c r="A100" i="7"/>
  <c r="J99" i="7"/>
  <c r="K99" i="7" s="1"/>
  <c r="E99" i="7"/>
  <c r="B99" i="7"/>
  <c r="A99" i="7"/>
  <c r="J98" i="7"/>
  <c r="K98" i="7" s="1"/>
  <c r="E98" i="7"/>
  <c r="B98" i="7"/>
  <c r="A98" i="7"/>
  <c r="J97" i="7"/>
  <c r="K97" i="7" s="1"/>
  <c r="E97" i="7"/>
  <c r="B97" i="7"/>
  <c r="A97" i="7"/>
  <c r="J96" i="7"/>
  <c r="K96" i="7" s="1"/>
  <c r="E96" i="7"/>
  <c r="B96" i="7"/>
  <c r="A96" i="7"/>
  <c r="J95" i="7"/>
  <c r="K95" i="7" s="1"/>
  <c r="E95" i="7"/>
  <c r="B95" i="7"/>
  <c r="A95" i="7"/>
  <c r="J94" i="7"/>
  <c r="K94" i="7" s="1"/>
  <c r="E94" i="7"/>
  <c r="B94" i="7"/>
  <c r="A94" i="7"/>
  <c r="J93" i="7"/>
  <c r="K93" i="7" s="1"/>
  <c r="E93" i="7"/>
  <c r="B93" i="7"/>
  <c r="A93" i="7"/>
  <c r="J92" i="7"/>
  <c r="K92" i="7" s="1"/>
  <c r="E92" i="7"/>
  <c r="B92" i="7"/>
  <c r="A92" i="7"/>
  <c r="J91" i="7"/>
  <c r="K91" i="7" s="1"/>
  <c r="E91" i="7"/>
  <c r="B91" i="7"/>
  <c r="A91" i="7"/>
  <c r="J90" i="7"/>
  <c r="K90" i="7" s="1"/>
  <c r="E90" i="7"/>
  <c r="B90" i="7"/>
  <c r="J89" i="7"/>
  <c r="K89" i="7" s="1"/>
  <c r="E89" i="7"/>
  <c r="B89" i="7"/>
  <c r="J88" i="7"/>
  <c r="K88" i="7" s="1"/>
  <c r="E88" i="7"/>
  <c r="B88" i="7"/>
  <c r="J87" i="7"/>
  <c r="K87" i="7" s="1"/>
  <c r="E87" i="7"/>
  <c r="B87" i="7"/>
  <c r="J86" i="7"/>
  <c r="K86" i="7" s="1"/>
  <c r="E86" i="7"/>
  <c r="B86" i="7"/>
  <c r="J85" i="7"/>
  <c r="K85" i="7" s="1"/>
  <c r="E85" i="7"/>
  <c r="B85" i="7"/>
  <c r="J84" i="7"/>
  <c r="K84" i="7" s="1"/>
  <c r="E84" i="7"/>
  <c r="B84" i="7"/>
  <c r="J83" i="7"/>
  <c r="K83" i="7" s="1"/>
  <c r="E83" i="7"/>
  <c r="B83" i="7"/>
  <c r="J82" i="7"/>
  <c r="K82" i="7" s="1"/>
  <c r="E82" i="7"/>
  <c r="B82" i="7"/>
  <c r="J81" i="7"/>
  <c r="K81" i="7" s="1"/>
  <c r="E81" i="7"/>
  <c r="B81" i="7"/>
  <c r="J80" i="7"/>
  <c r="K80" i="7" s="1"/>
  <c r="E80" i="7"/>
  <c r="B80" i="7"/>
  <c r="J79" i="7"/>
  <c r="K79" i="7" s="1"/>
  <c r="E79" i="7"/>
  <c r="B79" i="7"/>
  <c r="J78" i="7"/>
  <c r="K78" i="7" s="1"/>
  <c r="E78" i="7"/>
  <c r="B78" i="7"/>
  <c r="J77" i="7"/>
  <c r="K77" i="7" s="1"/>
  <c r="E77" i="7"/>
  <c r="B77" i="7"/>
  <c r="J76" i="7"/>
  <c r="K76" i="7" s="1"/>
  <c r="E76" i="7"/>
  <c r="B76" i="7"/>
  <c r="J75" i="7"/>
  <c r="K75" i="7" s="1"/>
  <c r="E75" i="7"/>
  <c r="B75" i="7"/>
  <c r="J74" i="7"/>
  <c r="K74" i="7" s="1"/>
  <c r="E74" i="7"/>
  <c r="B74" i="7"/>
  <c r="J73" i="7"/>
  <c r="K73" i="7" s="1"/>
  <c r="E73" i="7"/>
  <c r="B73" i="7"/>
  <c r="J72" i="7"/>
  <c r="K72" i="7" s="1"/>
  <c r="E72" i="7"/>
  <c r="B72" i="7"/>
  <c r="J71" i="7"/>
  <c r="K71" i="7" s="1"/>
  <c r="E71" i="7"/>
  <c r="B71" i="7"/>
  <c r="J70" i="7"/>
  <c r="K70" i="7" s="1"/>
  <c r="E70" i="7"/>
  <c r="B70" i="7"/>
  <c r="J69" i="7"/>
  <c r="K69" i="7" s="1"/>
  <c r="E69" i="7"/>
  <c r="B69" i="7"/>
  <c r="J68" i="7"/>
  <c r="K68" i="7" s="1"/>
  <c r="E68" i="7"/>
  <c r="B68" i="7"/>
  <c r="J67" i="7"/>
  <c r="K67" i="7" s="1"/>
  <c r="E67" i="7"/>
  <c r="B67" i="7"/>
  <c r="J66" i="7"/>
  <c r="K66" i="7" s="1"/>
  <c r="E66" i="7"/>
  <c r="B66" i="7"/>
  <c r="J65" i="7"/>
  <c r="K65" i="7" s="1"/>
  <c r="E65" i="7"/>
  <c r="B65" i="7"/>
  <c r="J64" i="7"/>
  <c r="K64" i="7" s="1"/>
  <c r="E64" i="7"/>
  <c r="B64" i="7"/>
  <c r="J63" i="7"/>
  <c r="K63" i="7" s="1"/>
  <c r="E63" i="7"/>
  <c r="B63" i="7"/>
  <c r="J62" i="7"/>
  <c r="K62" i="7" s="1"/>
  <c r="E62" i="7"/>
  <c r="B62" i="7"/>
  <c r="J61" i="7"/>
  <c r="K61" i="7" s="1"/>
  <c r="E61" i="7"/>
  <c r="B61" i="7"/>
  <c r="J60" i="7"/>
  <c r="K60" i="7" s="1"/>
  <c r="E60" i="7"/>
  <c r="B60" i="7"/>
  <c r="J59" i="7"/>
  <c r="K59" i="7" s="1"/>
  <c r="E59" i="7"/>
  <c r="B59" i="7"/>
  <c r="J58" i="7"/>
  <c r="K58" i="7" s="1"/>
  <c r="E58" i="7"/>
  <c r="B58" i="7"/>
  <c r="J57" i="7"/>
  <c r="K57" i="7" s="1"/>
  <c r="E57" i="7"/>
  <c r="B57" i="7"/>
  <c r="J56" i="7"/>
  <c r="K56" i="7" s="1"/>
  <c r="E56" i="7"/>
  <c r="B56" i="7"/>
  <c r="J55" i="7"/>
  <c r="K55" i="7" s="1"/>
  <c r="E55" i="7"/>
  <c r="B55" i="7"/>
  <c r="J54" i="7"/>
  <c r="K54" i="7" s="1"/>
  <c r="E54" i="7"/>
  <c r="B54" i="7"/>
  <c r="J53" i="7"/>
  <c r="K53" i="7" s="1"/>
  <c r="E53" i="7"/>
  <c r="B53" i="7"/>
  <c r="J52" i="7"/>
  <c r="K52" i="7" s="1"/>
  <c r="E52" i="7"/>
  <c r="B52" i="7"/>
  <c r="J51" i="7"/>
  <c r="K51" i="7" s="1"/>
  <c r="E51" i="7"/>
  <c r="B51" i="7"/>
  <c r="J50" i="7"/>
  <c r="K50" i="7" s="1"/>
  <c r="E50" i="7"/>
  <c r="B50" i="7"/>
  <c r="J49" i="7"/>
  <c r="K49" i="7" s="1"/>
  <c r="E49" i="7"/>
  <c r="B49" i="7"/>
  <c r="J48" i="7"/>
  <c r="K48" i="7" s="1"/>
  <c r="E48" i="7"/>
  <c r="B48" i="7"/>
  <c r="J47" i="7"/>
  <c r="K47" i="7" s="1"/>
  <c r="E47" i="7"/>
  <c r="B47" i="7"/>
  <c r="J46" i="7"/>
  <c r="K46" i="7" s="1"/>
  <c r="E46" i="7"/>
  <c r="B46" i="7"/>
  <c r="J45" i="7"/>
  <c r="K45" i="7" s="1"/>
  <c r="E45" i="7"/>
  <c r="B45" i="7"/>
  <c r="J44" i="7"/>
  <c r="K44" i="7" s="1"/>
  <c r="E44" i="7"/>
  <c r="B44" i="7"/>
  <c r="J43" i="7"/>
  <c r="K43" i="7" s="1"/>
  <c r="E43" i="7"/>
  <c r="B43" i="7"/>
  <c r="J42" i="7"/>
  <c r="K42" i="7" s="1"/>
  <c r="E42" i="7"/>
  <c r="B42" i="7"/>
  <c r="J41" i="7"/>
  <c r="K41" i="7" s="1"/>
  <c r="E41" i="7"/>
  <c r="B41" i="7"/>
  <c r="J40" i="7"/>
  <c r="K40" i="7" s="1"/>
  <c r="E40" i="7"/>
  <c r="B40" i="7"/>
  <c r="J39" i="7"/>
  <c r="K39" i="7" s="1"/>
  <c r="E39" i="7"/>
  <c r="B39" i="7"/>
  <c r="J38" i="7"/>
  <c r="K38" i="7" s="1"/>
  <c r="E38" i="7"/>
  <c r="B38" i="7"/>
  <c r="J37" i="7"/>
  <c r="K37" i="7" s="1"/>
  <c r="E37" i="7"/>
  <c r="B37" i="7"/>
  <c r="J36" i="7"/>
  <c r="K36" i="7" s="1"/>
  <c r="E36" i="7"/>
  <c r="B36" i="7"/>
  <c r="J35" i="7"/>
  <c r="K35" i="7" s="1"/>
  <c r="E35" i="7"/>
  <c r="B35" i="7"/>
  <c r="J34" i="7"/>
  <c r="K34" i="7" s="1"/>
  <c r="E34" i="7"/>
  <c r="B34" i="7"/>
  <c r="J33" i="7"/>
  <c r="K33" i="7" s="1"/>
  <c r="E33" i="7"/>
  <c r="B33" i="7"/>
  <c r="J32" i="7"/>
  <c r="K32" i="7" s="1"/>
  <c r="E32" i="7"/>
  <c r="B32" i="7"/>
  <c r="J31" i="7"/>
  <c r="K31" i="7" s="1"/>
  <c r="E31" i="7"/>
  <c r="B31" i="7"/>
  <c r="J30" i="7"/>
  <c r="K30" i="7" s="1"/>
  <c r="E30" i="7"/>
  <c r="B30" i="7"/>
  <c r="J29" i="7"/>
  <c r="K29" i="7" s="1"/>
  <c r="E29" i="7"/>
  <c r="B29" i="7"/>
  <c r="J28" i="7"/>
  <c r="K28" i="7" s="1"/>
  <c r="E28" i="7"/>
  <c r="B28" i="7"/>
  <c r="J27" i="7"/>
  <c r="K27" i="7" s="1"/>
  <c r="E27" i="7"/>
  <c r="B27" i="7"/>
  <c r="J26" i="7"/>
  <c r="K26" i="7" s="1"/>
  <c r="E26" i="7"/>
  <c r="B26" i="7"/>
  <c r="J25" i="7"/>
  <c r="K25" i="7" s="1"/>
  <c r="E25" i="7"/>
  <c r="B25" i="7"/>
  <c r="J24" i="7"/>
  <c r="K24" i="7" s="1"/>
  <c r="E24" i="7"/>
  <c r="B24" i="7"/>
  <c r="J23" i="7"/>
  <c r="K23" i="7" s="1"/>
  <c r="E23" i="7"/>
  <c r="B23" i="7"/>
  <c r="J22" i="7"/>
  <c r="K22" i="7" s="1"/>
  <c r="E22" i="7"/>
  <c r="B22" i="7"/>
  <c r="J21" i="7"/>
  <c r="K21" i="7" s="1"/>
  <c r="E21" i="7"/>
  <c r="B21" i="7"/>
  <c r="J20" i="7"/>
  <c r="K20" i="7" s="1"/>
  <c r="E20" i="7"/>
  <c r="B20" i="7"/>
  <c r="J19" i="7"/>
  <c r="K19" i="7" s="1"/>
  <c r="E19" i="7"/>
  <c r="B19" i="7"/>
  <c r="J18" i="7"/>
  <c r="K18" i="7" s="1"/>
  <c r="E18" i="7"/>
  <c r="B18" i="7"/>
  <c r="J17" i="7"/>
  <c r="K17" i="7" s="1"/>
  <c r="E17" i="7"/>
  <c r="B17" i="7"/>
  <c r="J16" i="7"/>
  <c r="K16" i="7" s="1"/>
  <c r="E16" i="7"/>
  <c r="B16" i="7"/>
  <c r="J15" i="7"/>
  <c r="K15" i="7" s="1"/>
  <c r="E15" i="7"/>
  <c r="B15" i="7"/>
  <c r="J14" i="7"/>
  <c r="K14" i="7" s="1"/>
  <c r="E14" i="7"/>
  <c r="B14" i="7"/>
  <c r="J13" i="7"/>
  <c r="K13" i="7" s="1"/>
  <c r="E13" i="7"/>
  <c r="B13" i="7"/>
  <c r="J12" i="7"/>
  <c r="K12" i="7" s="1"/>
  <c r="E12" i="7"/>
  <c r="B12" i="7"/>
  <c r="A12" i="7"/>
  <c r="J11" i="7"/>
  <c r="K11" i="7" s="1"/>
  <c r="E11" i="7"/>
  <c r="B11" i="7"/>
  <c r="A11" i="7"/>
  <c r="J135" i="6"/>
  <c r="K135" i="6" s="1"/>
  <c r="E135" i="6"/>
  <c r="J134" i="6"/>
  <c r="K134" i="6" s="1"/>
  <c r="E134" i="6"/>
  <c r="J133" i="6"/>
  <c r="K133" i="6" s="1"/>
  <c r="E133" i="6"/>
  <c r="K132" i="6"/>
  <c r="J132" i="6"/>
  <c r="E132" i="6"/>
  <c r="J131" i="6"/>
  <c r="K131" i="6" s="1"/>
  <c r="E131" i="6"/>
  <c r="J130" i="6"/>
  <c r="K130" i="6" s="1"/>
  <c r="E130" i="6"/>
  <c r="J129" i="6"/>
  <c r="K129" i="6" s="1"/>
  <c r="E129" i="6"/>
  <c r="K128" i="6"/>
  <c r="J128" i="6"/>
  <c r="E128" i="6"/>
  <c r="J127" i="6"/>
  <c r="K127" i="6" s="1"/>
  <c r="E127" i="6"/>
  <c r="J126" i="6"/>
  <c r="K126" i="6" s="1"/>
  <c r="E126" i="6"/>
  <c r="J125" i="6"/>
  <c r="K125" i="6" s="1"/>
  <c r="E125" i="6"/>
  <c r="K124" i="6"/>
  <c r="J124" i="6"/>
  <c r="E124" i="6"/>
  <c r="J123" i="6"/>
  <c r="K123" i="6" s="1"/>
  <c r="E123" i="6"/>
  <c r="J122" i="6"/>
  <c r="K122" i="6" s="1"/>
  <c r="E122" i="6"/>
  <c r="J121" i="6"/>
  <c r="K121" i="6" s="1"/>
  <c r="E121" i="6"/>
  <c r="K120" i="6"/>
  <c r="J120" i="6"/>
  <c r="E120" i="6"/>
  <c r="J119" i="6"/>
  <c r="K119" i="6" s="1"/>
  <c r="E119" i="6"/>
  <c r="J118" i="6"/>
  <c r="K118" i="6" s="1"/>
  <c r="E118" i="6"/>
  <c r="J117" i="6"/>
  <c r="K117" i="6" s="1"/>
  <c r="E117" i="6"/>
  <c r="K116" i="6"/>
  <c r="J116" i="6"/>
  <c r="E116" i="6"/>
  <c r="J115" i="6"/>
  <c r="K115" i="6" s="1"/>
  <c r="E115" i="6"/>
  <c r="J114" i="6"/>
  <c r="K114" i="6" s="1"/>
  <c r="E114" i="6"/>
  <c r="J113" i="6"/>
  <c r="K113" i="6" s="1"/>
  <c r="E113" i="6"/>
  <c r="K112" i="6"/>
  <c r="J112" i="6"/>
  <c r="E112" i="6"/>
  <c r="J111" i="6"/>
  <c r="K111" i="6" s="1"/>
  <c r="E111" i="6"/>
  <c r="J110" i="6"/>
  <c r="K110" i="6" s="1"/>
  <c r="E110" i="6"/>
  <c r="J109" i="6"/>
  <c r="K109" i="6" s="1"/>
  <c r="E109" i="6"/>
  <c r="K108" i="6"/>
  <c r="J108" i="6"/>
  <c r="E108" i="6"/>
  <c r="J107" i="6"/>
  <c r="K107" i="6" s="1"/>
  <c r="E107" i="6"/>
  <c r="J106" i="6"/>
  <c r="K106" i="6" s="1"/>
  <c r="E106" i="6"/>
  <c r="J105" i="6"/>
  <c r="K105" i="6" s="1"/>
  <c r="E105" i="6"/>
  <c r="K104" i="6"/>
  <c r="J104" i="6"/>
  <c r="E104" i="6"/>
  <c r="J103" i="6"/>
  <c r="K103" i="6" s="1"/>
  <c r="E103" i="6"/>
  <c r="J102" i="6"/>
  <c r="K102" i="6" s="1"/>
  <c r="E102" i="6"/>
  <c r="J101" i="6"/>
  <c r="K101" i="6" s="1"/>
  <c r="E101" i="6"/>
  <c r="K100" i="6"/>
  <c r="J100" i="6"/>
  <c r="E100" i="6"/>
  <c r="J99" i="6"/>
  <c r="K99" i="6" s="1"/>
  <c r="E99" i="6"/>
  <c r="J98" i="6"/>
  <c r="K98" i="6" s="1"/>
  <c r="E98" i="6"/>
  <c r="J97" i="6"/>
  <c r="K97" i="6" s="1"/>
  <c r="E97" i="6"/>
  <c r="K96" i="6"/>
  <c r="J96" i="6"/>
  <c r="E96" i="6"/>
  <c r="J95" i="6"/>
  <c r="K95" i="6" s="1"/>
  <c r="E95" i="6"/>
  <c r="J94" i="6"/>
  <c r="K94" i="6" s="1"/>
  <c r="E94" i="6"/>
  <c r="J93" i="6"/>
  <c r="K93" i="6" s="1"/>
  <c r="E93" i="6"/>
  <c r="K92" i="6"/>
  <c r="J92" i="6"/>
  <c r="E92" i="6"/>
  <c r="J91" i="6"/>
  <c r="K91" i="6" s="1"/>
  <c r="E91" i="6"/>
  <c r="J90" i="6"/>
  <c r="K90" i="6" s="1"/>
  <c r="E90" i="6"/>
  <c r="J89" i="6"/>
  <c r="K89" i="6" s="1"/>
  <c r="E89" i="6"/>
  <c r="K88" i="6"/>
  <c r="J88" i="6"/>
  <c r="E88" i="6"/>
  <c r="J87" i="6"/>
  <c r="K87" i="6" s="1"/>
  <c r="E87" i="6"/>
  <c r="J86" i="6"/>
  <c r="K86" i="6" s="1"/>
  <c r="E86" i="6"/>
  <c r="J85" i="6"/>
  <c r="K85" i="6" s="1"/>
  <c r="E85" i="6"/>
  <c r="K84" i="6"/>
  <c r="J84" i="6"/>
  <c r="E84" i="6"/>
  <c r="J83" i="6"/>
  <c r="K83" i="6" s="1"/>
  <c r="E83" i="6"/>
  <c r="J82" i="6"/>
  <c r="K82" i="6" s="1"/>
  <c r="E82" i="6"/>
  <c r="J81" i="6"/>
  <c r="K81" i="6" s="1"/>
  <c r="E81" i="6"/>
  <c r="K80" i="6"/>
  <c r="J80" i="6"/>
  <c r="E80" i="6"/>
  <c r="J79" i="6"/>
  <c r="K79" i="6" s="1"/>
  <c r="E79" i="6"/>
  <c r="J78" i="6"/>
  <c r="K78" i="6" s="1"/>
  <c r="E78" i="6"/>
  <c r="J77" i="6"/>
  <c r="K77" i="6" s="1"/>
  <c r="E77" i="6"/>
  <c r="K76" i="6"/>
  <c r="J76" i="6"/>
  <c r="E76" i="6"/>
  <c r="J75" i="6"/>
  <c r="K75" i="6" s="1"/>
  <c r="E75" i="6"/>
  <c r="J74" i="6"/>
  <c r="K74" i="6" s="1"/>
  <c r="E74" i="6"/>
  <c r="J73" i="6"/>
  <c r="K73" i="6" s="1"/>
  <c r="E73" i="6"/>
  <c r="K72" i="6"/>
  <c r="J72" i="6"/>
  <c r="E72" i="6"/>
  <c r="J71" i="6"/>
  <c r="K71" i="6" s="1"/>
  <c r="E71" i="6"/>
  <c r="J70" i="6"/>
  <c r="K70" i="6" s="1"/>
  <c r="E70" i="6"/>
  <c r="J69" i="6"/>
  <c r="K69" i="6" s="1"/>
  <c r="E69" i="6"/>
  <c r="K68" i="6"/>
  <c r="J68" i="6"/>
  <c r="E68" i="6"/>
  <c r="J67" i="6"/>
  <c r="K67" i="6" s="1"/>
  <c r="E67" i="6"/>
  <c r="J66" i="6"/>
  <c r="K66" i="6" s="1"/>
  <c r="E66" i="6"/>
  <c r="J65" i="6"/>
  <c r="K65" i="6" s="1"/>
  <c r="E65" i="6"/>
  <c r="K64" i="6"/>
  <c r="J64" i="6"/>
  <c r="E64" i="6"/>
  <c r="J63" i="6"/>
  <c r="K63" i="6" s="1"/>
  <c r="E63" i="6"/>
  <c r="J62" i="6"/>
  <c r="K62" i="6" s="1"/>
  <c r="E62" i="6"/>
  <c r="J61" i="6"/>
  <c r="K61" i="6" s="1"/>
  <c r="E61" i="6"/>
  <c r="K60" i="6"/>
  <c r="J60" i="6"/>
  <c r="E60" i="6"/>
  <c r="K59" i="6"/>
  <c r="J59" i="6"/>
  <c r="E59" i="6"/>
  <c r="J58" i="6"/>
  <c r="K58" i="6" s="1"/>
  <c r="E58" i="6"/>
  <c r="J57" i="6"/>
  <c r="E57" i="6"/>
  <c r="K56" i="6"/>
  <c r="J56" i="6"/>
  <c r="E56" i="6"/>
  <c r="K55" i="6"/>
  <c r="J55" i="6"/>
  <c r="E55" i="6"/>
  <c r="J54" i="6"/>
  <c r="K54" i="6" s="1"/>
  <c r="E54" i="6"/>
  <c r="J53" i="6"/>
  <c r="E53" i="6"/>
  <c r="K52" i="6"/>
  <c r="J52" i="6"/>
  <c r="E52" i="6"/>
  <c r="K51" i="6"/>
  <c r="J51" i="6"/>
  <c r="E51" i="6"/>
  <c r="J50" i="6"/>
  <c r="K50" i="6" s="1"/>
  <c r="E50" i="6"/>
  <c r="J49" i="6"/>
  <c r="E49" i="6"/>
  <c r="K48" i="6"/>
  <c r="J48" i="6"/>
  <c r="E48" i="6"/>
  <c r="K47" i="6"/>
  <c r="J47" i="6"/>
  <c r="E47" i="6"/>
  <c r="J46" i="6"/>
  <c r="K46" i="6" s="1"/>
  <c r="E46" i="6"/>
  <c r="J45" i="6"/>
  <c r="E45" i="6"/>
  <c r="K44" i="6"/>
  <c r="J44" i="6"/>
  <c r="E44" i="6"/>
  <c r="K43" i="6"/>
  <c r="J43" i="6"/>
  <c r="E43" i="6"/>
  <c r="J42" i="6"/>
  <c r="K42" i="6" s="1"/>
  <c r="E42" i="6"/>
  <c r="J41" i="6"/>
  <c r="E41" i="6"/>
  <c r="K40" i="6"/>
  <c r="J40" i="6"/>
  <c r="E40" i="6"/>
  <c r="K39" i="6"/>
  <c r="J39" i="6"/>
  <c r="E39" i="6"/>
  <c r="J38" i="6"/>
  <c r="K38" i="6" s="1"/>
  <c r="E38" i="6"/>
  <c r="K37" i="6"/>
  <c r="J37" i="6"/>
  <c r="E37" i="6"/>
  <c r="K36" i="6"/>
  <c r="J36" i="6"/>
  <c r="E36" i="6"/>
  <c r="K35" i="6"/>
  <c r="J35" i="6"/>
  <c r="E35" i="6"/>
  <c r="J34" i="6"/>
  <c r="K34" i="6" s="1"/>
  <c r="E34" i="6"/>
  <c r="K33" i="6"/>
  <c r="J33" i="6"/>
  <c r="E33" i="6"/>
  <c r="K32" i="6"/>
  <c r="J32" i="6"/>
  <c r="E32" i="6"/>
  <c r="K31" i="6"/>
  <c r="J31" i="6"/>
  <c r="E31" i="6"/>
  <c r="J30" i="6"/>
  <c r="K30" i="6" s="1"/>
  <c r="E30" i="6"/>
  <c r="J29" i="6"/>
  <c r="E29" i="6"/>
  <c r="K28" i="6"/>
  <c r="J28" i="6"/>
  <c r="E28" i="6"/>
  <c r="K27" i="6"/>
  <c r="J27" i="6"/>
  <c r="E27" i="6"/>
  <c r="J26" i="6"/>
  <c r="K26" i="6" s="1"/>
  <c r="E26" i="6"/>
  <c r="J25" i="6"/>
  <c r="E25" i="6"/>
  <c r="K24" i="6"/>
  <c r="J24" i="6"/>
  <c r="E24" i="6"/>
  <c r="K23" i="6"/>
  <c r="J23" i="6"/>
  <c r="E23" i="6"/>
  <c r="J22" i="6"/>
  <c r="K22" i="6" s="1"/>
  <c r="E22" i="6"/>
  <c r="K21" i="6"/>
  <c r="J21" i="6"/>
  <c r="E21" i="6"/>
  <c r="K20" i="6"/>
  <c r="J20" i="6"/>
  <c r="E20" i="6"/>
  <c r="K19" i="6"/>
  <c r="J19" i="6"/>
  <c r="E19" i="6"/>
  <c r="J18" i="6"/>
  <c r="K18" i="6" s="1"/>
  <c r="E18" i="6"/>
  <c r="K17" i="6"/>
  <c r="J17" i="6"/>
  <c r="E17" i="6"/>
  <c r="K16" i="6"/>
  <c r="J16" i="6"/>
  <c r="E16" i="6"/>
  <c r="K15" i="6"/>
  <c r="J15" i="6"/>
  <c r="E15" i="6"/>
  <c r="J14" i="6"/>
  <c r="K14" i="6" s="1"/>
  <c r="E14" i="6"/>
  <c r="J13" i="6"/>
  <c r="E13" i="6"/>
  <c r="K12" i="6"/>
  <c r="J12" i="6"/>
  <c r="E12" i="6"/>
  <c r="K11" i="6"/>
  <c r="J11" i="6"/>
  <c r="E11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A116" i="6"/>
  <c r="B115" i="6"/>
  <c r="A115" i="6"/>
  <c r="B114" i="6"/>
  <c r="A114" i="6"/>
  <c r="B113" i="6"/>
  <c r="A113" i="6"/>
  <c r="B112" i="6"/>
  <c r="A112" i="6"/>
  <c r="B111" i="6"/>
  <c r="A111" i="6"/>
  <c r="B110" i="6"/>
  <c r="A110" i="6"/>
  <c r="B109" i="6"/>
  <c r="A109" i="6"/>
  <c r="B108" i="6"/>
  <c r="A108" i="6"/>
  <c r="B107" i="6"/>
  <c r="A107" i="6"/>
  <c r="B106" i="6"/>
  <c r="A106" i="6"/>
  <c r="B105" i="6"/>
  <c r="A105" i="6"/>
  <c r="B104" i="6"/>
  <c r="A104" i="6"/>
  <c r="B103" i="6"/>
  <c r="A103" i="6"/>
  <c r="B102" i="6"/>
  <c r="A102" i="6"/>
  <c r="B101" i="6"/>
  <c r="A101" i="6"/>
  <c r="B100" i="6"/>
  <c r="A100" i="6"/>
  <c r="B99" i="6"/>
  <c r="A99" i="6"/>
  <c r="B98" i="6"/>
  <c r="A98" i="6"/>
  <c r="B97" i="6"/>
  <c r="A97" i="6"/>
  <c r="B96" i="6"/>
  <c r="A96" i="6"/>
  <c r="B95" i="6"/>
  <c r="A95" i="6"/>
  <c r="B94" i="6"/>
  <c r="A94" i="6"/>
  <c r="B93" i="6"/>
  <c r="A93" i="6"/>
  <c r="B92" i="6"/>
  <c r="A92" i="6"/>
  <c r="B91" i="6"/>
  <c r="A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A12" i="6"/>
  <c r="B11" i="6"/>
  <c r="A11" i="6"/>
  <c r="I136" i="4"/>
  <c r="J136" i="4" s="1"/>
  <c r="I135" i="4"/>
  <c r="J135" i="4" s="1"/>
  <c r="I134" i="4"/>
  <c r="J134" i="4" s="1"/>
  <c r="I133" i="4"/>
  <c r="J133" i="4" s="1"/>
  <c r="I132" i="4"/>
  <c r="J132" i="4" s="1"/>
  <c r="I131" i="4"/>
  <c r="J131" i="4" s="1"/>
  <c r="I130" i="4"/>
  <c r="J130" i="4" s="1"/>
  <c r="I129" i="4"/>
  <c r="J129" i="4" s="1"/>
  <c r="I128" i="4"/>
  <c r="J128" i="4" s="1"/>
  <c r="I127" i="4"/>
  <c r="J127" i="4" s="1"/>
  <c r="I126" i="4"/>
  <c r="J126" i="4" s="1"/>
  <c r="I125" i="4"/>
  <c r="J125" i="4" s="1"/>
  <c r="I124" i="4"/>
  <c r="J124" i="4" s="1"/>
  <c r="I123" i="4"/>
  <c r="J123" i="4" s="1"/>
  <c r="I122" i="4"/>
  <c r="J122" i="4" s="1"/>
  <c r="I121" i="4"/>
  <c r="J121" i="4" s="1"/>
  <c r="I120" i="4"/>
  <c r="J120" i="4" s="1"/>
  <c r="I119" i="4"/>
  <c r="J119" i="4" s="1"/>
  <c r="I118" i="4"/>
  <c r="J118" i="4" s="1"/>
  <c r="I117" i="4"/>
  <c r="J117" i="4" s="1"/>
  <c r="I116" i="4"/>
  <c r="J116" i="4" s="1"/>
  <c r="I115" i="4"/>
  <c r="J115" i="4" s="1"/>
  <c r="I114" i="4"/>
  <c r="J114" i="4" s="1"/>
  <c r="I113" i="4"/>
  <c r="J113" i="4" s="1"/>
  <c r="I112" i="4"/>
  <c r="J112" i="4" s="1"/>
  <c r="I111" i="4"/>
  <c r="J111" i="4" s="1"/>
  <c r="I110" i="4"/>
  <c r="J110" i="4" s="1"/>
  <c r="I109" i="4"/>
  <c r="J109" i="4" s="1"/>
  <c r="I108" i="4"/>
  <c r="J108" i="4" s="1"/>
  <c r="I107" i="4"/>
  <c r="J107" i="4" s="1"/>
  <c r="I106" i="4"/>
  <c r="J106" i="4" s="1"/>
  <c r="I105" i="4"/>
  <c r="J105" i="4" s="1"/>
  <c r="I104" i="4"/>
  <c r="J104" i="4" s="1"/>
  <c r="I103" i="4"/>
  <c r="J103" i="4" s="1"/>
  <c r="I102" i="4"/>
  <c r="J102" i="4" s="1"/>
  <c r="I101" i="4"/>
  <c r="J101" i="4" s="1"/>
  <c r="I100" i="4"/>
  <c r="J100" i="4" s="1"/>
  <c r="I99" i="4"/>
  <c r="J99" i="4" s="1"/>
  <c r="I98" i="4"/>
  <c r="J98" i="4" s="1"/>
  <c r="I97" i="4"/>
  <c r="J97" i="4" s="1"/>
  <c r="I96" i="4"/>
  <c r="J96" i="4" s="1"/>
  <c r="I95" i="4"/>
  <c r="J95" i="4" s="1"/>
  <c r="I94" i="4"/>
  <c r="J94" i="4" s="1"/>
  <c r="I93" i="4"/>
  <c r="J93" i="4" s="1"/>
  <c r="I92" i="4"/>
  <c r="J92" i="4" s="1"/>
  <c r="I91" i="4"/>
  <c r="J91" i="4" s="1"/>
  <c r="I90" i="4"/>
  <c r="J90" i="4" s="1"/>
  <c r="I89" i="4"/>
  <c r="J89" i="4" s="1"/>
  <c r="I88" i="4"/>
  <c r="J88" i="4" s="1"/>
  <c r="I87" i="4"/>
  <c r="J87" i="4" s="1"/>
  <c r="I86" i="4"/>
  <c r="J86" i="4" s="1"/>
  <c r="I85" i="4"/>
  <c r="J85" i="4" s="1"/>
  <c r="I84" i="4"/>
  <c r="J84" i="4" s="1"/>
  <c r="I83" i="4"/>
  <c r="J83" i="4" s="1"/>
  <c r="I82" i="4"/>
  <c r="J82" i="4" s="1"/>
  <c r="I81" i="4"/>
  <c r="J81" i="4" s="1"/>
  <c r="I80" i="4"/>
  <c r="J80" i="4" s="1"/>
  <c r="I79" i="4"/>
  <c r="J79" i="4" s="1"/>
  <c r="I78" i="4"/>
  <c r="J78" i="4" s="1"/>
  <c r="I77" i="4"/>
  <c r="J77" i="4" s="1"/>
  <c r="I76" i="4"/>
  <c r="J76" i="4" s="1"/>
  <c r="I75" i="4"/>
  <c r="J75" i="4" s="1"/>
  <c r="I74" i="4"/>
  <c r="J74" i="4" s="1"/>
  <c r="I73" i="4"/>
  <c r="J73" i="4" s="1"/>
  <c r="I72" i="4"/>
  <c r="J72" i="4" s="1"/>
  <c r="I71" i="4"/>
  <c r="J71" i="4" s="1"/>
  <c r="I70" i="4"/>
  <c r="J70" i="4" s="1"/>
  <c r="I69" i="4"/>
  <c r="J69" i="4" s="1"/>
  <c r="I68" i="4"/>
  <c r="J68" i="4" s="1"/>
  <c r="I67" i="4"/>
  <c r="J67" i="4" s="1"/>
  <c r="I66" i="4"/>
  <c r="J66" i="4" s="1"/>
  <c r="I65" i="4"/>
  <c r="J65" i="4" s="1"/>
  <c r="I64" i="4"/>
  <c r="J64" i="4" s="1"/>
  <c r="I63" i="4"/>
  <c r="J63" i="4" s="1"/>
  <c r="I62" i="4"/>
  <c r="J62" i="4" s="1"/>
  <c r="I61" i="4"/>
  <c r="J61" i="4" s="1"/>
  <c r="I60" i="4"/>
  <c r="J60" i="4" s="1"/>
  <c r="I59" i="4"/>
  <c r="J59" i="4" s="1"/>
  <c r="I58" i="4"/>
  <c r="J58" i="4" s="1"/>
  <c r="I57" i="4"/>
  <c r="J57" i="4" s="1"/>
  <c r="I56" i="4"/>
  <c r="J56" i="4" s="1"/>
  <c r="I55" i="4"/>
  <c r="J55" i="4" s="1"/>
  <c r="I54" i="4"/>
  <c r="J54" i="4" s="1"/>
  <c r="I53" i="4"/>
  <c r="J53" i="4" s="1"/>
  <c r="I52" i="4"/>
  <c r="J52" i="4" s="1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A13" i="4"/>
  <c r="B12" i="4"/>
  <c r="A12" i="4"/>
  <c r="D134" i="6"/>
  <c r="D133" i="14"/>
  <c r="D132" i="9"/>
  <c r="D132" i="4"/>
  <c r="F132" i="4" s="1"/>
  <c r="G132" i="4" s="1"/>
  <c r="D130" i="12"/>
  <c r="D129" i="27"/>
  <c r="D127" i="24"/>
  <c r="D126" i="12"/>
  <c r="D125" i="6"/>
  <c r="D124" i="27"/>
  <c r="D123" i="6"/>
  <c r="D122" i="11"/>
  <c r="D121" i="6"/>
  <c r="D120" i="8"/>
  <c r="D119" i="25"/>
  <c r="D119" i="4"/>
  <c r="F119" i="4" s="1"/>
  <c r="D118" i="4"/>
  <c r="F118" i="4" s="1"/>
  <c r="G118" i="4" s="1"/>
  <c r="A10" i="5"/>
  <c r="A13" i="7" s="1"/>
  <c r="D56" i="11"/>
  <c r="D48" i="9"/>
  <c r="D134" i="11" l="1"/>
  <c r="D134" i="13"/>
  <c r="D120" i="24"/>
  <c r="D125" i="7"/>
  <c r="D121" i="9"/>
  <c r="D120" i="12"/>
  <c r="D121" i="13"/>
  <c r="D120" i="6"/>
  <c r="D122" i="4"/>
  <c r="F122" i="4" s="1"/>
  <c r="G122" i="4" s="1"/>
  <c r="D134" i="7"/>
  <c r="D121" i="8"/>
  <c r="D135" i="4"/>
  <c r="F135" i="4" s="1"/>
  <c r="G135" i="4" s="1"/>
  <c r="D122" i="7"/>
  <c r="D134" i="4"/>
  <c r="F134" i="4" s="1"/>
  <c r="G133" i="6" s="1"/>
  <c r="D122" i="8"/>
  <c r="D119" i="6"/>
  <c r="D120" i="9"/>
  <c r="D121" i="12"/>
  <c r="D123" i="10"/>
  <c r="D124" i="4"/>
  <c r="F124" i="4" s="1"/>
  <c r="G124" i="4" s="1"/>
  <c r="D134" i="8"/>
  <c r="D124" i="9"/>
  <c r="A14" i="4"/>
  <c r="D117" i="7"/>
  <c r="D117" i="8"/>
  <c r="D124" i="11"/>
  <c r="D48" i="25"/>
  <c r="D131" i="8"/>
  <c r="D131" i="21"/>
  <c r="D133" i="10"/>
  <c r="D119" i="11"/>
  <c r="D120" i="4"/>
  <c r="F120" i="4" s="1"/>
  <c r="G119" i="6" s="1"/>
  <c r="D119" i="8"/>
  <c r="D122" i="9"/>
  <c r="D121" i="4"/>
  <c r="F121" i="4" s="1"/>
  <c r="G121" i="4" s="1"/>
  <c r="D120" i="7"/>
  <c r="D120" i="11"/>
  <c r="D120" i="14"/>
  <c r="D131" i="4"/>
  <c r="F131" i="4" s="1"/>
  <c r="G131" i="6"/>
  <c r="D129" i="8"/>
  <c r="D126" i="30"/>
  <c r="D126" i="26"/>
  <c r="D126" i="24"/>
  <c r="D126" i="25"/>
  <c r="D126" i="29"/>
  <c r="D126" i="21"/>
  <c r="D126" i="28"/>
  <c r="D126" i="27"/>
  <c r="D126" i="23"/>
  <c r="D126" i="22"/>
  <c r="D126" i="11"/>
  <c r="D126" i="10"/>
  <c r="D126" i="13"/>
  <c r="D126" i="9"/>
  <c r="D126" i="7"/>
  <c r="D126" i="6"/>
  <c r="D126" i="14"/>
  <c r="D126" i="8"/>
  <c r="D127" i="4"/>
  <c r="F127" i="4" s="1"/>
  <c r="D127" i="29"/>
  <c r="D127" i="28"/>
  <c r="D127" i="23"/>
  <c r="D127" i="22"/>
  <c r="D127" i="27"/>
  <c r="D127" i="21"/>
  <c r="D127" i="26"/>
  <c r="D127" i="30"/>
  <c r="D127" i="10"/>
  <c r="D127" i="14"/>
  <c r="D127" i="13"/>
  <c r="D127" i="12"/>
  <c r="D127" i="8"/>
  <c r="D128" i="4"/>
  <c r="F128" i="4" s="1"/>
  <c r="D127" i="11"/>
  <c r="D127" i="25"/>
  <c r="D127" i="7"/>
  <c r="D128" i="27"/>
  <c r="D128" i="30"/>
  <c r="D128" i="26"/>
  <c r="D128" i="29"/>
  <c r="D128" i="28"/>
  <c r="D128" i="24"/>
  <c r="D128" i="25"/>
  <c r="D128" i="9"/>
  <c r="D128" i="12"/>
  <c r="D128" i="23"/>
  <c r="D128" i="21"/>
  <c r="D128" i="22"/>
  <c r="D128" i="11"/>
  <c r="D128" i="14"/>
  <c r="D128" i="8"/>
  <c r="D128" i="10"/>
  <c r="D128" i="7"/>
  <c r="D129" i="4"/>
  <c r="F129" i="4" s="1"/>
  <c r="D128" i="6"/>
  <c r="D128" i="13"/>
  <c r="D129" i="29"/>
  <c r="D129" i="25"/>
  <c r="D129" i="26"/>
  <c r="D129" i="30"/>
  <c r="D129" i="23"/>
  <c r="D129" i="22"/>
  <c r="D129" i="21"/>
  <c r="D129" i="24"/>
  <c r="D129" i="12"/>
  <c r="D129" i="9"/>
  <c r="D129" i="14"/>
  <c r="D129" i="13"/>
  <c r="D129" i="11"/>
  <c r="D130" i="4"/>
  <c r="F130" i="4" s="1"/>
  <c r="D129" i="28"/>
  <c r="D129" i="6"/>
  <c r="D129" i="7"/>
  <c r="A13" i="30"/>
  <c r="A13" i="29"/>
  <c r="A13" i="25"/>
  <c r="A13" i="28"/>
  <c r="A13" i="27"/>
  <c r="A13" i="22"/>
  <c r="A13" i="26"/>
  <c r="A13" i="24"/>
  <c r="A13" i="23"/>
  <c r="A13" i="14"/>
  <c r="A13" i="9"/>
  <c r="A13" i="21"/>
  <c r="A13" i="10"/>
  <c r="A13" i="11"/>
  <c r="A13" i="6"/>
  <c r="A13" i="13"/>
  <c r="A13" i="12"/>
  <c r="A11" i="5"/>
  <c r="A13" i="8"/>
  <c r="D132" i="29"/>
  <c r="D132" i="25"/>
  <c r="D132" i="28"/>
  <c r="D132" i="24"/>
  <c r="D132" i="27"/>
  <c r="D132" i="22"/>
  <c r="D132" i="30"/>
  <c r="D132" i="21"/>
  <c r="D132" i="11"/>
  <c r="D132" i="26"/>
  <c r="D132" i="8"/>
  <c r="D132" i="23"/>
  <c r="D132" i="14"/>
  <c r="D132" i="12"/>
  <c r="D132" i="13"/>
  <c r="D132" i="7"/>
  <c r="D133" i="4"/>
  <c r="F133" i="4" s="1"/>
  <c r="D132" i="10"/>
  <c r="G119" i="4"/>
  <c r="G118" i="6"/>
  <c r="D48" i="22"/>
  <c r="D48" i="26"/>
  <c r="D48" i="24"/>
  <c r="D48" i="30"/>
  <c r="D48" i="14"/>
  <c r="D56" i="30"/>
  <c r="D56" i="28"/>
  <c r="D56" i="26"/>
  <c r="D56" i="14"/>
  <c r="D56" i="6"/>
  <c r="D130" i="28"/>
  <c r="D130" i="27"/>
  <c r="D130" i="24"/>
  <c r="D130" i="30"/>
  <c r="D130" i="26"/>
  <c r="D130" i="21"/>
  <c r="D130" i="29"/>
  <c r="D130" i="14"/>
  <c r="D130" i="25"/>
  <c r="D130" i="13"/>
  <c r="D130" i="22"/>
  <c r="D130" i="23"/>
  <c r="D130" i="8"/>
  <c r="D130" i="10"/>
  <c r="D130" i="9"/>
  <c r="D130" i="6"/>
  <c r="D130" i="7"/>
  <c r="D127" i="6"/>
  <c r="D118" i="29"/>
  <c r="D118" i="25"/>
  <c r="D118" i="28"/>
  <c r="D118" i="27"/>
  <c r="D118" i="22"/>
  <c r="D118" i="21"/>
  <c r="D118" i="26"/>
  <c r="D118" i="30"/>
  <c r="D118" i="11"/>
  <c r="D118" i="24"/>
  <c r="D118" i="8"/>
  <c r="D118" i="12"/>
  <c r="D118" i="10"/>
  <c r="D118" i="23"/>
  <c r="D118" i="14"/>
  <c r="D118" i="9"/>
  <c r="D118" i="7"/>
  <c r="D118" i="6"/>
  <c r="D118" i="13"/>
  <c r="G117" i="6"/>
  <c r="G117" i="7" s="1"/>
  <c r="D132" i="6"/>
  <c r="D127" i="9"/>
  <c r="D129" i="10"/>
  <c r="D130" i="11"/>
  <c r="D56" i="12"/>
  <c r="D125" i="29"/>
  <c r="D125" i="25"/>
  <c r="D125" i="28"/>
  <c r="D125" i="27"/>
  <c r="D125" i="22"/>
  <c r="D125" i="21"/>
  <c r="D125" i="24"/>
  <c r="D125" i="26"/>
  <c r="D125" i="11"/>
  <c r="D125" i="8"/>
  <c r="D125" i="13"/>
  <c r="D125" i="23"/>
  <c r="D126" i="4"/>
  <c r="F126" i="4" s="1"/>
  <c r="D125" i="12"/>
  <c r="D125" i="10"/>
  <c r="D117" i="24"/>
  <c r="D117" i="30"/>
  <c r="D117" i="26"/>
  <c r="D117" i="23"/>
  <c r="D117" i="27"/>
  <c r="D117" i="13"/>
  <c r="D117" i="28"/>
  <c r="D117" i="21"/>
  <c r="D117" i="14"/>
  <c r="D117" i="25"/>
  <c r="D117" i="29"/>
  <c r="D117" i="22"/>
  <c r="D117" i="11"/>
  <c r="D117" i="6"/>
  <c r="D117" i="9"/>
  <c r="D131" i="28"/>
  <c r="D131" i="24"/>
  <c r="D131" i="27"/>
  <c r="D131" i="26"/>
  <c r="D131" i="23"/>
  <c r="D131" i="29"/>
  <c r="D131" i="13"/>
  <c r="D131" i="30"/>
  <c r="D131" i="25"/>
  <c r="D131" i="12"/>
  <c r="D131" i="11"/>
  <c r="D131" i="14"/>
  <c r="D131" i="6"/>
  <c r="D131" i="10"/>
  <c r="D131" i="9"/>
  <c r="D133" i="6"/>
  <c r="D131" i="7"/>
  <c r="D119" i="13"/>
  <c r="D133" i="13"/>
  <c r="D125" i="14"/>
  <c r="D125" i="30"/>
  <c r="D123" i="7"/>
  <c r="D117" i="10"/>
  <c r="D124" i="12"/>
  <c r="D131" i="22"/>
  <c r="D119" i="30"/>
  <c r="D119" i="26"/>
  <c r="D119" i="29"/>
  <c r="D119" i="28"/>
  <c r="D119" i="27"/>
  <c r="D119" i="24"/>
  <c r="D119" i="23"/>
  <c r="D119" i="22"/>
  <c r="D119" i="21"/>
  <c r="D119" i="14"/>
  <c r="D119" i="7"/>
  <c r="D119" i="12"/>
  <c r="D119" i="9"/>
  <c r="D119" i="10"/>
  <c r="D124" i="10"/>
  <c r="D117" i="12"/>
  <c r="D123" i="25"/>
  <c r="D133" i="30"/>
  <c r="D133" i="26"/>
  <c r="D133" i="24"/>
  <c r="D133" i="29"/>
  <c r="D133" i="28"/>
  <c r="D133" i="27"/>
  <c r="D133" i="25"/>
  <c r="D133" i="9"/>
  <c r="D133" i="12"/>
  <c r="D133" i="11"/>
  <c r="D133" i="22"/>
  <c r="D133" i="21"/>
  <c r="D133" i="8"/>
  <c r="D133" i="7"/>
  <c r="D125" i="9"/>
  <c r="D122" i="29"/>
  <c r="D122" i="25"/>
  <c r="D122" i="28"/>
  <c r="D122" i="27"/>
  <c r="D122" i="23"/>
  <c r="D122" i="22"/>
  <c r="D122" i="24"/>
  <c r="D122" i="30"/>
  <c r="D122" i="12"/>
  <c r="D122" i="21"/>
  <c r="D122" i="14"/>
  <c r="D122" i="13"/>
  <c r="D122" i="26"/>
  <c r="D122" i="6"/>
  <c r="D122" i="10"/>
  <c r="D123" i="4"/>
  <c r="F123" i="4" s="1"/>
  <c r="D124" i="8"/>
  <c r="D124" i="22"/>
  <c r="D133" i="23"/>
  <c r="D123" i="28"/>
  <c r="D123" i="27"/>
  <c r="D123" i="30"/>
  <c r="D123" i="21"/>
  <c r="D123" i="26"/>
  <c r="D123" i="24"/>
  <c r="D123" i="22"/>
  <c r="D123" i="14"/>
  <c r="D123" i="23"/>
  <c r="D123" i="12"/>
  <c r="D123" i="11"/>
  <c r="D123" i="13"/>
  <c r="D123" i="8"/>
  <c r="D124" i="6"/>
  <c r="D124" i="7"/>
  <c r="D123" i="9"/>
  <c r="D124" i="26"/>
  <c r="D124" i="24"/>
  <c r="D124" i="25"/>
  <c r="D124" i="29"/>
  <c r="D124" i="28"/>
  <c r="D124" i="23"/>
  <c r="D124" i="30"/>
  <c r="D124" i="13"/>
  <c r="D124" i="14"/>
  <c r="D125" i="4"/>
  <c r="F125" i="4" s="1"/>
  <c r="D124" i="21"/>
  <c r="D120" i="29"/>
  <c r="D120" i="28"/>
  <c r="D120" i="23"/>
  <c r="D120" i="30"/>
  <c r="D120" i="22"/>
  <c r="D120" i="26"/>
  <c r="D120" i="21"/>
  <c r="D120" i="27"/>
  <c r="D120" i="10"/>
  <c r="D120" i="13"/>
  <c r="D120" i="25"/>
  <c r="D134" i="29"/>
  <c r="D134" i="28"/>
  <c r="D134" i="27"/>
  <c r="D134" i="26"/>
  <c r="D134" i="23"/>
  <c r="D134" i="22"/>
  <c r="D134" i="25"/>
  <c r="D134" i="21"/>
  <c r="D134" i="24"/>
  <c r="D134" i="12"/>
  <c r="D134" i="10"/>
  <c r="D134" i="30"/>
  <c r="D134" i="14"/>
  <c r="D121" i="27"/>
  <c r="D121" i="30"/>
  <c r="D121" i="26"/>
  <c r="D121" i="25"/>
  <c r="D121" i="24"/>
  <c r="D121" i="29"/>
  <c r="D121" i="28"/>
  <c r="D121" i="11"/>
  <c r="D121" i="10"/>
  <c r="D121" i="23"/>
  <c r="D121" i="21"/>
  <c r="D121" i="7"/>
  <c r="D134" i="9"/>
  <c r="D121" i="14"/>
  <c r="D121" i="22"/>
  <c r="D56" i="22"/>
  <c r="D56" i="24"/>
  <c r="D56" i="13"/>
  <c r="D56" i="27"/>
  <c r="D56" i="7"/>
  <c r="D56" i="8"/>
  <c r="D56" i="25"/>
  <c r="D56" i="29"/>
  <c r="D56" i="23"/>
  <c r="D57" i="4"/>
  <c r="F57" i="4" s="1"/>
  <c r="D56" i="9"/>
  <c r="D56" i="10"/>
  <c r="D56" i="21"/>
  <c r="D48" i="12"/>
  <c r="D48" i="27"/>
  <c r="D48" i="7"/>
  <c r="D48" i="21"/>
  <c r="D48" i="28"/>
  <c r="D48" i="10"/>
  <c r="D48" i="13"/>
  <c r="D48" i="8"/>
  <c r="D48" i="29"/>
  <c r="D48" i="23"/>
  <c r="D48" i="11"/>
  <c r="D48" i="6"/>
  <c r="D49" i="4"/>
  <c r="F49" i="4" s="1"/>
  <c r="K45" i="6"/>
  <c r="K25" i="6"/>
  <c r="K57" i="6"/>
  <c r="K13" i="6"/>
  <c r="K29" i="6"/>
  <c r="K53" i="6"/>
  <c r="K41" i="6"/>
  <c r="K49" i="6"/>
  <c r="H137" i="4"/>
  <c r="E137" i="4"/>
  <c r="I6" i="4" s="1"/>
  <c r="C6" i="4"/>
  <c r="I137" i="7"/>
  <c r="C6" i="7" s="1"/>
  <c r="F137" i="7"/>
  <c r="J6" i="7" s="1"/>
  <c r="I137" i="8"/>
  <c r="C6" i="8"/>
  <c r="I137" i="9"/>
  <c r="C6" i="9" s="1"/>
  <c r="I137" i="10"/>
  <c r="C6" i="10" s="1"/>
  <c r="I137" i="11"/>
  <c r="C6" i="11" s="1"/>
  <c r="I137" i="12"/>
  <c r="C6" i="12" s="1"/>
  <c r="I137" i="13"/>
  <c r="C6" i="13" s="1"/>
  <c r="I137" i="14"/>
  <c r="C6" i="14" s="1"/>
  <c r="I137" i="21"/>
  <c r="C6" i="21" s="1"/>
  <c r="I137" i="22"/>
  <c r="C6" i="22" s="1"/>
  <c r="I137" i="23"/>
  <c r="C6" i="23" s="1"/>
  <c r="I137" i="24"/>
  <c r="C6" i="24" s="1"/>
  <c r="I137" i="25"/>
  <c r="C6" i="25" s="1"/>
  <c r="I137" i="26"/>
  <c r="C6" i="26"/>
  <c r="I137" i="27"/>
  <c r="C6" i="27" s="1"/>
  <c r="I137" i="28"/>
  <c r="C6" i="28" s="1"/>
  <c r="I137" i="29"/>
  <c r="C6" i="29" s="1"/>
  <c r="I137" i="30"/>
  <c r="I137" i="6"/>
  <c r="C6" i="6"/>
  <c r="F137" i="8"/>
  <c r="J6" i="8" s="1"/>
  <c r="F137" i="9"/>
  <c r="J6" i="9" s="1"/>
  <c r="F137" i="10"/>
  <c r="J6" i="10" s="1"/>
  <c r="F137" i="11"/>
  <c r="J6" i="11" s="1"/>
  <c r="F137" i="12"/>
  <c r="J6" i="12" s="1"/>
  <c r="F137" i="13"/>
  <c r="J6" i="13" s="1"/>
  <c r="F137" i="14"/>
  <c r="J6" i="14" s="1"/>
  <c r="F137" i="21"/>
  <c r="J6" i="21" s="1"/>
  <c r="F137" i="22"/>
  <c r="J6" i="22" s="1"/>
  <c r="F137" i="23"/>
  <c r="J6" i="23"/>
  <c r="F137" i="24"/>
  <c r="J6" i="24" s="1"/>
  <c r="F137" i="25"/>
  <c r="J6" i="25" s="1"/>
  <c r="F137" i="26"/>
  <c r="J6" i="26" s="1"/>
  <c r="F137" i="27"/>
  <c r="J6" i="27" s="1"/>
  <c r="F137" i="28"/>
  <c r="J6" i="28" s="1"/>
  <c r="F137" i="29"/>
  <c r="J6" i="29" s="1"/>
  <c r="F137" i="30"/>
  <c r="C6" i="30" s="1"/>
  <c r="F137" i="6"/>
  <c r="J6" i="6" s="1"/>
  <c r="E10" i="6"/>
  <c r="E10" i="7"/>
  <c r="C3" i="4"/>
  <c r="C3" i="30"/>
  <c r="C3" i="29"/>
  <c r="C3" i="28"/>
  <c r="C3" i="27"/>
  <c r="C3" i="26"/>
  <c r="C3" i="25"/>
  <c r="C3" i="24"/>
  <c r="C3" i="23"/>
  <c r="C3" i="22"/>
  <c r="C3" i="21"/>
  <c r="C3" i="14"/>
  <c r="C3" i="13"/>
  <c r="C3" i="12"/>
  <c r="C3" i="11"/>
  <c r="C3" i="10"/>
  <c r="C3" i="9"/>
  <c r="C3" i="8"/>
  <c r="C3" i="7"/>
  <c r="C3" i="6"/>
  <c r="B10" i="30"/>
  <c r="A10" i="30"/>
  <c r="C5" i="30"/>
  <c r="C4" i="30"/>
  <c r="B10" i="29"/>
  <c r="A10" i="29"/>
  <c r="C5" i="29"/>
  <c r="C4" i="29"/>
  <c r="B10" i="28"/>
  <c r="A10" i="28"/>
  <c r="C5" i="28"/>
  <c r="C4" i="28"/>
  <c r="B10" i="27"/>
  <c r="A10" i="27"/>
  <c r="C5" i="27"/>
  <c r="C4" i="27"/>
  <c r="B10" i="26"/>
  <c r="A10" i="26"/>
  <c r="C5" i="26"/>
  <c r="C4" i="26"/>
  <c r="B10" i="25"/>
  <c r="A10" i="25"/>
  <c r="C5" i="25"/>
  <c r="C4" i="25"/>
  <c r="B10" i="24"/>
  <c r="A10" i="24"/>
  <c r="C5" i="24"/>
  <c r="C4" i="24"/>
  <c r="B10" i="23"/>
  <c r="A10" i="23"/>
  <c r="C5" i="23"/>
  <c r="C4" i="23"/>
  <c r="B10" i="22"/>
  <c r="A10" i="22"/>
  <c r="C5" i="22"/>
  <c r="C4" i="22"/>
  <c r="B10" i="21"/>
  <c r="A10" i="21"/>
  <c r="C5" i="21"/>
  <c r="C4" i="21"/>
  <c r="C4" i="14"/>
  <c r="C5" i="14"/>
  <c r="A10" i="14"/>
  <c r="B10" i="14"/>
  <c r="C4" i="13"/>
  <c r="C5" i="13"/>
  <c r="A10" i="13"/>
  <c r="B10" i="13"/>
  <c r="C4" i="12"/>
  <c r="C5" i="12"/>
  <c r="A10" i="12"/>
  <c r="B10" i="12"/>
  <c r="C4" i="11"/>
  <c r="C5" i="11"/>
  <c r="A10" i="11"/>
  <c r="B10" i="11"/>
  <c r="C4" i="10"/>
  <c r="C5" i="10"/>
  <c r="A10" i="10"/>
  <c r="B10" i="10"/>
  <c r="C4" i="9"/>
  <c r="C5" i="9"/>
  <c r="A10" i="9"/>
  <c r="B10" i="9"/>
  <c r="C4" i="8"/>
  <c r="C5" i="8"/>
  <c r="A10" i="8"/>
  <c r="B10" i="8"/>
  <c r="C4" i="7"/>
  <c r="C5" i="7"/>
  <c r="A10" i="7"/>
  <c r="B10" i="7"/>
  <c r="C4" i="6"/>
  <c r="C5" i="6"/>
  <c r="A10" i="6"/>
  <c r="B10" i="6"/>
  <c r="C5" i="4"/>
  <c r="C4" i="4"/>
  <c r="A11" i="4"/>
  <c r="B11" i="4"/>
  <c r="I11" i="4"/>
  <c r="J10" i="6"/>
  <c r="K10" i="6"/>
  <c r="J10" i="7"/>
  <c r="K10" i="7" s="1"/>
  <c r="J11" i="4"/>
  <c r="J10" i="8"/>
  <c r="J10" i="9"/>
  <c r="E10" i="8"/>
  <c r="J10" i="10"/>
  <c r="K10" i="9"/>
  <c r="K10" i="8"/>
  <c r="J10" i="11"/>
  <c r="K10" i="10"/>
  <c r="J10" i="12"/>
  <c r="J10" i="13" s="1"/>
  <c r="K10" i="11"/>
  <c r="K10" i="12"/>
  <c r="G121" i="6" l="1"/>
  <c r="H121" i="6" s="1"/>
  <c r="G133" i="7"/>
  <c r="G133" i="8" s="1"/>
  <c r="H133" i="6"/>
  <c r="G134" i="4"/>
  <c r="G134" i="6"/>
  <c r="G121" i="7"/>
  <c r="H121" i="7" s="1"/>
  <c r="H117" i="6"/>
  <c r="G123" i="6"/>
  <c r="H123" i="6" s="1"/>
  <c r="G120" i="6"/>
  <c r="H120" i="6" s="1"/>
  <c r="G120" i="4"/>
  <c r="H133" i="7"/>
  <c r="G128" i="4"/>
  <c r="G127" i="6"/>
  <c r="G118" i="7"/>
  <c r="H118" i="6"/>
  <c r="G126" i="4"/>
  <c r="G125" i="6"/>
  <c r="A12" i="5"/>
  <c r="A14" i="27"/>
  <c r="A14" i="25"/>
  <c r="A14" i="29"/>
  <c r="A14" i="22"/>
  <c r="A14" i="28"/>
  <c r="A14" i="23"/>
  <c r="A14" i="21"/>
  <c r="A14" i="8"/>
  <c r="A14" i="30"/>
  <c r="A14" i="24"/>
  <c r="A14" i="14"/>
  <c r="A14" i="12"/>
  <c r="A14" i="6"/>
  <c r="A14" i="11"/>
  <c r="A14" i="10"/>
  <c r="A14" i="26"/>
  <c r="A14" i="13"/>
  <c r="A14" i="7"/>
  <c r="A15" i="4"/>
  <c r="A14" i="9"/>
  <c r="G127" i="4"/>
  <c r="G126" i="6"/>
  <c r="H119" i="6"/>
  <c r="G119" i="7"/>
  <c r="G125" i="4"/>
  <c r="G124" i="6"/>
  <c r="G129" i="6"/>
  <c r="G130" i="4"/>
  <c r="G123" i="4"/>
  <c r="G122" i="6"/>
  <c r="H117" i="7"/>
  <c r="G117" i="8"/>
  <c r="H131" i="6"/>
  <c r="G131" i="7"/>
  <c r="G133" i="4"/>
  <c r="G132" i="6"/>
  <c r="G129" i="4"/>
  <c r="G128" i="6"/>
  <c r="G131" i="4"/>
  <c r="G130" i="6"/>
  <c r="D67" i="23"/>
  <c r="D67" i="13"/>
  <c r="D67" i="8"/>
  <c r="D67" i="26"/>
  <c r="D67" i="11"/>
  <c r="D67" i="30"/>
  <c r="D67" i="28"/>
  <c r="D67" i="27"/>
  <c r="D67" i="22"/>
  <c r="D67" i="7"/>
  <c r="D67" i="25"/>
  <c r="D67" i="21"/>
  <c r="D67" i="24"/>
  <c r="D67" i="6"/>
  <c r="D67" i="10"/>
  <c r="D67" i="14"/>
  <c r="D67" i="12"/>
  <c r="D67" i="9"/>
  <c r="D68" i="4"/>
  <c r="F68" i="4" s="1"/>
  <c r="D67" i="29"/>
  <c r="D65" i="23"/>
  <c r="D65" i="11"/>
  <c r="D65" i="25"/>
  <c r="D65" i="12"/>
  <c r="D65" i="8"/>
  <c r="D65" i="28"/>
  <c r="D65" i="24"/>
  <c r="D65" i="22"/>
  <c r="D65" i="26"/>
  <c r="D65" i="13"/>
  <c r="D65" i="27"/>
  <c r="D65" i="9"/>
  <c r="D65" i="29"/>
  <c r="D65" i="10"/>
  <c r="D65" i="21"/>
  <c r="D65" i="14"/>
  <c r="D65" i="7"/>
  <c r="D65" i="30"/>
  <c r="D65" i="6"/>
  <c r="D66" i="4"/>
  <c r="F66" i="4" s="1"/>
  <c r="D64" i="6"/>
  <c r="D64" i="28"/>
  <c r="D64" i="22"/>
  <c r="D65" i="4"/>
  <c r="F65" i="4" s="1"/>
  <c r="D64" i="8"/>
  <c r="D64" i="25"/>
  <c r="D64" i="30"/>
  <c r="D64" i="29"/>
  <c r="D64" i="10"/>
  <c r="D64" i="23"/>
  <c r="D64" i="12"/>
  <c r="D64" i="11"/>
  <c r="D64" i="27"/>
  <c r="D64" i="26"/>
  <c r="D64" i="9"/>
  <c r="D64" i="21"/>
  <c r="D64" i="24"/>
  <c r="D64" i="13"/>
  <c r="D64" i="14"/>
  <c r="D64" i="7"/>
  <c r="D59" i="30"/>
  <c r="D59" i="28"/>
  <c r="D59" i="27"/>
  <c r="D59" i="13"/>
  <c r="D59" i="11"/>
  <c r="D59" i="7"/>
  <c r="D59" i="29"/>
  <c r="D59" i="10"/>
  <c r="D59" i="23"/>
  <c r="D59" i="8"/>
  <c r="D59" i="24"/>
  <c r="D59" i="26"/>
  <c r="D60" i="4"/>
  <c r="F60" i="4" s="1"/>
  <c r="D59" i="22"/>
  <c r="D59" i="12"/>
  <c r="D59" i="14"/>
  <c r="D59" i="6"/>
  <c r="D59" i="25"/>
  <c r="D59" i="21"/>
  <c r="D59" i="9"/>
  <c r="G57" i="4"/>
  <c r="G56" i="6"/>
  <c r="D54" i="13"/>
  <c r="D54" i="29"/>
  <c r="D54" i="21"/>
  <c r="D54" i="9"/>
  <c r="D54" i="28"/>
  <c r="D54" i="24"/>
  <c r="D54" i="11"/>
  <c r="D55" i="4"/>
  <c r="F55" i="4" s="1"/>
  <c r="D54" i="26"/>
  <c r="D54" i="14"/>
  <c r="D54" i="25"/>
  <c r="D54" i="8"/>
  <c r="D54" i="30"/>
  <c r="D54" i="23"/>
  <c r="D54" i="22"/>
  <c r="D54" i="27"/>
  <c r="D54" i="7"/>
  <c r="D54" i="10"/>
  <c r="D54" i="6"/>
  <c r="D54" i="12"/>
  <c r="D52" i="23"/>
  <c r="D52" i="7"/>
  <c r="D52" i="27"/>
  <c r="D52" i="14"/>
  <c r="D52" i="26"/>
  <c r="D52" i="21"/>
  <c r="D52" i="8"/>
  <c r="D53" i="4"/>
  <c r="F53" i="4" s="1"/>
  <c r="D52" i="22"/>
  <c r="D52" i="9"/>
  <c r="D52" i="6"/>
  <c r="D52" i="30"/>
  <c r="D52" i="11"/>
  <c r="D52" i="10"/>
  <c r="D52" i="25"/>
  <c r="D52" i="12"/>
  <c r="D52" i="29"/>
  <c r="D52" i="24"/>
  <c r="D52" i="13"/>
  <c r="D52" i="28"/>
  <c r="D37" i="21"/>
  <c r="D37" i="11"/>
  <c r="D37" i="25"/>
  <c r="D37" i="23"/>
  <c r="D37" i="7"/>
  <c r="D37" i="28"/>
  <c r="D37" i="12"/>
  <c r="D38" i="4"/>
  <c r="F38" i="4" s="1"/>
  <c r="D37" i="13"/>
  <c r="D37" i="6"/>
  <c r="D37" i="30"/>
  <c r="D37" i="22"/>
  <c r="D37" i="10"/>
  <c r="D37" i="9"/>
  <c r="D37" i="26"/>
  <c r="D37" i="24"/>
  <c r="D37" i="8"/>
  <c r="D37" i="29"/>
  <c r="D37" i="27"/>
  <c r="D37" i="14"/>
  <c r="G49" i="4"/>
  <c r="G48" i="6"/>
  <c r="D74" i="28"/>
  <c r="D74" i="30"/>
  <c r="D74" i="29"/>
  <c r="D74" i="27"/>
  <c r="D74" i="26"/>
  <c r="D74" i="25"/>
  <c r="D74" i="24"/>
  <c r="D74" i="23"/>
  <c r="D74" i="21"/>
  <c r="D74" i="14"/>
  <c r="D74" i="13"/>
  <c r="D74" i="11"/>
  <c r="D74" i="22"/>
  <c r="D74" i="12"/>
  <c r="D74" i="10"/>
  <c r="D74" i="9"/>
  <c r="D74" i="8"/>
  <c r="D74" i="7"/>
  <c r="D75" i="4"/>
  <c r="F75" i="4" s="1"/>
  <c r="D74" i="6"/>
  <c r="D71" i="29"/>
  <c r="D71" i="28"/>
  <c r="D71" i="30"/>
  <c r="D71" i="26"/>
  <c r="D71" i="27"/>
  <c r="D71" i="23"/>
  <c r="D71" i="22"/>
  <c r="D71" i="25"/>
  <c r="D71" i="10"/>
  <c r="D71" i="9"/>
  <c r="D71" i="21"/>
  <c r="D71" i="14"/>
  <c r="D71" i="6"/>
  <c r="D71" i="11"/>
  <c r="D71" i="8"/>
  <c r="D71" i="7"/>
  <c r="D71" i="24"/>
  <c r="D71" i="13"/>
  <c r="D71" i="12"/>
  <c r="D72" i="4"/>
  <c r="F72" i="4" s="1"/>
  <c r="D75" i="29"/>
  <c r="D75" i="30"/>
  <c r="D75" i="28"/>
  <c r="D75" i="26"/>
  <c r="D75" i="22"/>
  <c r="D75" i="24"/>
  <c r="D75" i="25"/>
  <c r="D75" i="10"/>
  <c r="D75" i="9"/>
  <c r="D75" i="27"/>
  <c r="D75" i="23"/>
  <c r="D75" i="13"/>
  <c r="D75" i="21"/>
  <c r="D75" i="14"/>
  <c r="D75" i="6"/>
  <c r="D75" i="11"/>
  <c r="D75" i="8"/>
  <c r="D75" i="7"/>
  <c r="D76" i="4"/>
  <c r="F76" i="4" s="1"/>
  <c r="D75" i="12"/>
  <c r="D79" i="29"/>
  <c r="D79" i="28"/>
  <c r="D79" i="30"/>
  <c r="D79" i="25"/>
  <c r="D79" i="26"/>
  <c r="D79" i="22"/>
  <c r="D79" i="27"/>
  <c r="D79" i="24"/>
  <c r="D79" i="23"/>
  <c r="D79" i="13"/>
  <c r="D79" i="10"/>
  <c r="D79" i="9"/>
  <c r="D79" i="21"/>
  <c r="D79" i="14"/>
  <c r="D79" i="6"/>
  <c r="D79" i="11"/>
  <c r="D79" i="8"/>
  <c r="D79" i="7"/>
  <c r="D79" i="12"/>
  <c r="D80" i="4"/>
  <c r="F80" i="4" s="1"/>
  <c r="D83" i="29"/>
  <c r="D83" i="30"/>
  <c r="D83" i="28"/>
  <c r="D83" i="25"/>
  <c r="D83" i="26"/>
  <c r="D83" i="22"/>
  <c r="D83" i="27"/>
  <c r="D83" i="24"/>
  <c r="D83" i="23"/>
  <c r="D83" i="13"/>
  <c r="D83" i="10"/>
  <c r="D83" i="9"/>
  <c r="D83" i="21"/>
  <c r="D83" i="14"/>
  <c r="D83" i="8"/>
  <c r="D83" i="6"/>
  <c r="D83" i="11"/>
  <c r="D83" i="7"/>
  <c r="D84" i="4"/>
  <c r="F84" i="4" s="1"/>
  <c r="D83" i="12"/>
  <c r="D87" i="29"/>
  <c r="D87" i="28"/>
  <c r="D87" i="30"/>
  <c r="D87" i="26"/>
  <c r="D87" i="25"/>
  <c r="D87" i="27"/>
  <c r="D87" i="23"/>
  <c r="D87" i="22"/>
  <c r="D87" i="13"/>
  <c r="D87" i="10"/>
  <c r="D87" i="9"/>
  <c r="D87" i="24"/>
  <c r="D87" i="21"/>
  <c r="D87" i="14"/>
  <c r="D87" i="8"/>
  <c r="D87" i="6"/>
  <c r="D87" i="11"/>
  <c r="D87" i="7"/>
  <c r="D87" i="12"/>
  <c r="D88" i="4"/>
  <c r="F88" i="4" s="1"/>
  <c r="D91" i="29"/>
  <c r="D91" i="30"/>
  <c r="D91" i="26"/>
  <c r="D91" i="28"/>
  <c r="D91" i="25"/>
  <c r="D91" i="22"/>
  <c r="D91" i="21"/>
  <c r="D91" i="24"/>
  <c r="D91" i="27"/>
  <c r="D91" i="13"/>
  <c r="D91" i="10"/>
  <c r="D91" i="9"/>
  <c r="D91" i="14"/>
  <c r="D91" i="23"/>
  <c r="D91" i="8"/>
  <c r="D91" i="6"/>
  <c r="D91" i="11"/>
  <c r="D91" i="7"/>
  <c r="D91" i="12"/>
  <c r="D92" i="4"/>
  <c r="F92" i="4" s="1"/>
  <c r="D95" i="29"/>
  <c r="D95" i="28"/>
  <c r="D95" i="30"/>
  <c r="D95" i="26"/>
  <c r="D95" i="25"/>
  <c r="D95" i="22"/>
  <c r="D95" i="21"/>
  <c r="D95" i="27"/>
  <c r="D95" i="13"/>
  <c r="D95" i="10"/>
  <c r="D95" i="9"/>
  <c r="D95" i="24"/>
  <c r="D95" i="23"/>
  <c r="D95" i="14"/>
  <c r="D95" i="8"/>
  <c r="D95" i="6"/>
  <c r="D95" i="11"/>
  <c r="D95" i="7"/>
  <c r="D95" i="12"/>
  <c r="D96" i="4"/>
  <c r="F96" i="4" s="1"/>
  <c r="D99" i="29"/>
  <c r="D99" i="30"/>
  <c r="D99" i="26"/>
  <c r="D99" i="25"/>
  <c r="D99" i="28"/>
  <c r="D99" i="22"/>
  <c r="D99" i="21"/>
  <c r="D99" i="27"/>
  <c r="D99" i="24"/>
  <c r="D99" i="13"/>
  <c r="D99" i="10"/>
  <c r="D99" i="9"/>
  <c r="D99" i="23"/>
  <c r="D99" i="14"/>
  <c r="D99" i="8"/>
  <c r="D99" i="6"/>
  <c r="D99" i="11"/>
  <c r="D99" i="7"/>
  <c r="D100" i="4"/>
  <c r="F100" i="4" s="1"/>
  <c r="D99" i="12"/>
  <c r="D103" i="29"/>
  <c r="D103" i="28"/>
  <c r="D103" i="30"/>
  <c r="D103" i="26"/>
  <c r="D103" i="25"/>
  <c r="D103" i="27"/>
  <c r="D103" i="22"/>
  <c r="D103" i="21"/>
  <c r="D103" i="13"/>
  <c r="D103" i="10"/>
  <c r="D103" i="9"/>
  <c r="D103" i="23"/>
  <c r="D103" i="14"/>
  <c r="D103" i="11"/>
  <c r="D103" i="24"/>
  <c r="D103" i="8"/>
  <c r="D103" i="6"/>
  <c r="D103" i="7"/>
  <c r="D104" i="4"/>
  <c r="F104" i="4" s="1"/>
  <c r="D103" i="12"/>
  <c r="D107" i="29"/>
  <c r="D107" i="30"/>
  <c r="D107" i="26"/>
  <c r="D107" i="28"/>
  <c r="D107" i="25"/>
  <c r="D107" i="22"/>
  <c r="D107" i="21"/>
  <c r="D107" i="24"/>
  <c r="D107" i="13"/>
  <c r="D107" i="10"/>
  <c r="D107" i="9"/>
  <c r="D107" i="23"/>
  <c r="D107" i="14"/>
  <c r="D107" i="11"/>
  <c r="D107" i="8"/>
  <c r="D107" i="6"/>
  <c r="D107" i="27"/>
  <c r="D107" i="7"/>
  <c r="D108" i="4"/>
  <c r="F108" i="4" s="1"/>
  <c r="D107" i="12"/>
  <c r="D111" i="29"/>
  <c r="D111" i="28"/>
  <c r="D111" i="30"/>
  <c r="D111" i="27"/>
  <c r="D111" i="25"/>
  <c r="D111" i="26"/>
  <c r="D111" i="22"/>
  <c r="D111" i="21"/>
  <c r="D111" i="24"/>
  <c r="D111" i="13"/>
  <c r="D111" i="10"/>
  <c r="D111" i="9"/>
  <c r="D111" i="23"/>
  <c r="D111" i="14"/>
  <c r="D111" i="11"/>
  <c r="D111" i="8"/>
  <c r="D111" i="6"/>
  <c r="D111" i="7"/>
  <c r="D111" i="12"/>
  <c r="D112" i="4"/>
  <c r="F112" i="4" s="1"/>
  <c r="D115" i="29"/>
  <c r="D115" i="28"/>
  <c r="D115" i="30"/>
  <c r="D115" i="25"/>
  <c r="D115" i="27"/>
  <c r="D115" i="26"/>
  <c r="D115" i="22"/>
  <c r="D115" i="21"/>
  <c r="D115" i="24"/>
  <c r="D115" i="13"/>
  <c r="D115" i="10"/>
  <c r="D115" i="9"/>
  <c r="D115" i="23"/>
  <c r="D115" i="14"/>
  <c r="D115" i="11"/>
  <c r="D115" i="8"/>
  <c r="D115" i="6"/>
  <c r="D115" i="7"/>
  <c r="D116" i="4"/>
  <c r="F116" i="4" s="1"/>
  <c r="D115" i="12"/>
  <c r="D70" i="30"/>
  <c r="D70" i="29"/>
  <c r="D70" i="27"/>
  <c r="D70" i="25"/>
  <c r="D70" i="28"/>
  <c r="D70" i="26"/>
  <c r="D70" i="24"/>
  <c r="D70" i="21"/>
  <c r="D70" i="14"/>
  <c r="D70" i="11"/>
  <c r="D70" i="22"/>
  <c r="D70" i="12"/>
  <c r="D70" i="13"/>
  <c r="D70" i="10"/>
  <c r="D70" i="9"/>
  <c r="D70" i="8"/>
  <c r="D70" i="23"/>
  <c r="D70" i="7"/>
  <c r="D71" i="4"/>
  <c r="F71" i="4" s="1"/>
  <c r="D70" i="6"/>
  <c r="D78" i="30"/>
  <c r="D78" i="28"/>
  <c r="D78" i="29"/>
  <c r="D78" i="27"/>
  <c r="D78" i="26"/>
  <c r="D78" i="25"/>
  <c r="D78" i="23"/>
  <c r="D78" i="24"/>
  <c r="D78" i="21"/>
  <c r="D78" i="14"/>
  <c r="D78" i="11"/>
  <c r="D78" i="22"/>
  <c r="D78" i="12"/>
  <c r="D78" i="13"/>
  <c r="D78" i="10"/>
  <c r="D78" i="9"/>
  <c r="D78" i="8"/>
  <c r="D78" i="7"/>
  <c r="D79" i="4"/>
  <c r="F79" i="4" s="1"/>
  <c r="D78" i="6"/>
  <c r="D86" i="30"/>
  <c r="D86" i="29"/>
  <c r="D86" i="27"/>
  <c r="D86" i="28"/>
  <c r="D86" i="26"/>
  <c r="D86" i="25"/>
  <c r="D86" i="24"/>
  <c r="D86" i="21"/>
  <c r="D86" i="14"/>
  <c r="D86" i="11"/>
  <c r="D86" i="23"/>
  <c r="D86" i="22"/>
  <c r="D86" i="12"/>
  <c r="D86" i="8"/>
  <c r="D86" i="13"/>
  <c r="D86" i="10"/>
  <c r="D86" i="9"/>
  <c r="D86" i="7"/>
  <c r="D87" i="4"/>
  <c r="F87" i="4" s="1"/>
  <c r="D86" i="6"/>
  <c r="D94" i="30"/>
  <c r="D94" i="28"/>
  <c r="D94" i="29"/>
  <c r="D94" i="27"/>
  <c r="D94" i="26"/>
  <c r="D94" i="25"/>
  <c r="D94" i="23"/>
  <c r="D94" i="24"/>
  <c r="D94" i="21"/>
  <c r="D94" i="14"/>
  <c r="D94" i="11"/>
  <c r="D94" i="22"/>
  <c r="D94" i="12"/>
  <c r="D94" i="8"/>
  <c r="D94" i="13"/>
  <c r="D94" i="10"/>
  <c r="D94" i="9"/>
  <c r="D94" i="7"/>
  <c r="D95" i="4"/>
  <c r="F95" i="4" s="1"/>
  <c r="D94" i="6"/>
  <c r="D98" i="28"/>
  <c r="D98" i="30"/>
  <c r="D98" i="26"/>
  <c r="D98" i="29"/>
  <c r="D98" i="27"/>
  <c r="D98" i="25"/>
  <c r="D98" i="24"/>
  <c r="D98" i="23"/>
  <c r="D98" i="21"/>
  <c r="D98" i="14"/>
  <c r="D98" i="11"/>
  <c r="D98" i="22"/>
  <c r="D98" i="12"/>
  <c r="D98" i="8"/>
  <c r="D98" i="13"/>
  <c r="D98" i="10"/>
  <c r="D98" i="9"/>
  <c r="D98" i="7"/>
  <c r="D99" i="4"/>
  <c r="F99" i="4" s="1"/>
  <c r="D98" i="6"/>
  <c r="D102" i="30"/>
  <c r="D102" i="29"/>
  <c r="D102" i="27"/>
  <c r="D102" i="26"/>
  <c r="D102" i="25"/>
  <c r="D102" i="23"/>
  <c r="D102" i="28"/>
  <c r="D102" i="24"/>
  <c r="D102" i="21"/>
  <c r="D102" i="14"/>
  <c r="D102" i="11"/>
  <c r="D102" i="22"/>
  <c r="D102" i="12"/>
  <c r="D102" i="8"/>
  <c r="D102" i="13"/>
  <c r="D102" i="10"/>
  <c r="D102" i="9"/>
  <c r="D102" i="7"/>
  <c r="D103" i="4"/>
  <c r="F103" i="4" s="1"/>
  <c r="D102" i="6"/>
  <c r="D110" i="30"/>
  <c r="D110" i="28"/>
  <c r="D110" i="29"/>
  <c r="D110" i="27"/>
  <c r="D110" i="26"/>
  <c r="D110" i="25"/>
  <c r="D110" i="23"/>
  <c r="D110" i="24"/>
  <c r="D110" i="21"/>
  <c r="D110" i="14"/>
  <c r="D110" i="11"/>
  <c r="D110" i="22"/>
  <c r="D110" i="12"/>
  <c r="D110" i="8"/>
  <c r="D110" i="13"/>
  <c r="D110" i="10"/>
  <c r="D110" i="9"/>
  <c r="D110" i="7"/>
  <c r="D111" i="4"/>
  <c r="F111" i="4" s="1"/>
  <c r="D110" i="6"/>
  <c r="D114" i="30"/>
  <c r="D114" i="28"/>
  <c r="D114" i="26"/>
  <c r="D114" i="29"/>
  <c r="D114" i="27"/>
  <c r="D114" i="25"/>
  <c r="D114" i="24"/>
  <c r="D114" i="23"/>
  <c r="D114" i="21"/>
  <c r="D114" i="14"/>
  <c r="D114" i="11"/>
  <c r="D114" i="22"/>
  <c r="D114" i="12"/>
  <c r="D114" i="8"/>
  <c r="D114" i="13"/>
  <c r="D114" i="10"/>
  <c r="D114" i="9"/>
  <c r="D114" i="7"/>
  <c r="D115" i="4"/>
  <c r="F115" i="4" s="1"/>
  <c r="D114" i="6"/>
  <c r="D68" i="30"/>
  <c r="D68" i="28"/>
  <c r="D68" i="29"/>
  <c r="D68" i="27"/>
  <c r="D68" i="26"/>
  <c r="D68" i="25"/>
  <c r="D68" i="23"/>
  <c r="D68" i="21"/>
  <c r="D68" i="14"/>
  <c r="D68" i="11"/>
  <c r="D68" i="12"/>
  <c r="D68" i="9"/>
  <c r="D68" i="24"/>
  <c r="D68" i="8"/>
  <c r="D69" i="4"/>
  <c r="F69" i="4" s="1"/>
  <c r="D68" i="13"/>
  <c r="D68" i="7"/>
  <c r="D68" i="6"/>
  <c r="D68" i="10"/>
  <c r="D68" i="22"/>
  <c r="D72" i="30"/>
  <c r="D72" i="28"/>
  <c r="D72" i="27"/>
  <c r="D72" i="29"/>
  <c r="D72" i="25"/>
  <c r="D72" i="24"/>
  <c r="D72" i="26"/>
  <c r="D72" i="21"/>
  <c r="D72" i="14"/>
  <c r="D72" i="11"/>
  <c r="D72" i="23"/>
  <c r="D72" i="13"/>
  <c r="D72" i="12"/>
  <c r="D72" i="9"/>
  <c r="D72" i="8"/>
  <c r="D73" i="4"/>
  <c r="F73" i="4" s="1"/>
  <c r="D72" i="22"/>
  <c r="D72" i="7"/>
  <c r="D72" i="6"/>
  <c r="D72" i="10"/>
  <c r="D76" i="30"/>
  <c r="D76" i="29"/>
  <c r="D76" i="27"/>
  <c r="D76" i="26"/>
  <c r="D76" i="25"/>
  <c r="D76" i="23"/>
  <c r="D76" i="21"/>
  <c r="D76" i="14"/>
  <c r="D76" i="11"/>
  <c r="D76" i="28"/>
  <c r="D76" i="12"/>
  <c r="D76" i="9"/>
  <c r="D76" i="13"/>
  <c r="D76" i="8"/>
  <c r="D77" i="4"/>
  <c r="F77" i="4" s="1"/>
  <c r="D76" i="24"/>
  <c r="D76" i="7"/>
  <c r="D76" i="6"/>
  <c r="D76" i="10"/>
  <c r="D76" i="22"/>
  <c r="D80" i="30"/>
  <c r="D80" i="28"/>
  <c r="D80" i="26"/>
  <c r="D80" i="27"/>
  <c r="D80" i="29"/>
  <c r="D80" i="23"/>
  <c r="D80" i="24"/>
  <c r="D80" i="25"/>
  <c r="D80" i="21"/>
  <c r="D80" i="14"/>
  <c r="D80" i="11"/>
  <c r="D80" i="12"/>
  <c r="D80" i="9"/>
  <c r="D80" i="13"/>
  <c r="D80" i="8"/>
  <c r="D81" i="4"/>
  <c r="F81" i="4" s="1"/>
  <c r="D80" i="22"/>
  <c r="D80" i="7"/>
  <c r="D80" i="6"/>
  <c r="D80" i="10"/>
  <c r="D84" i="30"/>
  <c r="D84" i="26"/>
  <c r="D84" i="28"/>
  <c r="D84" i="29"/>
  <c r="D84" i="27"/>
  <c r="D84" i="25"/>
  <c r="D84" i="24"/>
  <c r="D84" i="21"/>
  <c r="D84" i="14"/>
  <c r="D84" i="11"/>
  <c r="D84" i="12"/>
  <c r="D84" i="9"/>
  <c r="D84" i="8"/>
  <c r="D84" i="13"/>
  <c r="D84" i="23"/>
  <c r="D85" i="4"/>
  <c r="F85" i="4" s="1"/>
  <c r="D84" i="7"/>
  <c r="D84" i="6"/>
  <c r="D84" i="10"/>
  <c r="D84" i="22"/>
  <c r="D88" i="30"/>
  <c r="D88" i="28"/>
  <c r="D88" i="26"/>
  <c r="D88" i="27"/>
  <c r="D88" i="29"/>
  <c r="D88" i="24"/>
  <c r="D88" i="25"/>
  <c r="D88" i="21"/>
  <c r="D88" i="14"/>
  <c r="D88" i="11"/>
  <c r="D88" i="12"/>
  <c r="D88" i="9"/>
  <c r="D88" i="8"/>
  <c r="D88" i="13"/>
  <c r="D89" i="4"/>
  <c r="F89" i="4" s="1"/>
  <c r="D88" i="22"/>
  <c r="D88" i="7"/>
  <c r="D88" i="6"/>
  <c r="D88" i="23"/>
  <c r="D88" i="10"/>
  <c r="D92" i="30"/>
  <c r="D92" i="29"/>
  <c r="D92" i="28"/>
  <c r="D92" i="27"/>
  <c r="D92" i="23"/>
  <c r="D92" i="26"/>
  <c r="D92" i="25"/>
  <c r="D92" i="14"/>
  <c r="D92" i="11"/>
  <c r="D92" i="24"/>
  <c r="D92" i="12"/>
  <c r="D92" i="9"/>
  <c r="D92" i="8"/>
  <c r="D92" i="21"/>
  <c r="D92" i="13"/>
  <c r="D93" i="4"/>
  <c r="F93" i="4" s="1"/>
  <c r="D92" i="7"/>
  <c r="D92" i="6"/>
  <c r="D92" i="10"/>
  <c r="D92" i="22"/>
  <c r="D96" i="30"/>
  <c r="D96" i="28"/>
  <c r="D96" i="26"/>
  <c r="D96" i="27"/>
  <c r="D96" i="29"/>
  <c r="D96" i="23"/>
  <c r="D96" i="24"/>
  <c r="D96" i="25"/>
  <c r="D96" i="14"/>
  <c r="D96" i="11"/>
  <c r="D96" i="12"/>
  <c r="D96" i="9"/>
  <c r="D96" i="8"/>
  <c r="D96" i="21"/>
  <c r="D96" i="13"/>
  <c r="D97" i="4"/>
  <c r="F97" i="4" s="1"/>
  <c r="D96" i="22"/>
  <c r="D96" i="7"/>
  <c r="D96" i="6"/>
  <c r="D96" i="10"/>
  <c r="D100" i="30"/>
  <c r="D100" i="26"/>
  <c r="D100" i="28"/>
  <c r="D100" i="29"/>
  <c r="D100" i="27"/>
  <c r="D100" i="23"/>
  <c r="D100" i="25"/>
  <c r="D100" i="14"/>
  <c r="D100" i="11"/>
  <c r="D100" i="12"/>
  <c r="D100" i="9"/>
  <c r="D100" i="8"/>
  <c r="D100" i="24"/>
  <c r="D100" i="21"/>
  <c r="D100" i="13"/>
  <c r="D101" i="4"/>
  <c r="F101" i="4" s="1"/>
  <c r="D100" i="7"/>
  <c r="D100" i="6"/>
  <c r="D100" i="10"/>
  <c r="D100" i="22"/>
  <c r="D104" i="30"/>
  <c r="D104" i="28"/>
  <c r="D104" i="27"/>
  <c r="D104" i="29"/>
  <c r="D104" i="26"/>
  <c r="D104" i="23"/>
  <c r="D104" i="24"/>
  <c r="D104" i="25"/>
  <c r="D104" i="14"/>
  <c r="D104" i="11"/>
  <c r="D104" i="12"/>
  <c r="D104" i="9"/>
  <c r="D104" i="8"/>
  <c r="D104" i="21"/>
  <c r="D104" i="13"/>
  <c r="D105" i="4"/>
  <c r="F105" i="4" s="1"/>
  <c r="D104" i="22"/>
  <c r="D104" i="7"/>
  <c r="D104" i="6"/>
  <c r="D104" i="10"/>
  <c r="D108" i="30"/>
  <c r="D108" i="29"/>
  <c r="D108" i="27"/>
  <c r="D108" i="26"/>
  <c r="D108" i="28"/>
  <c r="D108" i="23"/>
  <c r="D108" i="25"/>
  <c r="D108" i="14"/>
  <c r="D108" i="11"/>
  <c r="D108" i="12"/>
  <c r="D108" i="9"/>
  <c r="D108" i="8"/>
  <c r="D108" i="21"/>
  <c r="D108" i="13"/>
  <c r="D109" i="4"/>
  <c r="F109" i="4" s="1"/>
  <c r="D108" i="7"/>
  <c r="D108" i="6"/>
  <c r="D108" i="24"/>
  <c r="D108" i="10"/>
  <c r="D108" i="22"/>
  <c r="D112" i="27"/>
  <c r="D112" i="30"/>
  <c r="D112" i="26"/>
  <c r="D112" i="28"/>
  <c r="D112" i="29"/>
  <c r="D112" i="23"/>
  <c r="D112" i="24"/>
  <c r="D112" i="25"/>
  <c r="D112" i="14"/>
  <c r="D112" i="11"/>
  <c r="D112" i="12"/>
  <c r="D112" i="9"/>
  <c r="D112" i="8"/>
  <c r="D112" i="21"/>
  <c r="D112" i="13"/>
  <c r="D113" i="4"/>
  <c r="F113" i="4" s="1"/>
  <c r="D112" i="22"/>
  <c r="D112" i="7"/>
  <c r="D112" i="6"/>
  <c r="D112" i="10"/>
  <c r="D116" i="27"/>
  <c r="D116" i="30"/>
  <c r="D116" i="26"/>
  <c r="D116" i="29"/>
  <c r="D116" i="23"/>
  <c r="D116" i="28"/>
  <c r="D116" i="25"/>
  <c r="D116" i="24"/>
  <c r="D116" i="14"/>
  <c r="D116" i="11"/>
  <c r="D116" i="12"/>
  <c r="D116" i="9"/>
  <c r="D116" i="8"/>
  <c r="D116" i="21"/>
  <c r="D116" i="13"/>
  <c r="D117" i="4"/>
  <c r="F117" i="4" s="1"/>
  <c r="D116" i="7"/>
  <c r="D116" i="6"/>
  <c r="D116" i="10"/>
  <c r="D116" i="22"/>
  <c r="D82" i="28"/>
  <c r="D82" i="30"/>
  <c r="D82" i="26"/>
  <c r="D82" i="29"/>
  <c r="D82" i="27"/>
  <c r="D82" i="25"/>
  <c r="D82" i="24"/>
  <c r="D82" i="21"/>
  <c r="D82" i="14"/>
  <c r="D82" i="11"/>
  <c r="D82" i="23"/>
  <c r="D82" i="22"/>
  <c r="D82" i="12"/>
  <c r="D82" i="8"/>
  <c r="D82" i="13"/>
  <c r="D82" i="10"/>
  <c r="D82" i="9"/>
  <c r="D82" i="7"/>
  <c r="D83" i="4"/>
  <c r="F83" i="4" s="1"/>
  <c r="D82" i="6"/>
  <c r="D90" i="28"/>
  <c r="D90" i="30"/>
  <c r="D90" i="29"/>
  <c r="D90" i="27"/>
  <c r="D90" i="26"/>
  <c r="D90" i="25"/>
  <c r="D90" i="24"/>
  <c r="D90" i="23"/>
  <c r="D90" i="21"/>
  <c r="D90" i="14"/>
  <c r="D90" i="11"/>
  <c r="D90" i="22"/>
  <c r="D90" i="12"/>
  <c r="D90" i="8"/>
  <c r="D90" i="13"/>
  <c r="D90" i="10"/>
  <c r="D90" i="9"/>
  <c r="D90" i="7"/>
  <c r="D91" i="4"/>
  <c r="F91" i="4" s="1"/>
  <c r="D90" i="6"/>
  <c r="D106" i="28"/>
  <c r="D106" i="30"/>
  <c r="D106" i="29"/>
  <c r="D106" i="27"/>
  <c r="D106" i="26"/>
  <c r="D106" i="25"/>
  <c r="D106" i="24"/>
  <c r="D106" i="23"/>
  <c r="D106" i="21"/>
  <c r="D106" i="14"/>
  <c r="D106" i="11"/>
  <c r="D106" i="22"/>
  <c r="D106" i="12"/>
  <c r="D106" i="8"/>
  <c r="D106" i="13"/>
  <c r="D106" i="10"/>
  <c r="D106" i="9"/>
  <c r="D106" i="7"/>
  <c r="D107" i="4"/>
  <c r="F107" i="4" s="1"/>
  <c r="D106" i="6"/>
  <c r="D69" i="29"/>
  <c r="D69" i="28"/>
  <c r="D69" i="27"/>
  <c r="D69" i="26"/>
  <c r="D69" i="22"/>
  <c r="D69" i="24"/>
  <c r="D69" i="23"/>
  <c r="D69" i="25"/>
  <c r="D69" i="13"/>
  <c r="D69" i="10"/>
  <c r="D69" i="30"/>
  <c r="D69" i="21"/>
  <c r="D69" i="14"/>
  <c r="D69" i="11"/>
  <c r="D69" i="12"/>
  <c r="D70" i="4"/>
  <c r="F70" i="4" s="1"/>
  <c r="D69" i="9"/>
  <c r="D69" i="8"/>
  <c r="D69" i="6"/>
  <c r="D69" i="7"/>
  <c r="D73" i="29"/>
  <c r="D73" i="27"/>
  <c r="D73" i="30"/>
  <c r="D73" i="28"/>
  <c r="D73" i="26"/>
  <c r="D73" i="22"/>
  <c r="D73" i="25"/>
  <c r="D73" i="10"/>
  <c r="D73" i="24"/>
  <c r="D73" i="21"/>
  <c r="D73" i="14"/>
  <c r="D73" i="13"/>
  <c r="D73" i="11"/>
  <c r="D73" i="12"/>
  <c r="D74" i="4"/>
  <c r="F74" i="4" s="1"/>
  <c r="D73" i="9"/>
  <c r="D73" i="8"/>
  <c r="D73" i="6"/>
  <c r="D73" i="7"/>
  <c r="D73" i="23"/>
  <c r="D77" i="29"/>
  <c r="D77" i="28"/>
  <c r="D77" i="27"/>
  <c r="D77" i="26"/>
  <c r="D77" i="22"/>
  <c r="D77" i="30"/>
  <c r="D77" i="24"/>
  <c r="D77" i="25"/>
  <c r="D77" i="13"/>
  <c r="D77" i="10"/>
  <c r="D77" i="23"/>
  <c r="D77" i="21"/>
  <c r="D77" i="14"/>
  <c r="D77" i="11"/>
  <c r="D77" i="12"/>
  <c r="D78" i="4"/>
  <c r="F78" i="4" s="1"/>
  <c r="D77" i="9"/>
  <c r="D77" i="8"/>
  <c r="D77" i="6"/>
  <c r="D77" i="7"/>
  <c r="D81" i="29"/>
  <c r="D81" i="27"/>
  <c r="D81" i="28"/>
  <c r="D81" i="26"/>
  <c r="D81" i="30"/>
  <c r="D81" i="25"/>
  <c r="D81" i="22"/>
  <c r="D81" i="23"/>
  <c r="D81" i="13"/>
  <c r="D81" i="10"/>
  <c r="D81" i="24"/>
  <c r="D81" i="21"/>
  <c r="D81" i="14"/>
  <c r="D81" i="11"/>
  <c r="D81" i="12"/>
  <c r="D82" i="4"/>
  <c r="F82" i="4" s="1"/>
  <c r="D81" i="9"/>
  <c r="D81" i="8"/>
  <c r="D81" i="6"/>
  <c r="D81" i="7"/>
  <c r="D85" i="29"/>
  <c r="D85" i="28"/>
  <c r="D85" i="27"/>
  <c r="D85" i="26"/>
  <c r="D85" i="25"/>
  <c r="D85" i="23"/>
  <c r="D85" i="22"/>
  <c r="D85" i="24"/>
  <c r="D85" i="13"/>
  <c r="D85" i="10"/>
  <c r="D85" i="21"/>
  <c r="D85" i="14"/>
  <c r="D85" i="11"/>
  <c r="D85" i="30"/>
  <c r="D85" i="12"/>
  <c r="D86" i="4"/>
  <c r="F86" i="4" s="1"/>
  <c r="D85" i="9"/>
  <c r="D85" i="8"/>
  <c r="D85" i="6"/>
  <c r="D85" i="7"/>
  <c r="D89" i="29"/>
  <c r="D89" i="27"/>
  <c r="D89" i="26"/>
  <c r="D89" i="30"/>
  <c r="D89" i="25"/>
  <c r="D89" i="22"/>
  <c r="D89" i="28"/>
  <c r="D89" i="13"/>
  <c r="D89" i="10"/>
  <c r="D89" i="23"/>
  <c r="D89" i="21"/>
  <c r="D89" i="14"/>
  <c r="D89" i="11"/>
  <c r="D89" i="12"/>
  <c r="D90" i="4"/>
  <c r="F90" i="4" s="1"/>
  <c r="D89" i="24"/>
  <c r="D89" i="9"/>
  <c r="D89" i="8"/>
  <c r="D89" i="6"/>
  <c r="D89" i="7"/>
  <c r="D93" i="29"/>
  <c r="D93" i="28"/>
  <c r="D93" i="27"/>
  <c r="D93" i="26"/>
  <c r="D93" i="25"/>
  <c r="D93" i="22"/>
  <c r="D93" i="21"/>
  <c r="D93" i="30"/>
  <c r="D93" i="24"/>
  <c r="D93" i="23"/>
  <c r="D93" i="13"/>
  <c r="D93" i="10"/>
  <c r="D93" i="14"/>
  <c r="D93" i="11"/>
  <c r="D93" i="12"/>
  <c r="D94" i="4"/>
  <c r="F94" i="4" s="1"/>
  <c r="D93" i="9"/>
  <c r="D93" i="8"/>
  <c r="D93" i="6"/>
  <c r="D93" i="7"/>
  <c r="D97" i="29"/>
  <c r="D97" i="27"/>
  <c r="D97" i="28"/>
  <c r="D97" i="30"/>
  <c r="D97" i="25"/>
  <c r="D97" i="26"/>
  <c r="D97" i="22"/>
  <c r="D97" i="21"/>
  <c r="D97" i="24"/>
  <c r="D97" i="23"/>
  <c r="D97" i="13"/>
  <c r="D97" i="10"/>
  <c r="D97" i="14"/>
  <c r="D97" i="11"/>
  <c r="D97" i="12"/>
  <c r="D98" i="4"/>
  <c r="F98" i="4" s="1"/>
  <c r="D97" i="9"/>
  <c r="D97" i="8"/>
  <c r="D97" i="6"/>
  <c r="D97" i="7"/>
  <c r="D101" i="29"/>
  <c r="D101" i="28"/>
  <c r="D101" i="27"/>
  <c r="D101" i="25"/>
  <c r="D101" i="26"/>
  <c r="D101" i="22"/>
  <c r="D101" i="21"/>
  <c r="D101" i="24"/>
  <c r="D101" i="23"/>
  <c r="D101" i="13"/>
  <c r="D101" i="10"/>
  <c r="D101" i="30"/>
  <c r="D101" i="14"/>
  <c r="D101" i="11"/>
  <c r="D101" i="12"/>
  <c r="D102" i="4"/>
  <c r="F102" i="4" s="1"/>
  <c r="D101" i="9"/>
  <c r="D101" i="8"/>
  <c r="D101" i="6"/>
  <c r="D101" i="7"/>
  <c r="D105" i="29"/>
  <c r="D105" i="27"/>
  <c r="D105" i="26"/>
  <c r="D105" i="30"/>
  <c r="D105" i="28"/>
  <c r="D105" i="25"/>
  <c r="D105" i="22"/>
  <c r="D105" i="21"/>
  <c r="D105" i="23"/>
  <c r="D105" i="13"/>
  <c r="D105" i="10"/>
  <c r="D105" i="24"/>
  <c r="D105" i="14"/>
  <c r="D105" i="11"/>
  <c r="D105" i="12"/>
  <c r="D106" i="4"/>
  <c r="F106" i="4" s="1"/>
  <c r="D105" i="9"/>
  <c r="D105" i="8"/>
  <c r="D105" i="6"/>
  <c r="D105" i="7"/>
  <c r="D109" i="29"/>
  <c r="D109" i="28"/>
  <c r="D109" i="27"/>
  <c r="D109" i="26"/>
  <c r="D109" i="25"/>
  <c r="D109" i="22"/>
  <c r="D109" i="21"/>
  <c r="D109" i="30"/>
  <c r="D109" i="24"/>
  <c r="D109" i="23"/>
  <c r="D109" i="13"/>
  <c r="D109" i="10"/>
  <c r="D109" i="14"/>
  <c r="D109" i="11"/>
  <c r="D109" i="12"/>
  <c r="D110" i="4"/>
  <c r="F110" i="4" s="1"/>
  <c r="D109" i="9"/>
  <c r="D109" i="8"/>
  <c r="D109" i="6"/>
  <c r="D109" i="7"/>
  <c r="D113" i="29"/>
  <c r="D113" i="28"/>
  <c r="D113" i="27"/>
  <c r="D113" i="26"/>
  <c r="D113" i="30"/>
  <c r="D113" i="25"/>
  <c r="D113" i="22"/>
  <c r="D113" i="21"/>
  <c r="D113" i="23"/>
  <c r="D113" i="13"/>
  <c r="D113" i="10"/>
  <c r="D113" i="24"/>
  <c r="D113" i="14"/>
  <c r="D113" i="11"/>
  <c r="D113" i="12"/>
  <c r="D114" i="4"/>
  <c r="F114" i="4" s="1"/>
  <c r="D113" i="9"/>
  <c r="D113" i="8"/>
  <c r="D113" i="6"/>
  <c r="D113" i="7"/>
  <c r="D66" i="29"/>
  <c r="D66" i="28"/>
  <c r="D66" i="27"/>
  <c r="D66" i="24"/>
  <c r="D66" i="14"/>
  <c r="D67" i="4"/>
  <c r="F67" i="4" s="1"/>
  <c r="D66" i="30"/>
  <c r="D66" i="26"/>
  <c r="D66" i="21"/>
  <c r="D66" i="7"/>
  <c r="D66" i="9"/>
  <c r="D66" i="8"/>
  <c r="D66" i="23"/>
  <c r="D66" i="22"/>
  <c r="D66" i="11"/>
  <c r="D66" i="10"/>
  <c r="D66" i="25"/>
  <c r="D66" i="13"/>
  <c r="D66" i="12"/>
  <c r="D66" i="6"/>
  <c r="D63" i="29"/>
  <c r="D63" i="28"/>
  <c r="D63" i="27"/>
  <c r="D63" i="24"/>
  <c r="D63" i="14"/>
  <c r="D63" i="13"/>
  <c r="D63" i="11"/>
  <c r="D63" i="23"/>
  <c r="D63" i="21"/>
  <c r="D63" i="9"/>
  <c r="D63" i="7"/>
  <c r="D63" i="6"/>
  <c r="D63" i="30"/>
  <c r="D63" i="26"/>
  <c r="D63" i="12"/>
  <c r="D63" i="8"/>
  <c r="D64" i="4"/>
  <c r="F64" i="4" s="1"/>
  <c r="D63" i="22"/>
  <c r="D63" i="10"/>
  <c r="D63" i="25"/>
  <c r="D62" i="29"/>
  <c r="D62" i="14"/>
  <c r="D62" i="10"/>
  <c r="D63" i="4"/>
  <c r="F63" i="4" s="1"/>
  <c r="D62" i="26"/>
  <c r="D62" i="23"/>
  <c r="D62" i="11"/>
  <c r="D62" i="8"/>
  <c r="D62" i="30"/>
  <c r="D62" i="27"/>
  <c r="D62" i="22"/>
  <c r="D62" i="7"/>
  <c r="D62" i="25"/>
  <c r="D62" i="24"/>
  <c r="D62" i="21"/>
  <c r="D62" i="13"/>
  <c r="D62" i="9"/>
  <c r="D62" i="6"/>
  <c r="D62" i="28"/>
  <c r="D62" i="12"/>
  <c r="D61" i="29"/>
  <c r="D61" i="24"/>
  <c r="D61" i="8"/>
  <c r="D61" i="28"/>
  <c r="D61" i="25"/>
  <c r="D61" i="14"/>
  <c r="D61" i="10"/>
  <c r="D61" i="7"/>
  <c r="D61" i="30"/>
  <c r="D61" i="21"/>
  <c r="D61" i="9"/>
  <c r="D61" i="23"/>
  <c r="D61" i="22"/>
  <c r="D61" i="13"/>
  <c r="D61" i="11"/>
  <c r="D61" i="6"/>
  <c r="D62" i="4"/>
  <c r="F62" i="4" s="1"/>
  <c r="D61" i="27"/>
  <c r="D61" i="26"/>
  <c r="D61" i="12"/>
  <c r="D60" i="29"/>
  <c r="D60" i="27"/>
  <c r="D60" i="21"/>
  <c r="D60" i="12"/>
  <c r="D60" i="9"/>
  <c r="D61" i="4"/>
  <c r="F61" i="4" s="1"/>
  <c r="D60" i="23"/>
  <c r="D60" i="10"/>
  <c r="D60" i="30"/>
  <c r="D60" i="26"/>
  <c r="D60" i="25"/>
  <c r="D60" i="22"/>
  <c r="D60" i="14"/>
  <c r="D60" i="13"/>
  <c r="D60" i="11"/>
  <c r="D60" i="7"/>
  <c r="D60" i="24"/>
  <c r="D60" i="8"/>
  <c r="D60" i="6"/>
  <c r="D60" i="28"/>
  <c r="D58" i="28"/>
  <c r="D58" i="27"/>
  <c r="D58" i="21"/>
  <c r="D58" i="9"/>
  <c r="D58" i="7"/>
  <c r="D58" i="29"/>
  <c r="D58" i="22"/>
  <c r="D58" i="11"/>
  <c r="D58" i="25"/>
  <c r="D58" i="12"/>
  <c r="D58" i="10"/>
  <c r="D58" i="8"/>
  <c r="D59" i="4"/>
  <c r="F59" i="4" s="1"/>
  <c r="D58" i="26"/>
  <c r="D58" i="30"/>
  <c r="D58" i="23"/>
  <c r="D58" i="13"/>
  <c r="D58" i="24"/>
  <c r="D58" i="14"/>
  <c r="D58" i="6"/>
  <c r="D57" i="30"/>
  <c r="D57" i="24"/>
  <c r="D57" i="21"/>
  <c r="D57" i="14"/>
  <c r="D57" i="12"/>
  <c r="D57" i="10"/>
  <c r="D57" i="9"/>
  <c r="D57" i="8"/>
  <c r="D57" i="29"/>
  <c r="D57" i="27"/>
  <c r="D57" i="6"/>
  <c r="D57" i="28"/>
  <c r="D57" i="26"/>
  <c r="D57" i="25"/>
  <c r="D57" i="23"/>
  <c r="D57" i="13"/>
  <c r="D57" i="11"/>
  <c r="D58" i="4"/>
  <c r="F58" i="4" s="1"/>
  <c r="D57" i="22"/>
  <c r="D57" i="7"/>
  <c r="D55" i="27"/>
  <c r="D55" i="14"/>
  <c r="D55" i="10"/>
  <c r="D55" i="8"/>
  <c r="D55" i="7"/>
  <c r="D55" i="6"/>
  <c r="D55" i="13"/>
  <c r="D55" i="30"/>
  <c r="D55" i="29"/>
  <c r="D55" i="28"/>
  <c r="D55" i="25"/>
  <c r="D55" i="12"/>
  <c r="D56" i="4"/>
  <c r="F56" i="4" s="1"/>
  <c r="D55" i="26"/>
  <c r="D55" i="9"/>
  <c r="D55" i="24"/>
  <c r="D55" i="23"/>
  <c r="D55" i="22"/>
  <c r="D55" i="21"/>
  <c r="D55" i="11"/>
  <c r="D53" i="29"/>
  <c r="D53" i="23"/>
  <c r="D53" i="12"/>
  <c r="D53" i="9"/>
  <c r="D53" i="6"/>
  <c r="D54" i="4"/>
  <c r="F54" i="4" s="1"/>
  <c r="D53" i="27"/>
  <c r="D53" i="26"/>
  <c r="D53" i="25"/>
  <c r="D53" i="24"/>
  <c r="D53" i="21"/>
  <c r="D53" i="14"/>
  <c r="D53" i="28"/>
  <c r="D53" i="7"/>
  <c r="D53" i="30"/>
  <c r="D53" i="11"/>
  <c r="D53" i="10"/>
  <c r="D53" i="8"/>
  <c r="D53" i="22"/>
  <c r="D53" i="13"/>
  <c r="D51" i="26"/>
  <c r="D51" i="11"/>
  <c r="D51" i="6"/>
  <c r="D51" i="28"/>
  <c r="D51" i="24"/>
  <c r="D51" i="21"/>
  <c r="D51" i="12"/>
  <c r="D52" i="4"/>
  <c r="F52" i="4" s="1"/>
  <c r="D51" i="30"/>
  <c r="D51" i="25"/>
  <c r="D51" i="23"/>
  <c r="D51" i="13"/>
  <c r="D51" i="7"/>
  <c r="D51" i="29"/>
  <c r="D51" i="27"/>
  <c r="D51" i="22"/>
  <c r="D51" i="14"/>
  <c r="D51" i="10"/>
  <c r="D51" i="9"/>
  <c r="D51" i="8"/>
  <c r="D50" i="30"/>
  <c r="D50" i="23"/>
  <c r="D50" i="22"/>
  <c r="D50" i="13"/>
  <c r="D50" i="11"/>
  <c r="D50" i="10"/>
  <c r="D50" i="6"/>
  <c r="D51" i="4"/>
  <c r="F51" i="4" s="1"/>
  <c r="D50" i="28"/>
  <c r="D50" i="27"/>
  <c r="D50" i="7"/>
  <c r="D50" i="25"/>
  <c r="D50" i="21"/>
  <c r="D50" i="14"/>
  <c r="D50" i="29"/>
  <c r="D50" i="24"/>
  <c r="D50" i="8"/>
  <c r="D50" i="26"/>
  <c r="D50" i="12"/>
  <c r="D50" i="9"/>
  <c r="D49" i="26"/>
  <c r="D49" i="25"/>
  <c r="D49" i="11"/>
  <c r="D49" i="6"/>
  <c r="D49" i="30"/>
  <c r="D49" i="27"/>
  <c r="D49" i="24"/>
  <c r="D49" i="22"/>
  <c r="D49" i="21"/>
  <c r="D49" i="10"/>
  <c r="D50" i="4"/>
  <c r="F50" i="4" s="1"/>
  <c r="D49" i="14"/>
  <c r="D49" i="23"/>
  <c r="D49" i="13"/>
  <c r="D49" i="7"/>
  <c r="D49" i="12"/>
  <c r="D49" i="8"/>
  <c r="D49" i="29"/>
  <c r="D49" i="28"/>
  <c r="D49" i="9"/>
  <c r="D47" i="28"/>
  <c r="D47" i="11"/>
  <c r="D47" i="10"/>
  <c r="D47" i="7"/>
  <c r="D47" i="27"/>
  <c r="D47" i="12"/>
  <c r="D47" i="29"/>
  <c r="D47" i="26"/>
  <c r="D47" i="25"/>
  <c r="D47" i="24"/>
  <c r="D47" i="21"/>
  <c r="D47" i="14"/>
  <c r="D47" i="9"/>
  <c r="D47" i="23"/>
  <c r="D47" i="6"/>
  <c r="D47" i="30"/>
  <c r="D47" i="22"/>
  <c r="D47" i="13"/>
  <c r="D47" i="8"/>
  <c r="D48" i="4"/>
  <c r="F48" i="4" s="1"/>
  <c r="D46" i="30"/>
  <c r="D46" i="13"/>
  <c r="D46" i="12"/>
  <c r="D46" i="11"/>
  <c r="D46" i="7"/>
  <c r="D46" i="6"/>
  <c r="D46" i="9"/>
  <c r="D46" i="28"/>
  <c r="D46" i="24"/>
  <c r="D46" i="23"/>
  <c r="D46" i="14"/>
  <c r="D46" i="10"/>
  <c r="D46" i="8"/>
  <c r="D47" i="4"/>
  <c r="F47" i="4" s="1"/>
  <c r="D46" i="27"/>
  <c r="D46" i="25"/>
  <c r="D46" i="29"/>
  <c r="D46" i="26"/>
  <c r="D46" i="22"/>
  <c r="D46" i="21"/>
  <c r="D45" i="22"/>
  <c r="D45" i="11"/>
  <c r="D45" i="7"/>
  <c r="D45" i="6"/>
  <c r="D46" i="4"/>
  <c r="F46" i="4" s="1"/>
  <c r="D45" i="23"/>
  <c r="D45" i="8"/>
  <c r="D45" i="29"/>
  <c r="D45" i="27"/>
  <c r="D45" i="26"/>
  <c r="D45" i="24"/>
  <c r="D45" i="21"/>
  <c r="D45" i="14"/>
  <c r="D45" i="12"/>
  <c r="D45" i="30"/>
  <c r="D45" i="28"/>
  <c r="D45" i="13"/>
  <c r="D45" i="10"/>
  <c r="D45" i="9"/>
  <c r="D45" i="25"/>
  <c r="D44" i="30"/>
  <c r="D44" i="27"/>
  <c r="D44" i="25"/>
  <c r="D44" i="13"/>
  <c r="D44" i="11"/>
  <c r="D44" i="7"/>
  <c r="D44" i="6"/>
  <c r="D44" i="9"/>
  <c r="D45" i="4"/>
  <c r="F45" i="4" s="1"/>
  <c r="D44" i="24"/>
  <c r="D44" i="23"/>
  <c r="D44" i="22"/>
  <c r="D44" i="14"/>
  <c r="D44" i="8"/>
  <c r="D44" i="12"/>
  <c r="D44" i="29"/>
  <c r="D44" i="28"/>
  <c r="D44" i="26"/>
  <c r="D44" i="21"/>
  <c r="D44" i="10"/>
  <c r="D43" i="28"/>
  <c r="D43" i="11"/>
  <c r="D43" i="10"/>
  <c r="D43" i="7"/>
  <c r="D43" i="6"/>
  <c r="D44" i="4"/>
  <c r="F44" i="4" s="1"/>
  <c r="D43" i="27"/>
  <c r="D43" i="23"/>
  <c r="D43" i="8"/>
  <c r="D43" i="29"/>
  <c r="D43" i="26"/>
  <c r="D43" i="25"/>
  <c r="D43" i="24"/>
  <c r="D43" i="21"/>
  <c r="D43" i="14"/>
  <c r="D43" i="30"/>
  <c r="D43" i="22"/>
  <c r="D43" i="13"/>
  <c r="D43" i="9"/>
  <c r="D43" i="12"/>
  <c r="D42" i="30"/>
  <c r="D42" i="13"/>
  <c r="D42" i="12"/>
  <c r="D42" i="11"/>
  <c r="D42" i="7"/>
  <c r="D42" i="28"/>
  <c r="D42" i="24"/>
  <c r="D42" i="23"/>
  <c r="D42" i="14"/>
  <c r="D42" i="10"/>
  <c r="D42" i="8"/>
  <c r="D42" i="6"/>
  <c r="D42" i="27"/>
  <c r="D42" i="25"/>
  <c r="D42" i="9"/>
  <c r="D42" i="29"/>
  <c r="D42" i="26"/>
  <c r="D42" i="22"/>
  <c r="D42" i="21"/>
  <c r="D43" i="4"/>
  <c r="F43" i="4" s="1"/>
  <c r="D41" i="22"/>
  <c r="D41" i="11"/>
  <c r="D41" i="7"/>
  <c r="D41" i="23"/>
  <c r="D41" i="29"/>
  <c r="D41" i="27"/>
  <c r="D41" i="26"/>
  <c r="D41" i="24"/>
  <c r="D41" i="21"/>
  <c r="D41" i="14"/>
  <c r="D41" i="12"/>
  <c r="D41" i="6"/>
  <c r="D42" i="4"/>
  <c r="F42" i="4" s="1"/>
  <c r="D41" i="25"/>
  <c r="D41" i="8"/>
  <c r="D41" i="30"/>
  <c r="D41" i="28"/>
  <c r="D41" i="13"/>
  <c r="D41" i="10"/>
  <c r="D41" i="9"/>
  <c r="D40" i="30"/>
  <c r="D40" i="27"/>
  <c r="D40" i="25"/>
  <c r="D40" i="13"/>
  <c r="D40" i="11"/>
  <c r="D40" i="7"/>
  <c r="D40" i="24"/>
  <c r="D40" i="23"/>
  <c r="D40" i="22"/>
  <c r="D40" i="14"/>
  <c r="D40" i="8"/>
  <c r="D40" i="6"/>
  <c r="D40" i="12"/>
  <c r="D40" i="9"/>
  <c r="D40" i="29"/>
  <c r="D40" i="28"/>
  <c r="D41" i="4"/>
  <c r="F41" i="4" s="1"/>
  <c r="D40" i="26"/>
  <c r="D40" i="21"/>
  <c r="D40" i="10"/>
  <c r="D39" i="28"/>
  <c r="D39" i="11"/>
  <c r="D39" i="10"/>
  <c r="D39" i="7"/>
  <c r="D39" i="23"/>
  <c r="D39" i="29"/>
  <c r="D39" i="26"/>
  <c r="D39" i="25"/>
  <c r="D39" i="24"/>
  <c r="D39" i="21"/>
  <c r="D39" i="14"/>
  <c r="D39" i="30"/>
  <c r="D39" i="22"/>
  <c r="D39" i="13"/>
  <c r="D39" i="9"/>
  <c r="D39" i="6"/>
  <c r="D40" i="4"/>
  <c r="F40" i="4" s="1"/>
  <c r="D39" i="27"/>
  <c r="D39" i="12"/>
  <c r="D39" i="8"/>
  <c r="D38" i="30"/>
  <c r="D38" i="13"/>
  <c r="D38" i="12"/>
  <c r="D38" i="11"/>
  <c r="D38" i="7"/>
  <c r="D39" i="4"/>
  <c r="F39" i="4" s="1"/>
  <c r="D38" i="28"/>
  <c r="D38" i="24"/>
  <c r="D38" i="23"/>
  <c r="D38" i="14"/>
  <c r="D38" i="10"/>
  <c r="D38" i="8"/>
  <c r="D38" i="26"/>
  <c r="D38" i="22"/>
  <c r="D38" i="21"/>
  <c r="D38" i="27"/>
  <c r="D38" i="25"/>
  <c r="D38" i="9"/>
  <c r="D38" i="6"/>
  <c r="D38" i="29"/>
  <c r="D36" i="30"/>
  <c r="D36" i="27"/>
  <c r="D36" i="26"/>
  <c r="D36" i="22"/>
  <c r="D36" i="13"/>
  <c r="D36" i="12"/>
  <c r="D36" i="11"/>
  <c r="D36" i="10"/>
  <c r="D36" i="14"/>
  <c r="D36" i="29"/>
  <c r="D36" i="24"/>
  <c r="D36" i="9"/>
  <c r="D36" i="8"/>
  <c r="D36" i="6"/>
  <c r="D37" i="4"/>
  <c r="F37" i="4" s="1"/>
  <c r="D36" i="25"/>
  <c r="D36" i="21"/>
  <c r="D36" i="28"/>
  <c r="D36" i="23"/>
  <c r="D36" i="7"/>
  <c r="D35" i="25"/>
  <c r="D35" i="23"/>
  <c r="D35" i="11"/>
  <c r="D35" i="6"/>
  <c r="D35" i="27"/>
  <c r="D35" i="8"/>
  <c r="D36" i="4"/>
  <c r="F36" i="4" s="1"/>
  <c r="D35" i="24"/>
  <c r="D35" i="22"/>
  <c r="D35" i="21"/>
  <c r="D35" i="12"/>
  <c r="D35" i="10"/>
  <c r="D35" i="9"/>
  <c r="D35" i="30"/>
  <c r="D35" i="26"/>
  <c r="D35" i="13"/>
  <c r="D35" i="7"/>
  <c r="D35" i="29"/>
  <c r="D35" i="28"/>
  <c r="D35" i="14"/>
  <c r="D34" i="30"/>
  <c r="D34" i="28"/>
  <c r="D34" i="26"/>
  <c r="D34" i="13"/>
  <c r="D34" i="11"/>
  <c r="D34" i="29"/>
  <c r="D34" i="25"/>
  <c r="D34" i="24"/>
  <c r="D34" i="9"/>
  <c r="D34" i="8"/>
  <c r="D34" i="6"/>
  <c r="D35" i="4"/>
  <c r="F35" i="4" s="1"/>
  <c r="D34" i="14"/>
  <c r="D34" i="27"/>
  <c r="D34" i="23"/>
  <c r="D34" i="22"/>
  <c r="D34" i="12"/>
  <c r="D34" i="10"/>
  <c r="D34" i="7"/>
  <c r="D34" i="21"/>
  <c r="D33" i="23"/>
  <c r="D33" i="11"/>
  <c r="D33" i="28"/>
  <c r="D33" i="27"/>
  <c r="D33" i="24"/>
  <c r="D33" i="21"/>
  <c r="D33" i="9"/>
  <c r="D33" i="6"/>
  <c r="D33" i="29"/>
  <c r="D33" i="14"/>
  <c r="D33" i="12"/>
  <c r="D33" i="10"/>
  <c r="D33" i="8"/>
  <c r="D33" i="30"/>
  <c r="D33" i="26"/>
  <c r="D33" i="25"/>
  <c r="D33" i="13"/>
  <c r="D33" i="7"/>
  <c r="D33" i="22"/>
  <c r="D34" i="4"/>
  <c r="F34" i="4" s="1"/>
  <c r="D32" i="30"/>
  <c r="D32" i="27"/>
  <c r="D32" i="26"/>
  <c r="D32" i="22"/>
  <c r="D32" i="13"/>
  <c r="D32" i="12"/>
  <c r="D32" i="11"/>
  <c r="D32" i="10"/>
  <c r="D32" i="25"/>
  <c r="D32" i="29"/>
  <c r="D32" i="24"/>
  <c r="D32" i="9"/>
  <c r="D32" i="8"/>
  <c r="D32" i="6"/>
  <c r="D33" i="4"/>
  <c r="F33" i="4" s="1"/>
  <c r="D32" i="14"/>
  <c r="D32" i="28"/>
  <c r="D32" i="23"/>
  <c r="D32" i="7"/>
  <c r="D32" i="21"/>
  <c r="D31" i="25"/>
  <c r="D31" i="23"/>
  <c r="D31" i="11"/>
  <c r="D31" i="6"/>
  <c r="D31" i="24"/>
  <c r="D31" i="22"/>
  <c r="D31" i="21"/>
  <c r="D31" i="12"/>
  <c r="D31" i="10"/>
  <c r="D31" i="9"/>
  <c r="D31" i="7"/>
  <c r="D31" i="8"/>
  <c r="D31" i="30"/>
  <c r="D31" i="26"/>
  <c r="D31" i="13"/>
  <c r="D32" i="4"/>
  <c r="F32" i="4" s="1"/>
  <c r="D31" i="29"/>
  <c r="D31" i="28"/>
  <c r="D31" i="27"/>
  <c r="D31" i="14"/>
  <c r="D30" i="30"/>
  <c r="D30" i="28"/>
  <c r="D30" i="26"/>
  <c r="D30" i="13"/>
  <c r="D30" i="11"/>
  <c r="D31" i="4"/>
  <c r="F31" i="4" s="1"/>
  <c r="D30" i="29"/>
  <c r="D30" i="25"/>
  <c r="D30" i="24"/>
  <c r="D30" i="9"/>
  <c r="D30" i="8"/>
  <c r="D30" i="7"/>
  <c r="D30" i="6"/>
  <c r="D30" i="21"/>
  <c r="D30" i="14"/>
  <c r="D30" i="27"/>
  <c r="D30" i="23"/>
  <c r="D30" i="22"/>
  <c r="D30" i="12"/>
  <c r="D30" i="10"/>
  <c r="D29" i="23"/>
  <c r="D29" i="11"/>
  <c r="D30" i="4"/>
  <c r="F30" i="4" s="1"/>
  <c r="D29" i="9"/>
  <c r="D29" i="22"/>
  <c r="D29" i="28"/>
  <c r="D29" i="27"/>
  <c r="D29" i="24"/>
  <c r="D29" i="21"/>
  <c r="D29" i="7"/>
  <c r="D29" i="6"/>
  <c r="D29" i="29"/>
  <c r="D29" i="14"/>
  <c r="D29" i="12"/>
  <c r="D29" i="10"/>
  <c r="D29" i="8"/>
  <c r="D29" i="30"/>
  <c r="D29" i="26"/>
  <c r="D29" i="25"/>
  <c r="D29" i="13"/>
  <c r="D28" i="30"/>
  <c r="D28" i="27"/>
  <c r="D28" i="26"/>
  <c r="D28" i="22"/>
  <c r="D28" i="13"/>
  <c r="D28" i="12"/>
  <c r="D28" i="11"/>
  <c r="D28" i="10"/>
  <c r="D28" i="25"/>
  <c r="D28" i="29"/>
  <c r="D28" i="24"/>
  <c r="D28" i="9"/>
  <c r="D28" i="8"/>
  <c r="D28" i="28"/>
  <c r="D28" i="23"/>
  <c r="D28" i="7"/>
  <c r="D28" i="6"/>
  <c r="D29" i="4"/>
  <c r="F29" i="4" s="1"/>
  <c r="D28" i="21"/>
  <c r="D28" i="14"/>
  <c r="D27" i="25"/>
  <c r="D27" i="23"/>
  <c r="D27" i="11"/>
  <c r="D27" i="24"/>
  <c r="D27" i="22"/>
  <c r="D27" i="21"/>
  <c r="D27" i="12"/>
  <c r="D27" i="10"/>
  <c r="D27" i="9"/>
  <c r="D28" i="4"/>
  <c r="F28" i="4" s="1"/>
  <c r="D27" i="14"/>
  <c r="D27" i="30"/>
  <c r="D27" i="26"/>
  <c r="D27" i="13"/>
  <c r="D27" i="7"/>
  <c r="D27" i="29"/>
  <c r="D27" i="28"/>
  <c r="D27" i="27"/>
  <c r="D27" i="8"/>
  <c r="D27" i="6"/>
  <c r="D26" i="30"/>
  <c r="D26" i="28"/>
  <c r="D26" i="26"/>
  <c r="D26" i="13"/>
  <c r="D26" i="11"/>
  <c r="D26" i="6"/>
  <c r="D27" i="4"/>
  <c r="F27" i="4" s="1"/>
  <c r="D26" i="10"/>
  <c r="D26" i="7"/>
  <c r="D26" i="21"/>
  <c r="D26" i="29"/>
  <c r="D26" i="25"/>
  <c r="D26" i="24"/>
  <c r="D26" i="9"/>
  <c r="D26" i="8"/>
  <c r="D26" i="27"/>
  <c r="D26" i="23"/>
  <c r="D26" i="22"/>
  <c r="D26" i="12"/>
  <c r="D26" i="14"/>
  <c r="D23" i="26"/>
  <c r="D23" i="25"/>
  <c r="D23" i="28"/>
  <c r="D23" i="24"/>
  <c r="D23" i="14"/>
  <c r="D23" i="8"/>
  <c r="D24" i="4"/>
  <c r="F24" i="4" s="1"/>
  <c r="D23" i="29"/>
  <c r="D23" i="27"/>
  <c r="D23" i="22"/>
  <c r="D23" i="21"/>
  <c r="D23" i="12"/>
  <c r="D23" i="9"/>
  <c r="D23" i="6"/>
  <c r="D23" i="30"/>
  <c r="D23" i="23"/>
  <c r="D23" i="13"/>
  <c r="D23" i="11"/>
  <c r="D23" i="7"/>
  <c r="D23" i="10"/>
  <c r="D25" i="22"/>
  <c r="D25" i="11"/>
  <c r="D25" i="7"/>
  <c r="D25" i="25"/>
  <c r="D25" i="23"/>
  <c r="D25" i="29"/>
  <c r="D25" i="27"/>
  <c r="D25" i="26"/>
  <c r="D25" i="24"/>
  <c r="D25" i="21"/>
  <c r="D25" i="14"/>
  <c r="D25" i="12"/>
  <c r="D25" i="6"/>
  <c r="D26" i="4"/>
  <c r="F26" i="4" s="1"/>
  <c r="D25" i="30"/>
  <c r="D25" i="28"/>
  <c r="D25" i="13"/>
  <c r="D25" i="10"/>
  <c r="D25" i="9"/>
  <c r="D25" i="8"/>
  <c r="D24" i="30"/>
  <c r="D24" i="27"/>
  <c r="D24" i="25"/>
  <c r="D24" i="13"/>
  <c r="D24" i="11"/>
  <c r="D24" i="7"/>
  <c r="D25" i="4"/>
  <c r="F25" i="4" s="1"/>
  <c r="D24" i="12"/>
  <c r="D24" i="6"/>
  <c r="D24" i="26"/>
  <c r="D24" i="24"/>
  <c r="D24" i="23"/>
  <c r="D24" i="22"/>
  <c r="D24" i="14"/>
  <c r="D24" i="8"/>
  <c r="D24" i="9"/>
  <c r="D24" i="28"/>
  <c r="D24" i="21"/>
  <c r="D24" i="10"/>
  <c r="D24" i="29"/>
  <c r="D22" i="30"/>
  <c r="D22" i="28"/>
  <c r="D22" i="26"/>
  <c r="D22" i="13"/>
  <c r="D22" i="11"/>
  <c r="D22" i="29"/>
  <c r="D22" i="25"/>
  <c r="D22" i="24"/>
  <c r="D22" i="9"/>
  <c r="D22" i="8"/>
  <c r="D22" i="6"/>
  <c r="D23" i="4"/>
  <c r="F23" i="4" s="1"/>
  <c r="D22" i="27"/>
  <c r="D22" i="23"/>
  <c r="D22" i="22"/>
  <c r="D22" i="12"/>
  <c r="D22" i="10"/>
  <c r="D22" i="7"/>
  <c r="D22" i="21"/>
  <c r="D22" i="14"/>
  <c r="D21" i="23"/>
  <c r="D21" i="9"/>
  <c r="D21" i="6"/>
  <c r="D21" i="28"/>
  <c r="D21" i="27"/>
  <c r="D21" i="24"/>
  <c r="D21" i="21"/>
  <c r="D21" i="7"/>
  <c r="D22" i="4"/>
  <c r="F22" i="4" s="1"/>
  <c r="D21" i="30"/>
  <c r="D21" i="26"/>
  <c r="D21" i="25"/>
  <c r="D21" i="13"/>
  <c r="D21" i="11"/>
  <c r="D21" i="10"/>
  <c r="D21" i="8"/>
  <c r="D21" i="29"/>
  <c r="D21" i="22"/>
  <c r="D21" i="14"/>
  <c r="D21" i="12"/>
  <c r="D20" i="30"/>
  <c r="D20" i="27"/>
  <c r="D20" i="26"/>
  <c r="D20" i="22"/>
  <c r="D20" i="13"/>
  <c r="D20" i="12"/>
  <c r="D20" i="11"/>
  <c r="D20" i="7"/>
  <c r="D20" i="25"/>
  <c r="D20" i="14"/>
  <c r="D20" i="29"/>
  <c r="D20" i="24"/>
  <c r="D20" i="9"/>
  <c r="D20" i="8"/>
  <c r="D20" i="6"/>
  <c r="D21" i="4"/>
  <c r="F21" i="4" s="1"/>
  <c r="D20" i="28"/>
  <c r="D20" i="23"/>
  <c r="D20" i="10"/>
  <c r="D20" i="21"/>
  <c r="D19" i="25"/>
  <c r="D19" i="23"/>
  <c r="D19" i="8"/>
  <c r="D20" i="4"/>
  <c r="F20" i="4" s="1"/>
  <c r="D19" i="14"/>
  <c r="D19" i="24"/>
  <c r="D19" i="22"/>
  <c r="D19" i="21"/>
  <c r="D19" i="12"/>
  <c r="D19" i="28"/>
  <c r="D19" i="27"/>
  <c r="D19" i="7"/>
  <c r="D19" i="30"/>
  <c r="D19" i="26"/>
  <c r="D19" i="13"/>
  <c r="D19" i="11"/>
  <c r="D19" i="10"/>
  <c r="D19" i="9"/>
  <c r="D19" i="6"/>
  <c r="D19" i="29"/>
  <c r="D18" i="30"/>
  <c r="D18" i="28"/>
  <c r="D18" i="26"/>
  <c r="D18" i="13"/>
  <c r="D18" i="11"/>
  <c r="D18" i="29"/>
  <c r="D18" i="25"/>
  <c r="D18" i="24"/>
  <c r="D18" i="9"/>
  <c r="D18" i="8"/>
  <c r="D18" i="6"/>
  <c r="D19" i="4"/>
  <c r="F19" i="4" s="1"/>
  <c r="D18" i="14"/>
  <c r="D18" i="27"/>
  <c r="D18" i="23"/>
  <c r="D18" i="22"/>
  <c r="D18" i="12"/>
  <c r="D18" i="10"/>
  <c r="D18" i="7"/>
  <c r="D18" i="21"/>
  <c r="D17" i="23"/>
  <c r="D17" i="9"/>
  <c r="D17" i="6"/>
  <c r="D17" i="29"/>
  <c r="D17" i="12"/>
  <c r="D17" i="28"/>
  <c r="D17" i="27"/>
  <c r="D17" i="24"/>
  <c r="D17" i="21"/>
  <c r="D17" i="7"/>
  <c r="D17" i="22"/>
  <c r="D17" i="30"/>
  <c r="D17" i="26"/>
  <c r="D17" i="25"/>
  <c r="D17" i="13"/>
  <c r="D17" i="11"/>
  <c r="D17" i="10"/>
  <c r="D17" i="8"/>
  <c r="D18" i="4"/>
  <c r="F18" i="4" s="1"/>
  <c r="D17" i="14"/>
  <c r="D16" i="30"/>
  <c r="D16" i="27"/>
  <c r="D16" i="26"/>
  <c r="D16" i="22"/>
  <c r="D16" i="13"/>
  <c r="D16" i="12"/>
  <c r="D16" i="11"/>
  <c r="D16" i="7"/>
  <c r="D16" i="29"/>
  <c r="D16" i="24"/>
  <c r="D16" i="8"/>
  <c r="D16" i="6"/>
  <c r="D17" i="4"/>
  <c r="F17" i="4" s="1"/>
  <c r="D16" i="28"/>
  <c r="D16" i="23"/>
  <c r="D16" i="10"/>
  <c r="D16" i="25"/>
  <c r="D16" i="21"/>
  <c r="D16" i="14"/>
  <c r="D16" i="9"/>
  <c r="D15" i="25"/>
  <c r="D15" i="23"/>
  <c r="D15" i="8"/>
  <c r="D16" i="4"/>
  <c r="F16" i="4" s="1"/>
  <c r="D15" i="28"/>
  <c r="D15" i="24"/>
  <c r="D15" i="22"/>
  <c r="D15" i="21"/>
  <c r="D15" i="12"/>
  <c r="D15" i="14"/>
  <c r="D15" i="30"/>
  <c r="D15" i="26"/>
  <c r="D15" i="13"/>
  <c r="D15" i="11"/>
  <c r="D15" i="10"/>
  <c r="D15" i="9"/>
  <c r="D15" i="6"/>
  <c r="D15" i="29"/>
  <c r="D15" i="27"/>
  <c r="D15" i="7"/>
  <c r="D14" i="30"/>
  <c r="D14" i="28"/>
  <c r="D14" i="26"/>
  <c r="D14" i="13"/>
  <c r="D14" i="11"/>
  <c r="D14" i="23"/>
  <c r="D14" i="7"/>
  <c r="D14" i="6"/>
  <c r="D14" i="14"/>
  <c r="D14" i="29"/>
  <c r="D14" i="25"/>
  <c r="D14" i="24"/>
  <c r="D14" i="9"/>
  <c r="D14" i="8"/>
  <c r="D14" i="27"/>
  <c r="D14" i="22"/>
  <c r="D14" i="12"/>
  <c r="D14" i="10"/>
  <c r="D15" i="4"/>
  <c r="F15" i="4" s="1"/>
  <c r="D14" i="21"/>
  <c r="D13" i="23"/>
  <c r="D13" i="9"/>
  <c r="D13" i="28"/>
  <c r="D13" i="27"/>
  <c r="D13" i="24"/>
  <c r="D13" i="21"/>
  <c r="D13" i="7"/>
  <c r="D13" i="6"/>
  <c r="D13" i="12"/>
  <c r="D13" i="30"/>
  <c r="D13" i="26"/>
  <c r="D13" i="25"/>
  <c r="D13" i="13"/>
  <c r="D13" i="11"/>
  <c r="D13" i="10"/>
  <c r="D13" i="8"/>
  <c r="D13" i="29"/>
  <c r="D13" i="22"/>
  <c r="D13" i="14"/>
  <c r="D14" i="4"/>
  <c r="F14" i="4" s="1"/>
  <c r="D12" i="30"/>
  <c r="D12" i="27"/>
  <c r="D12" i="26"/>
  <c r="D12" i="22"/>
  <c r="D12" i="13"/>
  <c r="D12" i="12"/>
  <c r="D12" i="11"/>
  <c r="D12" i="7"/>
  <c r="D12" i="6"/>
  <c r="D13" i="4"/>
  <c r="F13" i="4" s="1"/>
  <c r="D12" i="29"/>
  <c r="D12" i="24"/>
  <c r="D12" i="14"/>
  <c r="D12" i="28"/>
  <c r="D12" i="23"/>
  <c r="D12" i="10"/>
  <c r="D12" i="25"/>
  <c r="D12" i="21"/>
  <c r="D12" i="9"/>
  <c r="D12" i="8"/>
  <c r="D11" i="24"/>
  <c r="D11" i="22"/>
  <c r="D11" i="21"/>
  <c r="D11" i="12"/>
  <c r="D11" i="25"/>
  <c r="D11" i="8"/>
  <c r="D11" i="6"/>
  <c r="D11" i="30"/>
  <c r="D11" i="26"/>
  <c r="D11" i="13"/>
  <c r="D11" i="11"/>
  <c r="D11" i="10"/>
  <c r="D11" i="9"/>
  <c r="D12" i="4"/>
  <c r="F12" i="4" s="1"/>
  <c r="D11" i="23"/>
  <c r="D11" i="29"/>
  <c r="D11" i="28"/>
  <c r="D11" i="27"/>
  <c r="D11" i="14"/>
  <c r="D11" i="7"/>
  <c r="E137" i="6"/>
  <c r="E10" i="9"/>
  <c r="E137" i="8"/>
  <c r="J10" i="14"/>
  <c r="K10" i="13"/>
  <c r="E137" i="7"/>
  <c r="I137" i="4"/>
  <c r="I3" i="4" s="1"/>
  <c r="J3" i="4" s="1"/>
  <c r="D10" i="24"/>
  <c r="D10" i="8"/>
  <c r="D10" i="29"/>
  <c r="D10" i="25"/>
  <c r="D10" i="26"/>
  <c r="D10" i="30"/>
  <c r="D10" i="23"/>
  <c r="D10" i="9"/>
  <c r="D10" i="11"/>
  <c r="D10" i="14"/>
  <c r="D11" i="4"/>
  <c r="F11" i="4" s="1"/>
  <c r="D10" i="22"/>
  <c r="D10" i="10"/>
  <c r="D10" i="12"/>
  <c r="D10" i="6"/>
  <c r="D10" i="21"/>
  <c r="D10" i="28"/>
  <c r="D10" i="27"/>
  <c r="D10" i="7"/>
  <c r="D10" i="13"/>
  <c r="G121" i="8" l="1"/>
  <c r="H121" i="8" s="1"/>
  <c r="G123" i="7"/>
  <c r="H123" i="7" s="1"/>
  <c r="G134" i="7"/>
  <c r="H134" i="6"/>
  <c r="G120" i="7"/>
  <c r="H120" i="7" s="1"/>
  <c r="G121" i="9"/>
  <c r="H132" i="6"/>
  <c r="G132" i="7"/>
  <c r="A13" i="5"/>
  <c r="A15" i="29"/>
  <c r="A15" i="24"/>
  <c r="A15" i="28"/>
  <c r="A15" i="23"/>
  <c r="A15" i="22"/>
  <c r="A15" i="14"/>
  <c r="A15" i="26"/>
  <c r="A15" i="30"/>
  <c r="A15" i="27"/>
  <c r="A15" i="10"/>
  <c r="A15" i="13"/>
  <c r="A15" i="8"/>
  <c r="A15" i="9"/>
  <c r="A15" i="7"/>
  <c r="A15" i="25"/>
  <c r="A16" i="4"/>
  <c r="A15" i="21"/>
  <c r="A15" i="6"/>
  <c r="A15" i="12"/>
  <c r="A15" i="11"/>
  <c r="G125" i="7"/>
  <c r="H125" i="6"/>
  <c r="H117" i="8"/>
  <c r="G117" i="9"/>
  <c r="H128" i="6"/>
  <c r="G128" i="7"/>
  <c r="H119" i="7"/>
  <c r="G119" i="8"/>
  <c r="H124" i="6"/>
  <c r="G124" i="7"/>
  <c r="H131" i="7"/>
  <c r="G131" i="8"/>
  <c r="H122" i="6"/>
  <c r="G122" i="7"/>
  <c r="G126" i="7"/>
  <c r="H126" i="6"/>
  <c r="H118" i="7"/>
  <c r="G118" i="8"/>
  <c r="H127" i="6"/>
  <c r="G127" i="7"/>
  <c r="H129" i="6"/>
  <c r="G129" i="7"/>
  <c r="H133" i="8"/>
  <c r="G133" i="9"/>
  <c r="G130" i="7"/>
  <c r="H130" i="6"/>
  <c r="G68" i="4"/>
  <c r="G67" i="6"/>
  <c r="G65" i="6"/>
  <c r="G66" i="4"/>
  <c r="G65" i="4"/>
  <c r="G64" i="6"/>
  <c r="G60" i="4"/>
  <c r="G59" i="6"/>
  <c r="H56" i="6"/>
  <c r="G56" i="7"/>
  <c r="G55" i="4"/>
  <c r="G54" i="6"/>
  <c r="G53" i="4"/>
  <c r="G52" i="6"/>
  <c r="G38" i="4"/>
  <c r="G37" i="6"/>
  <c r="H48" i="6"/>
  <c r="G48" i="7"/>
  <c r="D135" i="9"/>
  <c r="D135" i="7"/>
  <c r="D137" i="7" s="1"/>
  <c r="J5" i="7" s="1"/>
  <c r="D135" i="26"/>
  <c r="D137" i="26" s="1"/>
  <c r="J5" i="26" s="1"/>
  <c r="D135" i="6"/>
  <c r="D137" i="6" s="1"/>
  <c r="J5" i="6" s="1"/>
  <c r="D135" i="27"/>
  <c r="D137" i="27" s="1"/>
  <c r="J5" i="27" s="1"/>
  <c r="D135" i="29"/>
  <c r="D137" i="29" s="1"/>
  <c r="J5" i="29" s="1"/>
  <c r="D135" i="11"/>
  <c r="D137" i="11" s="1"/>
  <c r="J5" i="11" s="1"/>
  <c r="D135" i="10"/>
  <c r="D137" i="10" s="1"/>
  <c r="J5" i="10" s="1"/>
  <c r="D136" i="4"/>
  <c r="F136" i="4" s="1"/>
  <c r="D135" i="12"/>
  <c r="D135" i="28"/>
  <c r="D137" i="28" s="1"/>
  <c r="J5" i="28" s="1"/>
  <c r="D135" i="13"/>
  <c r="D137" i="13" s="1"/>
  <c r="J5" i="13" s="1"/>
  <c r="D135" i="8"/>
  <c r="D137" i="8" s="1"/>
  <c r="J5" i="8" s="1"/>
  <c r="D135" i="14"/>
  <c r="D137" i="14" s="1"/>
  <c r="J5" i="14" s="1"/>
  <c r="D135" i="22"/>
  <c r="D137" i="22" s="1"/>
  <c r="J5" i="22" s="1"/>
  <c r="D135" i="23"/>
  <c r="D137" i="23" s="1"/>
  <c r="J5" i="23" s="1"/>
  <c r="D135" i="25"/>
  <c r="D137" i="25" s="1"/>
  <c r="J5" i="25" s="1"/>
  <c r="D135" i="21"/>
  <c r="D137" i="21" s="1"/>
  <c r="J5" i="21" s="1"/>
  <c r="D135" i="30"/>
  <c r="D137" i="30" s="1"/>
  <c r="D135" i="24"/>
  <c r="D137" i="24" s="1"/>
  <c r="J5" i="24" s="1"/>
  <c r="G105" i="6"/>
  <c r="G106" i="4"/>
  <c r="G81" i="6"/>
  <c r="G82" i="4"/>
  <c r="G117" i="4"/>
  <c r="G116" i="6"/>
  <c r="G101" i="4"/>
  <c r="G100" i="6"/>
  <c r="G93" i="4"/>
  <c r="G92" i="6"/>
  <c r="G112" i="4"/>
  <c r="G111" i="6"/>
  <c r="G88" i="4"/>
  <c r="G87" i="6"/>
  <c r="G89" i="6"/>
  <c r="G90" i="4"/>
  <c r="G73" i="6"/>
  <c r="G74" i="4"/>
  <c r="G107" i="4"/>
  <c r="G106" i="6"/>
  <c r="G91" i="4"/>
  <c r="G90" i="6"/>
  <c r="G83" i="4"/>
  <c r="G82" i="6"/>
  <c r="G109" i="4"/>
  <c r="G108" i="6"/>
  <c r="G89" i="4"/>
  <c r="G88" i="6"/>
  <c r="G77" i="4"/>
  <c r="G76" i="6"/>
  <c r="G69" i="4"/>
  <c r="G68" i="6"/>
  <c r="G115" i="4"/>
  <c r="G114" i="6"/>
  <c r="G111" i="4"/>
  <c r="G110" i="6"/>
  <c r="G103" i="4"/>
  <c r="G102" i="6"/>
  <c r="G99" i="4"/>
  <c r="G98" i="6"/>
  <c r="G95" i="4"/>
  <c r="G94" i="6"/>
  <c r="G87" i="4"/>
  <c r="G86" i="6"/>
  <c r="G79" i="4"/>
  <c r="G78" i="6"/>
  <c r="G71" i="4"/>
  <c r="G70" i="6"/>
  <c r="G116" i="4"/>
  <c r="G115" i="6"/>
  <c r="G108" i="4"/>
  <c r="G107" i="6"/>
  <c r="G104" i="4"/>
  <c r="G103" i="6"/>
  <c r="G100" i="4"/>
  <c r="G99" i="6"/>
  <c r="G84" i="4"/>
  <c r="G83" i="6"/>
  <c r="G76" i="4"/>
  <c r="G75" i="6"/>
  <c r="G75" i="4"/>
  <c r="G74" i="6"/>
  <c r="G113" i="6"/>
  <c r="G114" i="4"/>
  <c r="G94" i="4"/>
  <c r="G93" i="6"/>
  <c r="G78" i="4"/>
  <c r="G77" i="6"/>
  <c r="G70" i="4"/>
  <c r="G69" i="6"/>
  <c r="G113" i="4"/>
  <c r="G112" i="6"/>
  <c r="G105" i="4"/>
  <c r="G104" i="6"/>
  <c r="G85" i="4"/>
  <c r="G84" i="6"/>
  <c r="G73" i="4"/>
  <c r="G72" i="6"/>
  <c r="G96" i="4"/>
  <c r="G95" i="6"/>
  <c r="G92" i="4"/>
  <c r="G91" i="6"/>
  <c r="G80" i="4"/>
  <c r="G79" i="6"/>
  <c r="G72" i="4"/>
  <c r="G71" i="6"/>
  <c r="G110" i="4"/>
  <c r="G109" i="6"/>
  <c r="G102" i="4"/>
  <c r="G101" i="6"/>
  <c r="G97" i="6"/>
  <c r="G98" i="4"/>
  <c r="G86" i="4"/>
  <c r="G85" i="6"/>
  <c r="G97" i="4"/>
  <c r="G96" i="6"/>
  <c r="G81" i="4"/>
  <c r="G80" i="6"/>
  <c r="G67" i="4"/>
  <c r="G66" i="6"/>
  <c r="G64" i="4"/>
  <c r="G63" i="6"/>
  <c r="G63" i="4"/>
  <c r="G62" i="6"/>
  <c r="G61" i="6"/>
  <c r="G62" i="4"/>
  <c r="G61" i="4"/>
  <c r="G60" i="6"/>
  <c r="G59" i="4"/>
  <c r="G58" i="6"/>
  <c r="G57" i="6"/>
  <c r="G58" i="4"/>
  <c r="G56" i="4"/>
  <c r="G55" i="6"/>
  <c r="G53" i="6"/>
  <c r="G54" i="4"/>
  <c r="G52" i="4"/>
  <c r="G51" i="6"/>
  <c r="G51" i="4"/>
  <c r="G50" i="6"/>
  <c r="G50" i="4"/>
  <c r="G49" i="6"/>
  <c r="G48" i="4"/>
  <c r="G47" i="6"/>
  <c r="G47" i="4"/>
  <c r="G46" i="6"/>
  <c r="G46" i="4"/>
  <c r="G45" i="6"/>
  <c r="G45" i="4"/>
  <c r="G44" i="6"/>
  <c r="G44" i="4"/>
  <c r="G43" i="6"/>
  <c r="G43" i="4"/>
  <c r="G42" i="6"/>
  <c r="G42" i="4"/>
  <c r="G41" i="6"/>
  <c r="G41" i="4"/>
  <c r="G40" i="6"/>
  <c r="G40" i="4"/>
  <c r="G39" i="6"/>
  <c r="G39" i="4"/>
  <c r="G38" i="6"/>
  <c r="G37" i="4"/>
  <c r="G36" i="6"/>
  <c r="G36" i="4"/>
  <c r="G35" i="6"/>
  <c r="G35" i="4"/>
  <c r="G34" i="6"/>
  <c r="G34" i="4"/>
  <c r="G33" i="6"/>
  <c r="G33" i="4"/>
  <c r="G32" i="6"/>
  <c r="G32" i="4"/>
  <c r="G31" i="6"/>
  <c r="G31" i="4"/>
  <c r="G30" i="6"/>
  <c r="G30" i="4"/>
  <c r="G29" i="6"/>
  <c r="G29" i="4"/>
  <c r="G28" i="6"/>
  <c r="G28" i="4"/>
  <c r="G27" i="6"/>
  <c r="G27" i="4"/>
  <c r="G26" i="6"/>
  <c r="G24" i="4"/>
  <c r="G23" i="6"/>
  <c r="G26" i="4"/>
  <c r="G25" i="6"/>
  <c r="G25" i="4"/>
  <c r="G24" i="6"/>
  <c r="G23" i="4"/>
  <c r="G22" i="6"/>
  <c r="G22" i="4"/>
  <c r="G21" i="6"/>
  <c r="G21" i="4"/>
  <c r="G20" i="6"/>
  <c r="G20" i="4"/>
  <c r="G19" i="6"/>
  <c r="G19" i="4"/>
  <c r="G18" i="6"/>
  <c r="G18" i="4"/>
  <c r="G17" i="6"/>
  <c r="G17" i="4"/>
  <c r="G16" i="6"/>
  <c r="G16" i="4"/>
  <c r="G15" i="6"/>
  <c r="G15" i="4"/>
  <c r="G14" i="6"/>
  <c r="G14" i="4"/>
  <c r="G13" i="6"/>
  <c r="G13" i="4"/>
  <c r="G12" i="6"/>
  <c r="G12" i="4"/>
  <c r="G11" i="6"/>
  <c r="J137" i="6"/>
  <c r="J3" i="6" s="1"/>
  <c r="K10" i="14"/>
  <c r="J10" i="21"/>
  <c r="E137" i="9"/>
  <c r="E10" i="10"/>
  <c r="D137" i="12"/>
  <c r="J5" i="12" s="1"/>
  <c r="D137" i="9"/>
  <c r="J5" i="9" s="1"/>
  <c r="G10" i="6"/>
  <c r="G11" i="4"/>
  <c r="G120" i="8" l="1"/>
  <c r="H120" i="8" s="1"/>
  <c r="G123" i="8"/>
  <c r="G123" i="9" s="1"/>
  <c r="H134" i="7"/>
  <c r="G134" i="8"/>
  <c r="H126" i="7"/>
  <c r="G126" i="8"/>
  <c r="H122" i="7"/>
  <c r="G122" i="8"/>
  <c r="H125" i="7"/>
  <c r="G125" i="8"/>
  <c r="H133" i="9"/>
  <c r="G133" i="10"/>
  <c r="H129" i="7"/>
  <c r="G129" i="8"/>
  <c r="H124" i="7"/>
  <c r="G124" i="8"/>
  <c r="H117" i="9"/>
  <c r="G117" i="10"/>
  <c r="H131" i="8"/>
  <c r="G131" i="9"/>
  <c r="H119" i="8"/>
  <c r="G119" i="9"/>
  <c r="H132" i="7"/>
  <c r="G132" i="8"/>
  <c r="H118" i="8"/>
  <c r="G118" i="9"/>
  <c r="H121" i="9"/>
  <c r="G121" i="10"/>
  <c r="H130" i="7"/>
  <c r="G130" i="8"/>
  <c r="H127" i="7"/>
  <c r="G127" i="8"/>
  <c r="H128" i="7"/>
  <c r="G128" i="8"/>
  <c r="A14" i="5"/>
  <c r="A16" i="25"/>
  <c r="A16" i="30"/>
  <c r="A16" i="28"/>
  <c r="A16" i="26"/>
  <c r="A16" i="27"/>
  <c r="A16" i="24"/>
  <c r="A16" i="23"/>
  <c r="A16" i="13"/>
  <c r="A16" i="11"/>
  <c r="A16" i="29"/>
  <c r="A16" i="12"/>
  <c r="A16" i="10"/>
  <c r="A16" i="14"/>
  <c r="A16" i="22"/>
  <c r="A16" i="7"/>
  <c r="A17" i="4"/>
  <c r="A16" i="21"/>
  <c r="A16" i="6"/>
  <c r="A16" i="8"/>
  <c r="A16" i="9"/>
  <c r="H67" i="6"/>
  <c r="G67" i="7"/>
  <c r="H65" i="6"/>
  <c r="G65" i="7"/>
  <c r="H64" i="6"/>
  <c r="G64" i="7"/>
  <c r="H59" i="6"/>
  <c r="G59" i="7"/>
  <c r="H56" i="7"/>
  <c r="G56" i="8"/>
  <c r="H54" i="6"/>
  <c r="G54" i="7"/>
  <c r="H48" i="7"/>
  <c r="G48" i="8"/>
  <c r="H52" i="6"/>
  <c r="G52" i="7"/>
  <c r="G37" i="7"/>
  <c r="H37" i="6"/>
  <c r="G136" i="4"/>
  <c r="G137" i="4" s="1"/>
  <c r="I4" i="4" s="1"/>
  <c r="G135" i="6"/>
  <c r="G137" i="6" s="1"/>
  <c r="J7" i="6" s="1"/>
  <c r="K3" i="6" s="1"/>
  <c r="H96" i="6"/>
  <c r="G96" i="7"/>
  <c r="G109" i="7"/>
  <c r="H109" i="6"/>
  <c r="H95" i="6"/>
  <c r="G95" i="7"/>
  <c r="H112" i="6"/>
  <c r="G112" i="7"/>
  <c r="H75" i="6"/>
  <c r="G75" i="7"/>
  <c r="H107" i="6"/>
  <c r="G107" i="7"/>
  <c r="G70" i="7"/>
  <c r="H70" i="6"/>
  <c r="G86" i="7"/>
  <c r="H86" i="6"/>
  <c r="H98" i="6"/>
  <c r="G98" i="7"/>
  <c r="G110" i="7"/>
  <c r="H110" i="6"/>
  <c r="H68" i="6"/>
  <c r="G68" i="7"/>
  <c r="H88" i="6"/>
  <c r="G88" i="7"/>
  <c r="H82" i="6"/>
  <c r="G82" i="7"/>
  <c r="H106" i="6"/>
  <c r="G106" i="7"/>
  <c r="H111" i="6"/>
  <c r="G111" i="7"/>
  <c r="H100" i="6"/>
  <c r="G100" i="7"/>
  <c r="H97" i="6"/>
  <c r="G97" i="7"/>
  <c r="H113" i="6"/>
  <c r="G113" i="7"/>
  <c r="H89" i="6"/>
  <c r="G89" i="7"/>
  <c r="H81" i="6"/>
  <c r="G81" i="7"/>
  <c r="H79" i="6"/>
  <c r="G79" i="7"/>
  <c r="H84" i="6"/>
  <c r="G84" i="7"/>
  <c r="G77" i="7"/>
  <c r="H77" i="6"/>
  <c r="H99" i="6"/>
  <c r="G99" i="7"/>
  <c r="H80" i="6"/>
  <c r="G80" i="7"/>
  <c r="G85" i="7"/>
  <c r="H85" i="6"/>
  <c r="G101" i="7"/>
  <c r="H101" i="6"/>
  <c r="H71" i="6"/>
  <c r="G71" i="7"/>
  <c r="H91" i="6"/>
  <c r="G91" i="7"/>
  <c r="H72" i="6"/>
  <c r="G72" i="7"/>
  <c r="H104" i="6"/>
  <c r="G104" i="7"/>
  <c r="G69" i="7"/>
  <c r="H69" i="6"/>
  <c r="G93" i="7"/>
  <c r="H93" i="6"/>
  <c r="H74" i="6"/>
  <c r="G74" i="7"/>
  <c r="H83" i="6"/>
  <c r="G83" i="7"/>
  <c r="H103" i="6"/>
  <c r="G103" i="7"/>
  <c r="H115" i="6"/>
  <c r="G115" i="7"/>
  <c r="G78" i="7"/>
  <c r="H78" i="6"/>
  <c r="G94" i="7"/>
  <c r="H94" i="6"/>
  <c r="G102" i="7"/>
  <c r="H102" i="6"/>
  <c r="H114" i="6"/>
  <c r="G114" i="7"/>
  <c r="H76" i="6"/>
  <c r="G76" i="7"/>
  <c r="H108" i="6"/>
  <c r="G108" i="7"/>
  <c r="H90" i="6"/>
  <c r="G90" i="7"/>
  <c r="H87" i="6"/>
  <c r="G87" i="7"/>
  <c r="H92" i="6"/>
  <c r="G92" i="7"/>
  <c r="H116" i="6"/>
  <c r="G116" i="7"/>
  <c r="H73" i="6"/>
  <c r="G73" i="7"/>
  <c r="H105" i="6"/>
  <c r="G105" i="7"/>
  <c r="G66" i="7"/>
  <c r="H66" i="6"/>
  <c r="H63" i="6"/>
  <c r="G63" i="7"/>
  <c r="G62" i="7"/>
  <c r="H62" i="6"/>
  <c r="G61" i="7"/>
  <c r="H61" i="6"/>
  <c r="H60" i="6"/>
  <c r="G60" i="7"/>
  <c r="G58" i="7"/>
  <c r="H58" i="6"/>
  <c r="G57" i="7"/>
  <c r="H57" i="6"/>
  <c r="H55" i="6"/>
  <c r="G55" i="7"/>
  <c r="G53" i="7"/>
  <c r="H53" i="6"/>
  <c r="H51" i="6"/>
  <c r="G51" i="7"/>
  <c r="G50" i="7"/>
  <c r="H50" i="6"/>
  <c r="G49" i="7"/>
  <c r="H49" i="6"/>
  <c r="H47" i="6"/>
  <c r="G47" i="7"/>
  <c r="H46" i="6"/>
  <c r="G46" i="7"/>
  <c r="G45" i="7"/>
  <c r="H45" i="6"/>
  <c r="H44" i="6"/>
  <c r="G44" i="7"/>
  <c r="H43" i="6"/>
  <c r="G43" i="7"/>
  <c r="H42" i="6"/>
  <c r="G42" i="7"/>
  <c r="G41" i="7"/>
  <c r="H41" i="6"/>
  <c r="H40" i="6"/>
  <c r="G40" i="7"/>
  <c r="H39" i="6"/>
  <c r="G39" i="7"/>
  <c r="G38" i="7"/>
  <c r="H38" i="6"/>
  <c r="H36" i="6"/>
  <c r="G36" i="7"/>
  <c r="H35" i="6"/>
  <c r="G35" i="7"/>
  <c r="G34" i="7"/>
  <c r="H34" i="6"/>
  <c r="G33" i="7"/>
  <c r="H33" i="6"/>
  <c r="H32" i="6"/>
  <c r="G32" i="7"/>
  <c r="H31" i="6"/>
  <c r="G31" i="7"/>
  <c r="G30" i="7"/>
  <c r="H30" i="6"/>
  <c r="G29" i="7"/>
  <c r="H29" i="6"/>
  <c r="H28" i="6"/>
  <c r="G28" i="7"/>
  <c r="G27" i="7"/>
  <c r="H27" i="6"/>
  <c r="G26" i="7"/>
  <c r="H26" i="6"/>
  <c r="G23" i="7"/>
  <c r="H23" i="6"/>
  <c r="G25" i="7"/>
  <c r="H25" i="6"/>
  <c r="H24" i="6"/>
  <c r="G24" i="7"/>
  <c r="G22" i="7"/>
  <c r="H22" i="6"/>
  <c r="G21" i="7"/>
  <c r="H21" i="6"/>
  <c r="H20" i="6"/>
  <c r="G20" i="7"/>
  <c r="H19" i="6"/>
  <c r="G19" i="7"/>
  <c r="G18" i="7"/>
  <c r="H18" i="6"/>
  <c r="G17" i="7"/>
  <c r="H17" i="6"/>
  <c r="H16" i="6"/>
  <c r="G16" i="7"/>
  <c r="H15" i="6"/>
  <c r="G15" i="7"/>
  <c r="G14" i="7"/>
  <c r="H14" i="6"/>
  <c r="G13" i="7"/>
  <c r="H13" i="6"/>
  <c r="H12" i="6"/>
  <c r="G12" i="7"/>
  <c r="G11" i="7"/>
  <c r="H11" i="6"/>
  <c r="F137" i="4"/>
  <c r="I7" i="4" s="1"/>
  <c r="D137" i="4"/>
  <c r="I5" i="4" s="1"/>
  <c r="E137" i="10"/>
  <c r="E10" i="11"/>
  <c r="J137" i="7"/>
  <c r="J3" i="7" s="1"/>
  <c r="J10" i="22"/>
  <c r="K10" i="21"/>
  <c r="G10" i="7"/>
  <c r="H10" i="6"/>
  <c r="H123" i="8" l="1"/>
  <c r="G120" i="9"/>
  <c r="H134" i="8"/>
  <c r="G134" i="9"/>
  <c r="H118" i="9"/>
  <c r="G118" i="10"/>
  <c r="H132" i="8"/>
  <c r="G132" i="9"/>
  <c r="H121" i="10"/>
  <c r="G121" i="11"/>
  <c r="H124" i="8"/>
  <c r="G124" i="9"/>
  <c r="H128" i="8"/>
  <c r="G128" i="9"/>
  <c r="H119" i="9"/>
  <c r="G119" i="10"/>
  <c r="H125" i="8"/>
  <c r="G125" i="9"/>
  <c r="H129" i="8"/>
  <c r="G129" i="9"/>
  <c r="H133" i="10"/>
  <c r="G133" i="11"/>
  <c r="A15" i="5"/>
  <c r="A17" i="27"/>
  <c r="A17" i="25"/>
  <c r="A17" i="24"/>
  <c r="A17" i="30"/>
  <c r="A17" i="28"/>
  <c r="A17" i="29"/>
  <c r="A17" i="22"/>
  <c r="A17" i="21"/>
  <c r="A17" i="23"/>
  <c r="A17" i="12"/>
  <c r="A17" i="11"/>
  <c r="A18" i="4"/>
  <c r="A17" i="13"/>
  <c r="A17" i="14"/>
  <c r="A17" i="6"/>
  <c r="A17" i="8"/>
  <c r="A17" i="10"/>
  <c r="A17" i="26"/>
  <c r="A17" i="9"/>
  <c r="A17" i="7"/>
  <c r="H127" i="8"/>
  <c r="G127" i="9"/>
  <c r="H122" i="8"/>
  <c r="G122" i="9"/>
  <c r="H130" i="8"/>
  <c r="G130" i="9"/>
  <c r="H131" i="9"/>
  <c r="G131" i="10"/>
  <c r="H126" i="8"/>
  <c r="G126" i="9"/>
  <c r="H123" i="9"/>
  <c r="G123" i="10"/>
  <c r="H117" i="10"/>
  <c r="G117" i="11"/>
  <c r="H120" i="9"/>
  <c r="G120" i="10"/>
  <c r="H67" i="7"/>
  <c r="G67" i="8"/>
  <c r="H65" i="7"/>
  <c r="G65" i="8"/>
  <c r="H64" i="7"/>
  <c r="G64" i="8"/>
  <c r="H59" i="7"/>
  <c r="G59" i="8"/>
  <c r="H56" i="8"/>
  <c r="G56" i="9"/>
  <c r="H54" i="7"/>
  <c r="G54" i="8"/>
  <c r="H37" i="7"/>
  <c r="G37" i="8"/>
  <c r="G52" i="8"/>
  <c r="H52" i="7"/>
  <c r="H48" i="8"/>
  <c r="G48" i="9"/>
  <c r="H135" i="6"/>
  <c r="H137" i="6" s="1"/>
  <c r="J4" i="6" s="1"/>
  <c r="G135" i="7"/>
  <c r="G137" i="7" s="1"/>
  <c r="J7" i="7" s="1"/>
  <c r="K3" i="7" s="1"/>
  <c r="H92" i="7"/>
  <c r="G92" i="8"/>
  <c r="H76" i="7"/>
  <c r="G76" i="8"/>
  <c r="H103" i="7"/>
  <c r="G103" i="8"/>
  <c r="H71" i="7"/>
  <c r="G71" i="8"/>
  <c r="H84" i="7"/>
  <c r="G84" i="8"/>
  <c r="H113" i="7"/>
  <c r="G113" i="8"/>
  <c r="H100" i="7"/>
  <c r="G100" i="8"/>
  <c r="H88" i="7"/>
  <c r="G88" i="8"/>
  <c r="H102" i="7"/>
  <c r="G102" i="8"/>
  <c r="H78" i="7"/>
  <c r="G78" i="8"/>
  <c r="H69" i="7"/>
  <c r="G69" i="8"/>
  <c r="H85" i="7"/>
  <c r="G85" i="8"/>
  <c r="H110" i="7"/>
  <c r="G110" i="8"/>
  <c r="H86" i="7"/>
  <c r="G86" i="8"/>
  <c r="H109" i="7"/>
  <c r="G109" i="8"/>
  <c r="H73" i="7"/>
  <c r="G73" i="8"/>
  <c r="H74" i="7"/>
  <c r="G74" i="8"/>
  <c r="H72" i="7"/>
  <c r="G72" i="8"/>
  <c r="H99" i="7"/>
  <c r="G99" i="8"/>
  <c r="H81" i="7"/>
  <c r="G81" i="8"/>
  <c r="H106" i="7"/>
  <c r="G106" i="8"/>
  <c r="H107" i="7"/>
  <c r="G107" i="8"/>
  <c r="H112" i="7"/>
  <c r="G112" i="8"/>
  <c r="H105" i="7"/>
  <c r="G105" i="8"/>
  <c r="H116" i="7"/>
  <c r="G116" i="8"/>
  <c r="H87" i="7"/>
  <c r="G87" i="8"/>
  <c r="H108" i="7"/>
  <c r="G108" i="8"/>
  <c r="H114" i="7"/>
  <c r="G114" i="8"/>
  <c r="H115" i="7"/>
  <c r="G115" i="8"/>
  <c r="H83" i="7"/>
  <c r="G83" i="8"/>
  <c r="H104" i="7"/>
  <c r="G104" i="8"/>
  <c r="H91" i="7"/>
  <c r="G91" i="8"/>
  <c r="H80" i="7"/>
  <c r="G80" i="8"/>
  <c r="H79" i="7"/>
  <c r="G79" i="8"/>
  <c r="H89" i="7"/>
  <c r="G89" i="8"/>
  <c r="H97" i="7"/>
  <c r="G97" i="8"/>
  <c r="H111" i="7"/>
  <c r="G111" i="8"/>
  <c r="H82" i="7"/>
  <c r="G82" i="8"/>
  <c r="H68" i="7"/>
  <c r="G68" i="8"/>
  <c r="H98" i="7"/>
  <c r="G98" i="8"/>
  <c r="H75" i="7"/>
  <c r="G75" i="8"/>
  <c r="H95" i="7"/>
  <c r="G95" i="8"/>
  <c r="H96" i="7"/>
  <c r="G96" i="8"/>
  <c r="H90" i="7"/>
  <c r="G90" i="8"/>
  <c r="H94" i="7"/>
  <c r="G94" i="8"/>
  <c r="H93" i="7"/>
  <c r="G93" i="8"/>
  <c r="H101" i="7"/>
  <c r="G101" i="8"/>
  <c r="H77" i="7"/>
  <c r="G77" i="8"/>
  <c r="H70" i="7"/>
  <c r="G70" i="8"/>
  <c r="H66" i="7"/>
  <c r="G66" i="8"/>
  <c r="H63" i="7"/>
  <c r="G63" i="8"/>
  <c r="H62" i="7"/>
  <c r="G62" i="8"/>
  <c r="H61" i="7"/>
  <c r="G61" i="8"/>
  <c r="H60" i="7"/>
  <c r="G60" i="8"/>
  <c r="H58" i="7"/>
  <c r="G58" i="8"/>
  <c r="H57" i="7"/>
  <c r="G57" i="8"/>
  <c r="H55" i="7"/>
  <c r="G55" i="8"/>
  <c r="H53" i="7"/>
  <c r="G53" i="8"/>
  <c r="H51" i="7"/>
  <c r="G51" i="8"/>
  <c r="H50" i="7"/>
  <c r="G50" i="8"/>
  <c r="H49" i="7"/>
  <c r="G49" i="8"/>
  <c r="H47" i="7"/>
  <c r="G47" i="8"/>
  <c r="H46" i="7"/>
  <c r="G46" i="8"/>
  <c r="H45" i="7"/>
  <c r="G45" i="8"/>
  <c r="H44" i="7"/>
  <c r="G44" i="8"/>
  <c r="H43" i="7"/>
  <c r="G43" i="8"/>
  <c r="H42" i="7"/>
  <c r="G42" i="8"/>
  <c r="H41" i="7"/>
  <c r="G41" i="8"/>
  <c r="H40" i="7"/>
  <c r="G40" i="8"/>
  <c r="H39" i="7"/>
  <c r="G39" i="8"/>
  <c r="H38" i="7"/>
  <c r="G38" i="8"/>
  <c r="H36" i="7"/>
  <c r="G36" i="8"/>
  <c r="H35" i="7"/>
  <c r="G35" i="8"/>
  <c r="H34" i="7"/>
  <c r="G34" i="8"/>
  <c r="H33" i="7"/>
  <c r="G33" i="8"/>
  <c r="H32" i="7"/>
  <c r="G32" i="8"/>
  <c r="H31" i="7"/>
  <c r="G31" i="8"/>
  <c r="H30" i="7"/>
  <c r="G30" i="8"/>
  <c r="H29" i="7"/>
  <c r="G29" i="8"/>
  <c r="H28" i="7"/>
  <c r="G28" i="8"/>
  <c r="H27" i="7"/>
  <c r="G27" i="8"/>
  <c r="H26" i="7"/>
  <c r="G26" i="8"/>
  <c r="H23" i="7"/>
  <c r="G23" i="8"/>
  <c r="H25" i="7"/>
  <c r="G25" i="8"/>
  <c r="H24" i="7"/>
  <c r="G24" i="8"/>
  <c r="H22" i="7"/>
  <c r="G22" i="8"/>
  <c r="H21" i="7"/>
  <c r="G21" i="8"/>
  <c r="H20" i="7"/>
  <c r="G20" i="8"/>
  <c r="H19" i="7"/>
  <c r="G19" i="8"/>
  <c r="H18" i="7"/>
  <c r="G18" i="8"/>
  <c r="H17" i="7"/>
  <c r="G17" i="8"/>
  <c r="H16" i="7"/>
  <c r="G16" i="8"/>
  <c r="H15" i="7"/>
  <c r="G15" i="8"/>
  <c r="H14" i="7"/>
  <c r="G14" i="8"/>
  <c r="H13" i="7"/>
  <c r="G13" i="8"/>
  <c r="H12" i="7"/>
  <c r="G12" i="8"/>
  <c r="H11" i="7"/>
  <c r="G11" i="8"/>
  <c r="K10" i="22"/>
  <c r="J10" i="23"/>
  <c r="J137" i="8"/>
  <c r="J3" i="8" s="1"/>
  <c r="E10" i="12"/>
  <c r="E137" i="11"/>
  <c r="H10" i="7"/>
  <c r="G10" i="8"/>
  <c r="H134" i="9" l="1"/>
  <c r="G134" i="10"/>
  <c r="H119" i="10"/>
  <c r="G119" i="11"/>
  <c r="H125" i="9"/>
  <c r="G125" i="10"/>
  <c r="H124" i="9"/>
  <c r="G124" i="10"/>
  <c r="H131" i="10"/>
  <c r="G131" i="11"/>
  <c r="H130" i="9"/>
  <c r="G130" i="10"/>
  <c r="A16" i="5"/>
  <c r="A18" i="26"/>
  <c r="A18" i="29"/>
  <c r="A18" i="25"/>
  <c r="A18" i="24"/>
  <c r="A18" i="23"/>
  <c r="A18" i="28"/>
  <c r="A18" i="22"/>
  <c r="A18" i="27"/>
  <c r="A18" i="21"/>
  <c r="A18" i="30"/>
  <c r="A18" i="14"/>
  <c r="A18" i="8"/>
  <c r="A18" i="9"/>
  <c r="A18" i="11"/>
  <c r="A18" i="10"/>
  <c r="A18" i="6"/>
  <c r="A19" i="4"/>
  <c r="A18" i="13"/>
  <c r="A18" i="7"/>
  <c r="A18" i="12"/>
  <c r="H127" i="9"/>
  <c r="G127" i="10"/>
  <c r="H123" i="10"/>
  <c r="G123" i="11"/>
  <c r="H128" i="9"/>
  <c r="G128" i="10"/>
  <c r="H126" i="9"/>
  <c r="G126" i="10"/>
  <c r="H121" i="11"/>
  <c r="G121" i="12"/>
  <c r="H133" i="11"/>
  <c r="G133" i="12"/>
  <c r="H132" i="9"/>
  <c r="G132" i="10"/>
  <c r="H117" i="11"/>
  <c r="G117" i="12"/>
  <c r="H122" i="9"/>
  <c r="G122" i="10"/>
  <c r="H129" i="9"/>
  <c r="G129" i="10"/>
  <c r="H118" i="10"/>
  <c r="G118" i="11"/>
  <c r="H120" i="10"/>
  <c r="G120" i="11"/>
  <c r="H67" i="8"/>
  <c r="G67" i="9"/>
  <c r="H65" i="8"/>
  <c r="G65" i="9"/>
  <c r="H64" i="8"/>
  <c r="G64" i="9"/>
  <c r="H59" i="8"/>
  <c r="G59" i="9"/>
  <c r="H56" i="9"/>
  <c r="G56" i="10"/>
  <c r="G54" i="9"/>
  <c r="H54" i="8"/>
  <c r="H48" i="9"/>
  <c r="G48" i="10"/>
  <c r="G52" i="9"/>
  <c r="H52" i="8"/>
  <c r="H37" i="8"/>
  <c r="G37" i="9"/>
  <c r="H135" i="7"/>
  <c r="H137" i="7" s="1"/>
  <c r="J4" i="7" s="1"/>
  <c r="G135" i="8"/>
  <c r="G137" i="8" s="1"/>
  <c r="J7" i="8" s="1"/>
  <c r="K3" i="8" s="1"/>
  <c r="H98" i="8"/>
  <c r="G98" i="9"/>
  <c r="H72" i="8"/>
  <c r="G72" i="9"/>
  <c r="H77" i="8"/>
  <c r="G77" i="9"/>
  <c r="H90" i="8"/>
  <c r="G90" i="9"/>
  <c r="H82" i="8"/>
  <c r="G82" i="9"/>
  <c r="H79" i="8"/>
  <c r="G79" i="9"/>
  <c r="H83" i="8"/>
  <c r="G83" i="9"/>
  <c r="H87" i="8"/>
  <c r="G87" i="9"/>
  <c r="H107" i="8"/>
  <c r="G107" i="9"/>
  <c r="H73" i="8"/>
  <c r="G73" i="9"/>
  <c r="H86" i="8"/>
  <c r="G86" i="9"/>
  <c r="H85" i="8"/>
  <c r="G85" i="9"/>
  <c r="H88" i="8"/>
  <c r="G88" i="9"/>
  <c r="H113" i="8"/>
  <c r="G113" i="9"/>
  <c r="H71" i="8"/>
  <c r="G71" i="9"/>
  <c r="H76" i="8"/>
  <c r="G76" i="9"/>
  <c r="H70" i="8"/>
  <c r="G70" i="9"/>
  <c r="H101" i="8"/>
  <c r="G101" i="9"/>
  <c r="H94" i="8"/>
  <c r="G94" i="9"/>
  <c r="H96" i="8"/>
  <c r="G96" i="9"/>
  <c r="H75" i="8"/>
  <c r="G75" i="9"/>
  <c r="H68" i="8"/>
  <c r="G68" i="9"/>
  <c r="H111" i="8"/>
  <c r="G111" i="9"/>
  <c r="H89" i="8"/>
  <c r="G89" i="9"/>
  <c r="H80" i="8"/>
  <c r="G80" i="9"/>
  <c r="H104" i="8"/>
  <c r="G104" i="9"/>
  <c r="H115" i="8"/>
  <c r="G115" i="9"/>
  <c r="H108" i="8"/>
  <c r="G108" i="9"/>
  <c r="H116" i="8"/>
  <c r="G116" i="9"/>
  <c r="H112" i="8"/>
  <c r="G112" i="9"/>
  <c r="H106" i="8"/>
  <c r="G106" i="9"/>
  <c r="H99" i="8"/>
  <c r="G99" i="9"/>
  <c r="H74" i="8"/>
  <c r="G74" i="9"/>
  <c r="H109" i="8"/>
  <c r="G109" i="9"/>
  <c r="H110" i="8"/>
  <c r="G110" i="9"/>
  <c r="H69" i="8"/>
  <c r="G69" i="9"/>
  <c r="H102" i="8"/>
  <c r="G102" i="9"/>
  <c r="H100" i="8"/>
  <c r="G100" i="9"/>
  <c r="H84" i="8"/>
  <c r="G84" i="9"/>
  <c r="H103" i="8"/>
  <c r="G103" i="9"/>
  <c r="H92" i="8"/>
  <c r="G92" i="9"/>
  <c r="H93" i="8"/>
  <c r="G93" i="9"/>
  <c r="H95" i="8"/>
  <c r="G95" i="9"/>
  <c r="H97" i="8"/>
  <c r="G97" i="9"/>
  <c r="H91" i="8"/>
  <c r="G91" i="9"/>
  <c r="H114" i="8"/>
  <c r="G114" i="9"/>
  <c r="H105" i="8"/>
  <c r="G105" i="9"/>
  <c r="H81" i="8"/>
  <c r="G81" i="9"/>
  <c r="H78" i="8"/>
  <c r="G78" i="9"/>
  <c r="H66" i="8"/>
  <c r="G66" i="9"/>
  <c r="H63" i="8"/>
  <c r="G63" i="9"/>
  <c r="H62" i="8"/>
  <c r="G62" i="9"/>
  <c r="H61" i="8"/>
  <c r="G61" i="9"/>
  <c r="H60" i="8"/>
  <c r="G60" i="9"/>
  <c r="H58" i="8"/>
  <c r="G58" i="9"/>
  <c r="H57" i="8"/>
  <c r="G57" i="9"/>
  <c r="H55" i="8"/>
  <c r="G55" i="9"/>
  <c r="H53" i="8"/>
  <c r="G53" i="9"/>
  <c r="H51" i="8"/>
  <c r="G51" i="9"/>
  <c r="H50" i="8"/>
  <c r="G50" i="9"/>
  <c r="H49" i="8"/>
  <c r="G49" i="9"/>
  <c r="H47" i="8"/>
  <c r="G47" i="9"/>
  <c r="H46" i="8"/>
  <c r="G46" i="9"/>
  <c r="H45" i="8"/>
  <c r="G45" i="9"/>
  <c r="H44" i="8"/>
  <c r="G44" i="9"/>
  <c r="H43" i="8"/>
  <c r="G43" i="9"/>
  <c r="H42" i="8"/>
  <c r="G42" i="9"/>
  <c r="H41" i="8"/>
  <c r="G41" i="9"/>
  <c r="H40" i="8"/>
  <c r="G40" i="9"/>
  <c r="H39" i="8"/>
  <c r="G39" i="9"/>
  <c r="H38" i="8"/>
  <c r="G38" i="9"/>
  <c r="H36" i="8"/>
  <c r="G36" i="9"/>
  <c r="H35" i="8"/>
  <c r="G35" i="9"/>
  <c r="H34" i="8"/>
  <c r="G34" i="9"/>
  <c r="H33" i="8"/>
  <c r="G33" i="9"/>
  <c r="H32" i="8"/>
  <c r="G32" i="9"/>
  <c r="H31" i="8"/>
  <c r="G31" i="9"/>
  <c r="H30" i="8"/>
  <c r="G30" i="9"/>
  <c r="H29" i="8"/>
  <c r="G29" i="9"/>
  <c r="H28" i="8"/>
  <c r="G28" i="9"/>
  <c r="H27" i="8"/>
  <c r="G27" i="9"/>
  <c r="H26" i="8"/>
  <c r="G26" i="9"/>
  <c r="H23" i="8"/>
  <c r="G23" i="9"/>
  <c r="H25" i="8"/>
  <c r="G25" i="9"/>
  <c r="H24" i="8"/>
  <c r="G24" i="9"/>
  <c r="H22" i="8"/>
  <c r="G22" i="9"/>
  <c r="H21" i="8"/>
  <c r="G21" i="9"/>
  <c r="H20" i="8"/>
  <c r="G20" i="9"/>
  <c r="H19" i="8"/>
  <c r="G19" i="9"/>
  <c r="H18" i="8"/>
  <c r="G18" i="9"/>
  <c r="H17" i="8"/>
  <c r="G17" i="9"/>
  <c r="H16" i="8"/>
  <c r="G16" i="9"/>
  <c r="H15" i="8"/>
  <c r="G15" i="9"/>
  <c r="H14" i="8"/>
  <c r="G14" i="9"/>
  <c r="H13" i="8"/>
  <c r="G13" i="9"/>
  <c r="H12" i="8"/>
  <c r="G12" i="9"/>
  <c r="H11" i="8"/>
  <c r="G11" i="9"/>
  <c r="J10" i="24"/>
  <c r="K10" i="23"/>
  <c r="E10" i="13"/>
  <c r="E137" i="12"/>
  <c r="J137" i="9"/>
  <c r="J3" i="9" s="1"/>
  <c r="G10" i="9"/>
  <c r="H10" i="8"/>
  <c r="H134" i="10" l="1"/>
  <c r="G134" i="11"/>
  <c r="H126" i="10"/>
  <c r="G126" i="11"/>
  <c r="H128" i="10"/>
  <c r="G128" i="11"/>
  <c r="H122" i="10"/>
  <c r="G122" i="11"/>
  <c r="H123" i="11"/>
  <c r="G123" i="12"/>
  <c r="H130" i="10"/>
  <c r="G130" i="11"/>
  <c r="H129" i="10"/>
  <c r="G129" i="11"/>
  <c r="H124" i="10"/>
  <c r="G124" i="11"/>
  <c r="H120" i="11"/>
  <c r="G120" i="12"/>
  <c r="H118" i="11"/>
  <c r="G118" i="12"/>
  <c r="H131" i="11"/>
  <c r="G131" i="12"/>
  <c r="H117" i="12"/>
  <c r="G117" i="13"/>
  <c r="H127" i="10"/>
  <c r="G127" i="11"/>
  <c r="H121" i="12"/>
  <c r="G121" i="13"/>
  <c r="A17" i="5"/>
  <c r="A19" i="28"/>
  <c r="A19" i="30"/>
  <c r="A19" i="26"/>
  <c r="A19" i="25"/>
  <c r="A19" i="24"/>
  <c r="A19" i="23"/>
  <c r="A19" i="10"/>
  <c r="A19" i="27"/>
  <c r="A19" i="13"/>
  <c r="A19" i="11"/>
  <c r="A19" i="29"/>
  <c r="A19" i="14"/>
  <c r="A19" i="7"/>
  <c r="A19" i="12"/>
  <c r="A20" i="4"/>
  <c r="A19" i="22"/>
  <c r="A19" i="9"/>
  <c r="A19" i="21"/>
  <c r="A19" i="8"/>
  <c r="A19" i="6"/>
  <c r="H125" i="10"/>
  <c r="G125" i="11"/>
  <c r="H132" i="10"/>
  <c r="G132" i="11"/>
  <c r="H119" i="11"/>
  <c r="G119" i="12"/>
  <c r="H133" i="12"/>
  <c r="G133" i="13"/>
  <c r="H67" i="9"/>
  <c r="G67" i="10"/>
  <c r="H65" i="9"/>
  <c r="G65" i="10"/>
  <c r="H64" i="9"/>
  <c r="G64" i="10"/>
  <c r="H59" i="9"/>
  <c r="G59" i="10"/>
  <c r="G56" i="11"/>
  <c r="H56" i="10"/>
  <c r="H54" i="9"/>
  <c r="G54" i="10"/>
  <c r="H52" i="9"/>
  <c r="G52" i="10"/>
  <c r="H48" i="10"/>
  <c r="G48" i="11"/>
  <c r="G37" i="10"/>
  <c r="H37" i="9"/>
  <c r="H135" i="8"/>
  <c r="H137" i="8" s="1"/>
  <c r="J4" i="8" s="1"/>
  <c r="G135" i="9"/>
  <c r="G137" i="9" s="1"/>
  <c r="J7" i="9" s="1"/>
  <c r="K3" i="9" s="1"/>
  <c r="H81" i="9"/>
  <c r="G81" i="10"/>
  <c r="H93" i="9"/>
  <c r="G93" i="10"/>
  <c r="H108" i="9"/>
  <c r="G108" i="10"/>
  <c r="H114" i="9"/>
  <c r="G114" i="10"/>
  <c r="H103" i="9"/>
  <c r="G103" i="10"/>
  <c r="H100" i="9"/>
  <c r="G100" i="10"/>
  <c r="H109" i="9"/>
  <c r="G109" i="10"/>
  <c r="H99" i="9"/>
  <c r="G99" i="10"/>
  <c r="H104" i="9"/>
  <c r="G104" i="10"/>
  <c r="H89" i="9"/>
  <c r="G89" i="10"/>
  <c r="H96" i="9"/>
  <c r="G96" i="10"/>
  <c r="H101" i="9"/>
  <c r="G101" i="10"/>
  <c r="H76" i="9"/>
  <c r="G76" i="10"/>
  <c r="H113" i="9"/>
  <c r="G113" i="10"/>
  <c r="H85" i="9"/>
  <c r="G85" i="10"/>
  <c r="H73" i="9"/>
  <c r="G73" i="10"/>
  <c r="H87" i="9"/>
  <c r="G87" i="10"/>
  <c r="H79" i="9"/>
  <c r="G79" i="10"/>
  <c r="H90" i="9"/>
  <c r="G90" i="10"/>
  <c r="H78" i="9"/>
  <c r="G78" i="10"/>
  <c r="H105" i="9"/>
  <c r="G105" i="10"/>
  <c r="H91" i="9"/>
  <c r="G91" i="10"/>
  <c r="H95" i="9"/>
  <c r="G95" i="10"/>
  <c r="H92" i="9"/>
  <c r="G92" i="10"/>
  <c r="H84" i="9"/>
  <c r="G84" i="10"/>
  <c r="H102" i="9"/>
  <c r="G102" i="10"/>
  <c r="H110" i="9"/>
  <c r="G110" i="10"/>
  <c r="H74" i="9"/>
  <c r="G74" i="10"/>
  <c r="H106" i="9"/>
  <c r="G106" i="10"/>
  <c r="H116" i="9"/>
  <c r="G116" i="10"/>
  <c r="H115" i="9"/>
  <c r="G115" i="10"/>
  <c r="H80" i="9"/>
  <c r="G80" i="10"/>
  <c r="H111" i="9"/>
  <c r="G111" i="10"/>
  <c r="H75" i="9"/>
  <c r="G75" i="10"/>
  <c r="H94" i="9"/>
  <c r="G94" i="10"/>
  <c r="H70" i="9"/>
  <c r="G70" i="10"/>
  <c r="H71" i="9"/>
  <c r="G71" i="10"/>
  <c r="H88" i="9"/>
  <c r="G88" i="10"/>
  <c r="H86" i="9"/>
  <c r="G86" i="10"/>
  <c r="H107" i="9"/>
  <c r="G107" i="10"/>
  <c r="H83" i="9"/>
  <c r="G83" i="10"/>
  <c r="H82" i="9"/>
  <c r="G82" i="10"/>
  <c r="H77" i="9"/>
  <c r="G77" i="10"/>
  <c r="H98" i="9"/>
  <c r="G98" i="10"/>
  <c r="H97" i="9"/>
  <c r="G97" i="10"/>
  <c r="H69" i="9"/>
  <c r="G69" i="10"/>
  <c r="H112" i="9"/>
  <c r="G112" i="10"/>
  <c r="H68" i="9"/>
  <c r="G68" i="10"/>
  <c r="H72" i="9"/>
  <c r="G72" i="10"/>
  <c r="H66" i="9"/>
  <c r="G66" i="10"/>
  <c r="H63" i="9"/>
  <c r="G63" i="10"/>
  <c r="H62" i="9"/>
  <c r="G62" i="10"/>
  <c r="H61" i="9"/>
  <c r="G61" i="10"/>
  <c r="H60" i="9"/>
  <c r="G60" i="10"/>
  <c r="H58" i="9"/>
  <c r="G58" i="10"/>
  <c r="H57" i="9"/>
  <c r="G57" i="10"/>
  <c r="H55" i="9"/>
  <c r="G55" i="10"/>
  <c r="H53" i="9"/>
  <c r="G53" i="10"/>
  <c r="G51" i="10"/>
  <c r="H51" i="9"/>
  <c r="H50" i="9"/>
  <c r="G50" i="10"/>
  <c r="H49" i="9"/>
  <c r="G49" i="10"/>
  <c r="H47" i="9"/>
  <c r="G47" i="10"/>
  <c r="G46" i="10"/>
  <c r="H46" i="9"/>
  <c r="G45" i="10"/>
  <c r="H45" i="9"/>
  <c r="G44" i="10"/>
  <c r="H44" i="9"/>
  <c r="H43" i="9"/>
  <c r="G43" i="10"/>
  <c r="G42" i="10"/>
  <c r="H42" i="9"/>
  <c r="G41" i="10"/>
  <c r="H41" i="9"/>
  <c r="G40" i="10"/>
  <c r="H40" i="9"/>
  <c r="G39" i="10"/>
  <c r="H39" i="9"/>
  <c r="H38" i="9"/>
  <c r="G38" i="10"/>
  <c r="G36" i="10"/>
  <c r="H36" i="9"/>
  <c r="H35" i="9"/>
  <c r="G35" i="10"/>
  <c r="G34" i="10"/>
  <c r="H34" i="9"/>
  <c r="G33" i="10"/>
  <c r="H33" i="9"/>
  <c r="G32" i="10"/>
  <c r="H32" i="9"/>
  <c r="H31" i="9"/>
  <c r="G31" i="10"/>
  <c r="G30" i="10"/>
  <c r="H30" i="9"/>
  <c r="G29" i="10"/>
  <c r="H29" i="9"/>
  <c r="G28" i="10"/>
  <c r="H28" i="9"/>
  <c r="G27" i="10"/>
  <c r="H27" i="9"/>
  <c r="G26" i="10"/>
  <c r="H26" i="9"/>
  <c r="G23" i="10"/>
  <c r="H23" i="9"/>
  <c r="G25" i="10"/>
  <c r="H25" i="9"/>
  <c r="H24" i="9"/>
  <c r="G24" i="10"/>
  <c r="G22" i="10"/>
  <c r="H22" i="9"/>
  <c r="G21" i="10"/>
  <c r="H21" i="9"/>
  <c r="G20" i="10"/>
  <c r="H20" i="9"/>
  <c r="G19" i="10"/>
  <c r="H19" i="9"/>
  <c r="G18" i="10"/>
  <c r="H18" i="9"/>
  <c r="G17" i="10"/>
  <c r="H17" i="9"/>
  <c r="G16" i="10"/>
  <c r="H16" i="9"/>
  <c r="G15" i="10"/>
  <c r="H15" i="9"/>
  <c r="G14" i="10"/>
  <c r="H14" i="9"/>
  <c r="G13" i="10"/>
  <c r="H13" i="9"/>
  <c r="G12" i="10"/>
  <c r="H12" i="9"/>
  <c r="G11" i="10"/>
  <c r="H11" i="9"/>
  <c r="J10" i="25"/>
  <c r="K10" i="24"/>
  <c r="J137" i="10"/>
  <c r="J3" i="10" s="1"/>
  <c r="E10" i="14"/>
  <c r="E137" i="13"/>
  <c r="G10" i="10"/>
  <c r="H10" i="9"/>
  <c r="H134" i="11" l="1"/>
  <c r="G134" i="12"/>
  <c r="H117" i="13"/>
  <c r="G117" i="14"/>
  <c r="H125" i="11"/>
  <c r="G125" i="12"/>
  <c r="H124" i="11"/>
  <c r="G124" i="12"/>
  <c r="H129" i="11"/>
  <c r="G129" i="12"/>
  <c r="H119" i="12"/>
  <c r="G119" i="13"/>
  <c r="H127" i="11"/>
  <c r="G127" i="12"/>
  <c r="H123" i="12"/>
  <c r="G123" i="13"/>
  <c r="H131" i="12"/>
  <c r="G131" i="13"/>
  <c r="H122" i="11"/>
  <c r="G122" i="12"/>
  <c r="A18" i="5"/>
  <c r="A20" i="30"/>
  <c r="A20" i="27"/>
  <c r="A20" i="26"/>
  <c r="A20" i="25"/>
  <c r="A20" i="24"/>
  <c r="A20" i="29"/>
  <c r="A20" i="22"/>
  <c r="A20" i="23"/>
  <c r="A20" i="13"/>
  <c r="A20" i="11"/>
  <c r="A20" i="9"/>
  <c r="A20" i="28"/>
  <c r="A20" i="12"/>
  <c r="A20" i="10"/>
  <c r="A20" i="6"/>
  <c r="A20" i="7"/>
  <c r="A20" i="21"/>
  <c r="A20" i="14"/>
  <c r="A20" i="8"/>
  <c r="A21" i="4"/>
  <c r="H121" i="13"/>
  <c r="G121" i="14"/>
  <c r="H130" i="11"/>
  <c r="G130" i="12"/>
  <c r="H132" i="11"/>
  <c r="G132" i="12"/>
  <c r="H118" i="12"/>
  <c r="G118" i="13"/>
  <c r="H128" i="11"/>
  <c r="G128" i="12"/>
  <c r="H120" i="12"/>
  <c r="G120" i="13"/>
  <c r="H126" i="11"/>
  <c r="G126" i="12"/>
  <c r="H133" i="13"/>
  <c r="G133" i="14"/>
  <c r="H67" i="10"/>
  <c r="G67" i="11"/>
  <c r="H65" i="10"/>
  <c r="G65" i="11"/>
  <c r="H64" i="10"/>
  <c r="G64" i="11"/>
  <c r="H59" i="10"/>
  <c r="G59" i="11"/>
  <c r="H56" i="11"/>
  <c r="G56" i="12"/>
  <c r="H54" i="10"/>
  <c r="G54" i="11"/>
  <c r="H37" i="10"/>
  <c r="G37" i="11"/>
  <c r="G48" i="12"/>
  <c r="H48" i="11"/>
  <c r="H52" i="10"/>
  <c r="G52" i="11"/>
  <c r="H135" i="9"/>
  <c r="G135" i="10"/>
  <c r="H98" i="10"/>
  <c r="G98" i="11"/>
  <c r="H88" i="10"/>
  <c r="G88" i="11"/>
  <c r="H80" i="10"/>
  <c r="G80" i="11"/>
  <c r="H92" i="10"/>
  <c r="G92" i="11"/>
  <c r="H113" i="10"/>
  <c r="G113" i="11"/>
  <c r="H114" i="10"/>
  <c r="G114" i="11"/>
  <c r="H69" i="10"/>
  <c r="G69" i="11"/>
  <c r="H107" i="10"/>
  <c r="G107" i="11"/>
  <c r="H70" i="10"/>
  <c r="G70" i="11"/>
  <c r="H74" i="10"/>
  <c r="G74" i="11"/>
  <c r="H78" i="10"/>
  <c r="G78" i="11"/>
  <c r="H73" i="10"/>
  <c r="G73" i="11"/>
  <c r="H99" i="10"/>
  <c r="G99" i="11"/>
  <c r="H72" i="10"/>
  <c r="G72" i="11"/>
  <c r="H112" i="10"/>
  <c r="G112" i="11"/>
  <c r="H97" i="10"/>
  <c r="G97" i="11"/>
  <c r="H77" i="10"/>
  <c r="G77" i="11"/>
  <c r="H83" i="10"/>
  <c r="G83" i="11"/>
  <c r="H86" i="10"/>
  <c r="G86" i="11"/>
  <c r="H71" i="10"/>
  <c r="G71" i="11"/>
  <c r="H94" i="10"/>
  <c r="G94" i="11"/>
  <c r="H111" i="10"/>
  <c r="G111" i="11"/>
  <c r="H115" i="10"/>
  <c r="G115" i="11"/>
  <c r="H106" i="10"/>
  <c r="G106" i="11"/>
  <c r="H110" i="10"/>
  <c r="G110" i="11"/>
  <c r="H84" i="10"/>
  <c r="G84" i="11"/>
  <c r="H95" i="10"/>
  <c r="G95" i="11"/>
  <c r="H105" i="10"/>
  <c r="G105" i="11"/>
  <c r="H90" i="10"/>
  <c r="G90" i="11"/>
  <c r="H87" i="10"/>
  <c r="G87" i="11"/>
  <c r="H85" i="10"/>
  <c r="G85" i="11"/>
  <c r="H76" i="10"/>
  <c r="G76" i="11"/>
  <c r="H96" i="10"/>
  <c r="G96" i="11"/>
  <c r="H104" i="10"/>
  <c r="G104" i="11"/>
  <c r="H109" i="10"/>
  <c r="G109" i="11"/>
  <c r="H103" i="10"/>
  <c r="G103" i="11"/>
  <c r="H108" i="10"/>
  <c r="G108" i="11"/>
  <c r="H81" i="10"/>
  <c r="G81" i="11"/>
  <c r="H68" i="10"/>
  <c r="G68" i="11"/>
  <c r="H82" i="10"/>
  <c r="G82" i="11"/>
  <c r="H75" i="10"/>
  <c r="G75" i="11"/>
  <c r="H116" i="10"/>
  <c r="G116" i="11"/>
  <c r="H102" i="10"/>
  <c r="G102" i="11"/>
  <c r="H91" i="10"/>
  <c r="G91" i="11"/>
  <c r="H79" i="10"/>
  <c r="G79" i="11"/>
  <c r="H101" i="10"/>
  <c r="G101" i="11"/>
  <c r="H89" i="10"/>
  <c r="G89" i="11"/>
  <c r="H100" i="10"/>
  <c r="G100" i="11"/>
  <c r="H93" i="10"/>
  <c r="G93" i="11"/>
  <c r="H66" i="10"/>
  <c r="G66" i="11"/>
  <c r="H63" i="10"/>
  <c r="G63" i="11"/>
  <c r="G62" i="11"/>
  <c r="H62" i="10"/>
  <c r="H61" i="10"/>
  <c r="G61" i="11"/>
  <c r="H60" i="10"/>
  <c r="G60" i="11"/>
  <c r="G58" i="11"/>
  <c r="H58" i="10"/>
  <c r="H57" i="10"/>
  <c r="G57" i="11"/>
  <c r="H55" i="10"/>
  <c r="G55" i="11"/>
  <c r="H53" i="10"/>
  <c r="G53" i="11"/>
  <c r="H51" i="10"/>
  <c r="G51" i="11"/>
  <c r="H50" i="10"/>
  <c r="G50" i="11"/>
  <c r="H49" i="10"/>
  <c r="G49" i="11"/>
  <c r="H47" i="10"/>
  <c r="G47" i="11"/>
  <c r="H46" i="10"/>
  <c r="G46" i="11"/>
  <c r="H45" i="10"/>
  <c r="G45" i="11"/>
  <c r="H44" i="10"/>
  <c r="G44" i="11"/>
  <c r="H43" i="10"/>
  <c r="G43" i="11"/>
  <c r="H42" i="10"/>
  <c r="G42" i="11"/>
  <c r="H41" i="10"/>
  <c r="G41" i="11"/>
  <c r="H40" i="10"/>
  <c r="G40" i="11"/>
  <c r="H39" i="10"/>
  <c r="G39" i="11"/>
  <c r="H38" i="10"/>
  <c r="G38" i="11"/>
  <c r="H36" i="10"/>
  <c r="G36" i="11"/>
  <c r="H35" i="10"/>
  <c r="G35" i="11"/>
  <c r="H34" i="10"/>
  <c r="G34" i="11"/>
  <c r="H33" i="10"/>
  <c r="G33" i="11"/>
  <c r="H32" i="10"/>
  <c r="G32" i="11"/>
  <c r="H31" i="10"/>
  <c r="G31" i="11"/>
  <c r="H30" i="10"/>
  <c r="G30" i="11"/>
  <c r="H29" i="10"/>
  <c r="G29" i="11"/>
  <c r="H28" i="10"/>
  <c r="G28" i="11"/>
  <c r="H27" i="10"/>
  <c r="G27" i="11"/>
  <c r="H26" i="10"/>
  <c r="G26" i="11"/>
  <c r="H23" i="10"/>
  <c r="G23" i="11"/>
  <c r="H25" i="10"/>
  <c r="G25" i="11"/>
  <c r="H24" i="10"/>
  <c r="G24" i="11"/>
  <c r="H22" i="10"/>
  <c r="G22" i="11"/>
  <c r="H21" i="10"/>
  <c r="G21" i="11"/>
  <c r="H20" i="10"/>
  <c r="G20" i="11"/>
  <c r="H19" i="10"/>
  <c r="G19" i="11"/>
  <c r="H18" i="10"/>
  <c r="G18" i="11"/>
  <c r="H17" i="10"/>
  <c r="G17" i="11"/>
  <c r="H16" i="10"/>
  <c r="G16" i="11"/>
  <c r="H15" i="10"/>
  <c r="G15" i="11"/>
  <c r="H14" i="10"/>
  <c r="G14" i="11"/>
  <c r="H13" i="10"/>
  <c r="G13" i="11"/>
  <c r="H12" i="10"/>
  <c r="G12" i="11"/>
  <c r="H11" i="10"/>
  <c r="G11" i="11"/>
  <c r="H137" i="9"/>
  <c r="J4" i="9" s="1"/>
  <c r="G137" i="10"/>
  <c r="J7" i="10" s="1"/>
  <c r="K3" i="10" s="1"/>
  <c r="J137" i="11"/>
  <c r="J3" i="11" s="1"/>
  <c r="E10" i="21"/>
  <c r="E137" i="14"/>
  <c r="J10" i="26"/>
  <c r="K10" i="25"/>
  <c r="H10" i="10"/>
  <c r="G10" i="11"/>
  <c r="G134" i="13" l="1"/>
  <c r="H134" i="12"/>
  <c r="H117" i="14"/>
  <c r="G117" i="21"/>
  <c r="H121" i="14"/>
  <c r="G121" i="21"/>
  <c r="H127" i="12"/>
  <c r="G127" i="13"/>
  <c r="H119" i="13"/>
  <c r="G119" i="14"/>
  <c r="H120" i="13"/>
  <c r="G120" i="14"/>
  <c r="H129" i="12"/>
  <c r="G129" i="13"/>
  <c r="H128" i="12"/>
  <c r="G128" i="13"/>
  <c r="H131" i="13"/>
  <c r="G131" i="14"/>
  <c r="H130" i="12"/>
  <c r="G130" i="13"/>
  <c r="H133" i="14"/>
  <c r="G133" i="21"/>
  <c r="H126" i="12"/>
  <c r="G126" i="13"/>
  <c r="H118" i="13"/>
  <c r="G118" i="14"/>
  <c r="A19" i="5"/>
  <c r="A21" i="26"/>
  <c r="A21" i="27"/>
  <c r="A21" i="29"/>
  <c r="A21" i="25"/>
  <c r="A21" i="28"/>
  <c r="A21" i="23"/>
  <c r="A21" i="22"/>
  <c r="A21" i="30"/>
  <c r="A21" i="12"/>
  <c r="A21" i="11"/>
  <c r="A21" i="24"/>
  <c r="A21" i="8"/>
  <c r="A21" i="21"/>
  <c r="A21" i="6"/>
  <c r="A21" i="13"/>
  <c r="A21" i="14"/>
  <c r="A21" i="10"/>
  <c r="A21" i="7"/>
  <c r="A22" i="4"/>
  <c r="A21" i="9"/>
  <c r="H124" i="12"/>
  <c r="G124" i="13"/>
  <c r="H122" i="12"/>
  <c r="G122" i="13"/>
  <c r="H125" i="12"/>
  <c r="G125" i="13"/>
  <c r="H132" i="12"/>
  <c r="G132" i="13"/>
  <c r="H123" i="13"/>
  <c r="G123" i="14"/>
  <c r="H67" i="11"/>
  <c r="G67" i="12"/>
  <c r="H65" i="11"/>
  <c r="G65" i="12"/>
  <c r="H64" i="11"/>
  <c r="G64" i="12"/>
  <c r="H59" i="11"/>
  <c r="G59" i="12"/>
  <c r="H56" i="12"/>
  <c r="G56" i="13"/>
  <c r="H54" i="11"/>
  <c r="G54" i="12"/>
  <c r="H52" i="11"/>
  <c r="G52" i="12"/>
  <c r="H48" i="12"/>
  <c r="G48" i="13"/>
  <c r="G37" i="12"/>
  <c r="H37" i="11"/>
  <c r="H135" i="10"/>
  <c r="H137" i="10" s="1"/>
  <c r="J4" i="10" s="1"/>
  <c r="G135" i="11"/>
  <c r="G137" i="11" s="1"/>
  <c r="J7" i="11" s="1"/>
  <c r="K3" i="11" s="1"/>
  <c r="H116" i="11"/>
  <c r="G116" i="12"/>
  <c r="H81" i="11"/>
  <c r="G81" i="12"/>
  <c r="H87" i="11"/>
  <c r="G87" i="12"/>
  <c r="H111" i="11"/>
  <c r="G111" i="12"/>
  <c r="H72" i="11"/>
  <c r="G72" i="12"/>
  <c r="H92" i="11"/>
  <c r="G92" i="12"/>
  <c r="H91" i="11"/>
  <c r="G91" i="12"/>
  <c r="H103" i="11"/>
  <c r="G103" i="12"/>
  <c r="H76" i="11"/>
  <c r="G76" i="12"/>
  <c r="H84" i="11"/>
  <c r="G84" i="12"/>
  <c r="H71" i="11"/>
  <c r="G71" i="12"/>
  <c r="H74" i="11"/>
  <c r="G74" i="12"/>
  <c r="H93" i="11"/>
  <c r="G93" i="12"/>
  <c r="H89" i="11"/>
  <c r="G89" i="12"/>
  <c r="H79" i="11"/>
  <c r="G79" i="12"/>
  <c r="H102" i="11"/>
  <c r="G102" i="12"/>
  <c r="H75" i="11"/>
  <c r="G75" i="12"/>
  <c r="H68" i="11"/>
  <c r="G68" i="12"/>
  <c r="H108" i="11"/>
  <c r="G108" i="12"/>
  <c r="H109" i="11"/>
  <c r="G109" i="12"/>
  <c r="H96" i="11"/>
  <c r="G96" i="12"/>
  <c r="H85" i="11"/>
  <c r="G85" i="12"/>
  <c r="H90" i="11"/>
  <c r="G90" i="12"/>
  <c r="H95" i="11"/>
  <c r="G95" i="12"/>
  <c r="H110" i="11"/>
  <c r="G110" i="12"/>
  <c r="H115" i="11"/>
  <c r="G115" i="12"/>
  <c r="H94" i="11"/>
  <c r="G94" i="12"/>
  <c r="H86" i="11"/>
  <c r="G86" i="12"/>
  <c r="H77" i="11"/>
  <c r="G77" i="12"/>
  <c r="H112" i="11"/>
  <c r="G112" i="12"/>
  <c r="H99" i="11"/>
  <c r="G99" i="12"/>
  <c r="H78" i="11"/>
  <c r="G78" i="12"/>
  <c r="H70" i="11"/>
  <c r="G70" i="12"/>
  <c r="H69" i="11"/>
  <c r="G69" i="12"/>
  <c r="H113" i="11"/>
  <c r="G113" i="12"/>
  <c r="H80" i="11"/>
  <c r="G80" i="12"/>
  <c r="H98" i="11"/>
  <c r="G98" i="12"/>
  <c r="H100" i="11"/>
  <c r="G100" i="12"/>
  <c r="H101" i="11"/>
  <c r="G101" i="12"/>
  <c r="H82" i="11"/>
  <c r="G82" i="12"/>
  <c r="H104" i="11"/>
  <c r="G104" i="12"/>
  <c r="H105" i="11"/>
  <c r="G105" i="12"/>
  <c r="H106" i="11"/>
  <c r="G106" i="12"/>
  <c r="H83" i="11"/>
  <c r="G83" i="12"/>
  <c r="H97" i="11"/>
  <c r="G97" i="12"/>
  <c r="H73" i="11"/>
  <c r="G73" i="12"/>
  <c r="H107" i="11"/>
  <c r="G107" i="12"/>
  <c r="H114" i="11"/>
  <c r="G114" i="12"/>
  <c r="H88" i="11"/>
  <c r="G88" i="12"/>
  <c r="H66" i="11"/>
  <c r="G66" i="12"/>
  <c r="H63" i="11"/>
  <c r="G63" i="12"/>
  <c r="H62" i="11"/>
  <c r="G62" i="12"/>
  <c r="H61" i="11"/>
  <c r="G61" i="12"/>
  <c r="H60" i="11"/>
  <c r="G60" i="12"/>
  <c r="H58" i="11"/>
  <c r="G58" i="12"/>
  <c r="H57" i="11"/>
  <c r="G57" i="12"/>
  <c r="H55" i="11"/>
  <c r="G55" i="12"/>
  <c r="G53" i="12"/>
  <c r="H53" i="11"/>
  <c r="G51" i="12"/>
  <c r="H51" i="11"/>
  <c r="G50" i="12"/>
  <c r="H50" i="11"/>
  <c r="G49" i="12"/>
  <c r="H49" i="11"/>
  <c r="G47" i="12"/>
  <c r="H47" i="11"/>
  <c r="G46" i="12"/>
  <c r="H46" i="11"/>
  <c r="H45" i="11"/>
  <c r="G45" i="12"/>
  <c r="G44" i="12"/>
  <c r="H44" i="11"/>
  <c r="G43" i="12"/>
  <c r="H43" i="11"/>
  <c r="H42" i="11"/>
  <c r="G42" i="12"/>
  <c r="G41" i="12"/>
  <c r="H41" i="11"/>
  <c r="G40" i="12"/>
  <c r="H40" i="11"/>
  <c r="G39" i="12"/>
  <c r="H39" i="11"/>
  <c r="H38" i="11"/>
  <c r="G38" i="12"/>
  <c r="H36" i="11"/>
  <c r="G36" i="12"/>
  <c r="H35" i="11"/>
  <c r="G35" i="12"/>
  <c r="G34" i="12"/>
  <c r="H34" i="11"/>
  <c r="G33" i="12"/>
  <c r="H33" i="11"/>
  <c r="H32" i="11"/>
  <c r="G32" i="12"/>
  <c r="H31" i="11"/>
  <c r="G31" i="12"/>
  <c r="G30" i="12"/>
  <c r="H30" i="11"/>
  <c r="G29" i="12"/>
  <c r="H29" i="11"/>
  <c r="H28" i="11"/>
  <c r="G28" i="12"/>
  <c r="H27" i="11"/>
  <c r="G27" i="12"/>
  <c r="G26" i="12"/>
  <c r="H26" i="11"/>
  <c r="G23" i="12"/>
  <c r="H23" i="11"/>
  <c r="H25" i="11"/>
  <c r="G25" i="12"/>
  <c r="G24" i="12"/>
  <c r="H24" i="11"/>
  <c r="G22" i="12"/>
  <c r="H22" i="11"/>
  <c r="G21" i="12"/>
  <c r="H21" i="11"/>
  <c r="G20" i="12"/>
  <c r="H20" i="11"/>
  <c r="G19" i="12"/>
  <c r="H19" i="11"/>
  <c r="G18" i="12"/>
  <c r="H18" i="11"/>
  <c r="G17" i="12"/>
  <c r="H17" i="11"/>
  <c r="G16" i="12"/>
  <c r="H16" i="11"/>
  <c r="G15" i="12"/>
  <c r="H15" i="11"/>
  <c r="G14" i="12"/>
  <c r="H14" i="11"/>
  <c r="G13" i="12"/>
  <c r="H13" i="11"/>
  <c r="G12" i="12"/>
  <c r="H12" i="11"/>
  <c r="H11" i="11"/>
  <c r="G11" i="12"/>
  <c r="K10" i="26"/>
  <c r="J10" i="27"/>
  <c r="E137" i="21"/>
  <c r="E10" i="22"/>
  <c r="J137" i="12"/>
  <c r="J3" i="12" s="1"/>
  <c r="G10" i="12"/>
  <c r="H10" i="11"/>
  <c r="G134" i="14" l="1"/>
  <c r="H134" i="13"/>
  <c r="H122" i="13"/>
  <c r="G122" i="14"/>
  <c r="H121" i="21"/>
  <c r="G121" i="22"/>
  <c r="H131" i="14"/>
  <c r="G131" i="21"/>
  <c r="H123" i="14"/>
  <c r="G123" i="21"/>
  <c r="H129" i="13"/>
  <c r="G129" i="14"/>
  <c r="H132" i="13"/>
  <c r="G132" i="14"/>
  <c r="H120" i="14"/>
  <c r="G120" i="21"/>
  <c r="H126" i="13"/>
  <c r="G126" i="14"/>
  <c r="H133" i="21"/>
  <c r="G133" i="22"/>
  <c r="H127" i="13"/>
  <c r="G127" i="14"/>
  <c r="H130" i="13"/>
  <c r="G130" i="14"/>
  <c r="H117" i="21"/>
  <c r="G117" i="22"/>
  <c r="H128" i="13"/>
  <c r="G128" i="14"/>
  <c r="A20" i="5"/>
  <c r="A22" i="28"/>
  <c r="A22" i="26"/>
  <c r="A22" i="27"/>
  <c r="A22" i="24"/>
  <c r="A22" i="23"/>
  <c r="A22" i="14"/>
  <c r="A22" i="25"/>
  <c r="A22" i="12"/>
  <c r="A22" i="30"/>
  <c r="A22" i="22"/>
  <c r="A22" i="29"/>
  <c r="A22" i="10"/>
  <c r="A22" i="13"/>
  <c r="A22" i="8"/>
  <c r="A22" i="9"/>
  <c r="A22" i="7"/>
  <c r="A22" i="11"/>
  <c r="A23" i="4"/>
  <c r="A22" i="6"/>
  <c r="A22" i="21"/>
  <c r="H118" i="14"/>
  <c r="G118" i="21"/>
  <c r="H125" i="13"/>
  <c r="G125" i="14"/>
  <c r="H119" i="14"/>
  <c r="G119" i="21"/>
  <c r="H124" i="13"/>
  <c r="G124" i="14"/>
  <c r="H67" i="12"/>
  <c r="G67" i="13"/>
  <c r="H65" i="12"/>
  <c r="G65" i="13"/>
  <c r="H64" i="12"/>
  <c r="G64" i="13"/>
  <c r="H59" i="12"/>
  <c r="G59" i="13"/>
  <c r="G56" i="14"/>
  <c r="H56" i="13"/>
  <c r="H54" i="12"/>
  <c r="G54" i="13"/>
  <c r="H52" i="12"/>
  <c r="G52" i="13"/>
  <c r="H37" i="12"/>
  <c r="G37" i="13"/>
  <c r="H48" i="13"/>
  <c r="G48" i="14"/>
  <c r="H135" i="11"/>
  <c r="G135" i="12"/>
  <c r="G137" i="12" s="1"/>
  <c r="J7" i="12" s="1"/>
  <c r="K3" i="12" s="1"/>
  <c r="H73" i="12"/>
  <c r="G73" i="13"/>
  <c r="H100" i="12"/>
  <c r="G100" i="13"/>
  <c r="H78" i="12"/>
  <c r="G78" i="13"/>
  <c r="H86" i="12"/>
  <c r="G86" i="13"/>
  <c r="H68" i="12"/>
  <c r="G68" i="13"/>
  <c r="H111" i="12"/>
  <c r="G111" i="13"/>
  <c r="H114" i="12"/>
  <c r="G114" i="13"/>
  <c r="H105" i="12"/>
  <c r="G105" i="13"/>
  <c r="H69" i="12"/>
  <c r="G69" i="13"/>
  <c r="H95" i="12"/>
  <c r="G95" i="13"/>
  <c r="H88" i="12"/>
  <c r="G88" i="13"/>
  <c r="H107" i="12"/>
  <c r="G107" i="13"/>
  <c r="H97" i="12"/>
  <c r="G97" i="13"/>
  <c r="H106" i="12"/>
  <c r="G106" i="13"/>
  <c r="H104" i="12"/>
  <c r="G104" i="13"/>
  <c r="H101" i="12"/>
  <c r="G101" i="13"/>
  <c r="H98" i="12"/>
  <c r="G98" i="13"/>
  <c r="H113" i="12"/>
  <c r="G113" i="13"/>
  <c r="H70" i="12"/>
  <c r="G70" i="13"/>
  <c r="H99" i="12"/>
  <c r="G99" i="13"/>
  <c r="H77" i="12"/>
  <c r="G77" i="13"/>
  <c r="H94" i="12"/>
  <c r="G94" i="13"/>
  <c r="H110" i="12"/>
  <c r="G110" i="13"/>
  <c r="H90" i="12"/>
  <c r="G90" i="13"/>
  <c r="H96" i="12"/>
  <c r="G96" i="13"/>
  <c r="H108" i="12"/>
  <c r="G108" i="13"/>
  <c r="H75" i="12"/>
  <c r="G75" i="13"/>
  <c r="H79" i="12"/>
  <c r="G79" i="13"/>
  <c r="H93" i="12"/>
  <c r="G93" i="13"/>
  <c r="H71" i="12"/>
  <c r="G71" i="13"/>
  <c r="H76" i="12"/>
  <c r="G76" i="13"/>
  <c r="H91" i="12"/>
  <c r="G91" i="13"/>
  <c r="H72" i="12"/>
  <c r="G72" i="13"/>
  <c r="H87" i="12"/>
  <c r="G87" i="13"/>
  <c r="H116" i="12"/>
  <c r="G116" i="13"/>
  <c r="H83" i="12"/>
  <c r="G83" i="13"/>
  <c r="H82" i="12"/>
  <c r="G82" i="13"/>
  <c r="H80" i="12"/>
  <c r="G80" i="13"/>
  <c r="H112" i="12"/>
  <c r="G112" i="13"/>
  <c r="H115" i="12"/>
  <c r="G115" i="13"/>
  <c r="H85" i="12"/>
  <c r="G85" i="13"/>
  <c r="H109" i="12"/>
  <c r="G109" i="13"/>
  <c r="H102" i="12"/>
  <c r="G102" i="13"/>
  <c r="H89" i="12"/>
  <c r="G89" i="13"/>
  <c r="H74" i="12"/>
  <c r="G74" i="13"/>
  <c r="H84" i="12"/>
  <c r="G84" i="13"/>
  <c r="H103" i="12"/>
  <c r="G103" i="13"/>
  <c r="H92" i="12"/>
  <c r="G92" i="13"/>
  <c r="H81" i="12"/>
  <c r="G81" i="13"/>
  <c r="H66" i="12"/>
  <c r="G66" i="13"/>
  <c r="H63" i="12"/>
  <c r="G63" i="13"/>
  <c r="H62" i="12"/>
  <c r="G62" i="13"/>
  <c r="H61" i="12"/>
  <c r="G61" i="13"/>
  <c r="H60" i="12"/>
  <c r="G60" i="13"/>
  <c r="H58" i="12"/>
  <c r="G58" i="13"/>
  <c r="H57" i="12"/>
  <c r="G57" i="13"/>
  <c r="H55" i="12"/>
  <c r="G55" i="13"/>
  <c r="H53" i="12"/>
  <c r="G53" i="13"/>
  <c r="H51" i="12"/>
  <c r="G51" i="13"/>
  <c r="H50" i="12"/>
  <c r="G50" i="13"/>
  <c r="H49" i="12"/>
  <c r="G49" i="13"/>
  <c r="H47" i="12"/>
  <c r="G47" i="13"/>
  <c r="H46" i="12"/>
  <c r="G46" i="13"/>
  <c r="H45" i="12"/>
  <c r="G45" i="13"/>
  <c r="H44" i="12"/>
  <c r="G44" i="13"/>
  <c r="H43" i="12"/>
  <c r="G43" i="13"/>
  <c r="H42" i="12"/>
  <c r="G42" i="13"/>
  <c r="H41" i="12"/>
  <c r="G41" i="13"/>
  <c r="H40" i="12"/>
  <c r="G40" i="13"/>
  <c r="H39" i="12"/>
  <c r="G39" i="13"/>
  <c r="H38" i="12"/>
  <c r="G38" i="13"/>
  <c r="H36" i="12"/>
  <c r="G36" i="13"/>
  <c r="H35" i="12"/>
  <c r="G35" i="13"/>
  <c r="H34" i="12"/>
  <c r="G34" i="13"/>
  <c r="H33" i="12"/>
  <c r="G33" i="13"/>
  <c r="H32" i="12"/>
  <c r="G32" i="13"/>
  <c r="H31" i="12"/>
  <c r="G31" i="13"/>
  <c r="H30" i="12"/>
  <c r="G30" i="13"/>
  <c r="H29" i="12"/>
  <c r="G29" i="13"/>
  <c r="H28" i="12"/>
  <c r="G28" i="13"/>
  <c r="H27" i="12"/>
  <c r="G27" i="13"/>
  <c r="H26" i="12"/>
  <c r="G26" i="13"/>
  <c r="H23" i="12"/>
  <c r="G23" i="13"/>
  <c r="H25" i="12"/>
  <c r="G25" i="13"/>
  <c r="H24" i="12"/>
  <c r="G24" i="13"/>
  <c r="H22" i="12"/>
  <c r="G22" i="13"/>
  <c r="H21" i="12"/>
  <c r="G21" i="13"/>
  <c r="H20" i="12"/>
  <c r="G20" i="13"/>
  <c r="H19" i="12"/>
  <c r="G19" i="13"/>
  <c r="H18" i="12"/>
  <c r="G18" i="13"/>
  <c r="H17" i="12"/>
  <c r="G17" i="13"/>
  <c r="H16" i="12"/>
  <c r="G16" i="13"/>
  <c r="H15" i="12"/>
  <c r="G15" i="13"/>
  <c r="H14" i="12"/>
  <c r="G14" i="13"/>
  <c r="H13" i="12"/>
  <c r="G13" i="13"/>
  <c r="H12" i="12"/>
  <c r="G12" i="13"/>
  <c r="H11" i="12"/>
  <c r="G11" i="13"/>
  <c r="H137" i="11"/>
  <c r="J4" i="11" s="1"/>
  <c r="K10" i="27"/>
  <c r="J10" i="28"/>
  <c r="J137" i="13"/>
  <c r="J3" i="13" s="1"/>
  <c r="E137" i="22"/>
  <c r="E10" i="23"/>
  <c r="G10" i="13"/>
  <c r="H10" i="12"/>
  <c r="H134" i="14" l="1"/>
  <c r="G134" i="21"/>
  <c r="A21" i="5"/>
  <c r="A23" i="30"/>
  <c r="A23" i="26"/>
  <c r="A23" i="24"/>
  <c r="A23" i="25"/>
  <c r="A23" i="23"/>
  <c r="A23" i="29"/>
  <c r="A23" i="22"/>
  <c r="A23" i="13"/>
  <c r="A23" i="27"/>
  <c r="A23" i="28"/>
  <c r="A23" i="12"/>
  <c r="A23" i="9"/>
  <c r="A23" i="7"/>
  <c r="A23" i="21"/>
  <c r="A23" i="10"/>
  <c r="A23" i="14"/>
  <c r="A24" i="4"/>
  <c r="A23" i="6"/>
  <c r="A23" i="8"/>
  <c r="A23" i="11"/>
  <c r="H124" i="14"/>
  <c r="G124" i="21"/>
  <c r="H120" i="21"/>
  <c r="G120" i="22"/>
  <c r="H119" i="21"/>
  <c r="G119" i="22"/>
  <c r="H125" i="14"/>
  <c r="G125" i="21"/>
  <c r="H117" i="22"/>
  <c r="G117" i="23"/>
  <c r="H118" i="21"/>
  <c r="G118" i="22"/>
  <c r="H123" i="21"/>
  <c r="G123" i="22"/>
  <c r="H127" i="14"/>
  <c r="G127" i="21"/>
  <c r="H131" i="21"/>
  <c r="G131" i="22"/>
  <c r="H128" i="14"/>
  <c r="G128" i="21"/>
  <c r="H132" i="14"/>
  <c r="G132" i="21"/>
  <c r="H129" i="14"/>
  <c r="G129" i="21"/>
  <c r="H130" i="14"/>
  <c r="G130" i="21"/>
  <c r="H133" i="22"/>
  <c r="G133" i="23"/>
  <c r="H121" i="22"/>
  <c r="G121" i="23"/>
  <c r="H126" i="14"/>
  <c r="G126" i="21"/>
  <c r="H122" i="14"/>
  <c r="G122" i="21"/>
  <c r="H67" i="13"/>
  <c r="G67" i="14"/>
  <c r="H65" i="13"/>
  <c r="G65" i="14"/>
  <c r="H64" i="13"/>
  <c r="G64" i="14"/>
  <c r="H59" i="13"/>
  <c r="G59" i="14"/>
  <c r="H56" i="14"/>
  <c r="G56" i="21"/>
  <c r="H54" i="13"/>
  <c r="G54" i="14"/>
  <c r="G52" i="14"/>
  <c r="H52" i="13"/>
  <c r="H48" i="14"/>
  <c r="G48" i="21"/>
  <c r="H37" i="13"/>
  <c r="G37" i="14"/>
  <c r="H135" i="12"/>
  <c r="G135" i="13"/>
  <c r="G137" i="13" s="1"/>
  <c r="J7" i="13" s="1"/>
  <c r="K3" i="13" s="1"/>
  <c r="H84" i="13"/>
  <c r="G84" i="14"/>
  <c r="H80" i="13"/>
  <c r="G80" i="14"/>
  <c r="H71" i="13"/>
  <c r="G71" i="14"/>
  <c r="H94" i="13"/>
  <c r="G94" i="14"/>
  <c r="H106" i="13"/>
  <c r="G106" i="14"/>
  <c r="H105" i="13"/>
  <c r="G105" i="14"/>
  <c r="H100" i="13"/>
  <c r="G100" i="14"/>
  <c r="H89" i="13"/>
  <c r="G89" i="14"/>
  <c r="H115" i="13"/>
  <c r="G115" i="14"/>
  <c r="H87" i="13"/>
  <c r="G87" i="14"/>
  <c r="H79" i="13"/>
  <c r="G79" i="14"/>
  <c r="H90" i="13"/>
  <c r="G90" i="14"/>
  <c r="H101" i="13"/>
  <c r="G101" i="14"/>
  <c r="H95" i="13"/>
  <c r="G95" i="14"/>
  <c r="H111" i="13"/>
  <c r="G111" i="14"/>
  <c r="H81" i="13"/>
  <c r="G81" i="14"/>
  <c r="H103" i="13"/>
  <c r="G103" i="14"/>
  <c r="H74" i="13"/>
  <c r="G74" i="14"/>
  <c r="H102" i="13"/>
  <c r="G102" i="14"/>
  <c r="H85" i="13"/>
  <c r="G85" i="14"/>
  <c r="H112" i="13"/>
  <c r="G112" i="14"/>
  <c r="H82" i="13"/>
  <c r="G82" i="14"/>
  <c r="H116" i="13"/>
  <c r="G116" i="14"/>
  <c r="G72" i="14"/>
  <c r="H72" i="13"/>
  <c r="H76" i="13"/>
  <c r="G76" i="14"/>
  <c r="H93" i="13"/>
  <c r="G93" i="14"/>
  <c r="H75" i="13"/>
  <c r="G75" i="14"/>
  <c r="H96" i="13"/>
  <c r="G96" i="14"/>
  <c r="H110" i="13"/>
  <c r="G110" i="14"/>
  <c r="H77" i="13"/>
  <c r="G77" i="14"/>
  <c r="G70" i="14"/>
  <c r="H70" i="13"/>
  <c r="H98" i="13"/>
  <c r="G98" i="14"/>
  <c r="H104" i="13"/>
  <c r="G104" i="14"/>
  <c r="H97" i="13"/>
  <c r="G97" i="14"/>
  <c r="H88" i="13"/>
  <c r="G88" i="14"/>
  <c r="H69" i="13"/>
  <c r="G69" i="14"/>
  <c r="H114" i="13"/>
  <c r="G114" i="14"/>
  <c r="H68" i="13"/>
  <c r="G68" i="14"/>
  <c r="H78" i="13"/>
  <c r="G78" i="14"/>
  <c r="H73" i="13"/>
  <c r="G73" i="14"/>
  <c r="H92" i="13"/>
  <c r="G92" i="14"/>
  <c r="H109" i="13"/>
  <c r="G109" i="14"/>
  <c r="H83" i="13"/>
  <c r="G83" i="14"/>
  <c r="H91" i="13"/>
  <c r="G91" i="14"/>
  <c r="H108" i="13"/>
  <c r="G108" i="14"/>
  <c r="H99" i="13"/>
  <c r="G99" i="14"/>
  <c r="H113" i="13"/>
  <c r="G113" i="14"/>
  <c r="H107" i="13"/>
  <c r="G107" i="14"/>
  <c r="H86" i="13"/>
  <c r="G86" i="14"/>
  <c r="G66" i="14"/>
  <c r="H66" i="13"/>
  <c r="H63" i="13"/>
  <c r="G63" i="14"/>
  <c r="H62" i="13"/>
  <c r="G62" i="14"/>
  <c r="H61" i="13"/>
  <c r="G61" i="14"/>
  <c r="H60" i="13"/>
  <c r="G60" i="14"/>
  <c r="G58" i="14"/>
  <c r="H58" i="13"/>
  <c r="H57" i="13"/>
  <c r="G57" i="14"/>
  <c r="H55" i="13"/>
  <c r="G55" i="14"/>
  <c r="H53" i="13"/>
  <c r="G53" i="14"/>
  <c r="H51" i="13"/>
  <c r="G51" i="14"/>
  <c r="H50" i="13"/>
  <c r="G50" i="14"/>
  <c r="H49" i="13"/>
  <c r="G49" i="14"/>
  <c r="H47" i="13"/>
  <c r="G47" i="14"/>
  <c r="H46" i="13"/>
  <c r="G46" i="14"/>
  <c r="H45" i="13"/>
  <c r="G45" i="14"/>
  <c r="H44" i="13"/>
  <c r="G44" i="14"/>
  <c r="H43" i="13"/>
  <c r="G43" i="14"/>
  <c r="H42" i="13"/>
  <c r="G42" i="14"/>
  <c r="H41" i="13"/>
  <c r="G41" i="14"/>
  <c r="H40" i="13"/>
  <c r="G40" i="14"/>
  <c r="H39" i="13"/>
  <c r="G39" i="14"/>
  <c r="H38" i="13"/>
  <c r="G38" i="14"/>
  <c r="H36" i="13"/>
  <c r="G36" i="14"/>
  <c r="H35" i="13"/>
  <c r="G35" i="14"/>
  <c r="H34" i="13"/>
  <c r="G34" i="14"/>
  <c r="H33" i="13"/>
  <c r="G33" i="14"/>
  <c r="H32" i="13"/>
  <c r="G32" i="14"/>
  <c r="H31" i="13"/>
  <c r="G31" i="14"/>
  <c r="H30" i="13"/>
  <c r="G30" i="14"/>
  <c r="H29" i="13"/>
  <c r="G29" i="14"/>
  <c r="H28" i="13"/>
  <c r="G28" i="14"/>
  <c r="H27" i="13"/>
  <c r="G27" i="14"/>
  <c r="H26" i="13"/>
  <c r="G26" i="14"/>
  <c r="H23" i="13"/>
  <c r="G23" i="14"/>
  <c r="H25" i="13"/>
  <c r="G25" i="14"/>
  <c r="H24" i="13"/>
  <c r="G24" i="14"/>
  <c r="H22" i="13"/>
  <c r="G22" i="14"/>
  <c r="H21" i="13"/>
  <c r="G21" i="14"/>
  <c r="H20" i="13"/>
  <c r="G20" i="14"/>
  <c r="H19" i="13"/>
  <c r="G19" i="14"/>
  <c r="H18" i="13"/>
  <c r="G18" i="14"/>
  <c r="H17" i="13"/>
  <c r="G17" i="14"/>
  <c r="H16" i="13"/>
  <c r="G16" i="14"/>
  <c r="H15" i="13"/>
  <c r="G15" i="14"/>
  <c r="H14" i="13"/>
  <c r="G14" i="14"/>
  <c r="H13" i="13"/>
  <c r="G13" i="14"/>
  <c r="H12" i="13"/>
  <c r="G12" i="14"/>
  <c r="H11" i="13"/>
  <c r="G11" i="14"/>
  <c r="H137" i="12"/>
  <c r="J4" i="12" s="1"/>
  <c r="E137" i="23"/>
  <c r="E10" i="24"/>
  <c r="J10" i="29"/>
  <c r="K10" i="28"/>
  <c r="J137" i="14"/>
  <c r="J3" i="14" s="1"/>
  <c r="G10" i="14"/>
  <c r="H10" i="13"/>
  <c r="H134" i="21" l="1"/>
  <c r="G134" i="22"/>
  <c r="H131" i="22"/>
  <c r="G131" i="23"/>
  <c r="H120" i="22"/>
  <c r="G120" i="23"/>
  <c r="H123" i="22"/>
  <c r="G123" i="23"/>
  <c r="H130" i="21"/>
  <c r="G130" i="22"/>
  <c r="H118" i="22"/>
  <c r="G118" i="23"/>
  <c r="H119" i="22"/>
  <c r="G119" i="23"/>
  <c r="H124" i="21"/>
  <c r="G124" i="22"/>
  <c r="H126" i="21"/>
  <c r="G126" i="22"/>
  <c r="H121" i="23"/>
  <c r="G121" i="24"/>
  <c r="H127" i="21"/>
  <c r="G127" i="22"/>
  <c r="H133" i="23"/>
  <c r="G133" i="24"/>
  <c r="H129" i="21"/>
  <c r="G129" i="22"/>
  <c r="H117" i="23"/>
  <c r="G117" i="24"/>
  <c r="H132" i="21"/>
  <c r="G132" i="22"/>
  <c r="H125" i="21"/>
  <c r="G125" i="22"/>
  <c r="H122" i="21"/>
  <c r="G122" i="22"/>
  <c r="H128" i="21"/>
  <c r="G128" i="22"/>
  <c r="A22" i="5"/>
  <c r="A24" i="29"/>
  <c r="A24" i="27"/>
  <c r="A24" i="28"/>
  <c r="A24" i="23"/>
  <c r="A24" i="30"/>
  <c r="A24" i="22"/>
  <c r="A24" i="26"/>
  <c r="A24" i="21"/>
  <c r="A24" i="14"/>
  <c r="A24" i="12"/>
  <c r="A24" i="11"/>
  <c r="A24" i="25"/>
  <c r="A24" i="24"/>
  <c r="A24" i="10"/>
  <c r="A25" i="4"/>
  <c r="A24" i="13"/>
  <c r="A24" i="6"/>
  <c r="A24" i="7"/>
  <c r="A24" i="8"/>
  <c r="A24" i="9"/>
  <c r="H67" i="14"/>
  <c r="G67" i="21"/>
  <c r="H65" i="14"/>
  <c r="G65" i="21"/>
  <c r="G64" i="21"/>
  <c r="H64" i="14"/>
  <c r="H59" i="14"/>
  <c r="G59" i="21"/>
  <c r="G56" i="22"/>
  <c r="H56" i="21"/>
  <c r="G54" i="21"/>
  <c r="H54" i="14"/>
  <c r="G52" i="21"/>
  <c r="H52" i="14"/>
  <c r="H37" i="14"/>
  <c r="G37" i="21"/>
  <c r="H48" i="21"/>
  <c r="G48" i="22"/>
  <c r="H135" i="13"/>
  <c r="G135" i="14"/>
  <c r="G137" i="14" s="1"/>
  <c r="J7" i="14" s="1"/>
  <c r="K3" i="14" s="1"/>
  <c r="H107" i="14"/>
  <c r="G107" i="21"/>
  <c r="H109" i="14"/>
  <c r="G109" i="21"/>
  <c r="H68" i="14"/>
  <c r="G68" i="21"/>
  <c r="H97" i="14"/>
  <c r="G97" i="21"/>
  <c r="H77" i="14"/>
  <c r="G77" i="21"/>
  <c r="H93" i="14"/>
  <c r="G93" i="21"/>
  <c r="H82" i="14"/>
  <c r="G82" i="21"/>
  <c r="H95" i="14"/>
  <c r="G95" i="21"/>
  <c r="H72" i="14"/>
  <c r="G72" i="21"/>
  <c r="H99" i="14"/>
  <c r="G99" i="21"/>
  <c r="H73" i="14"/>
  <c r="G73" i="21"/>
  <c r="H69" i="14"/>
  <c r="G69" i="21"/>
  <c r="H98" i="14"/>
  <c r="G98" i="21"/>
  <c r="H96" i="14"/>
  <c r="G96" i="21"/>
  <c r="H85" i="14"/>
  <c r="G85" i="21"/>
  <c r="H74" i="14"/>
  <c r="G74" i="21"/>
  <c r="H81" i="14"/>
  <c r="G81" i="21"/>
  <c r="H90" i="14"/>
  <c r="G90" i="21"/>
  <c r="H87" i="14"/>
  <c r="G87" i="21"/>
  <c r="H89" i="14"/>
  <c r="G89" i="21"/>
  <c r="H105" i="14"/>
  <c r="G105" i="21"/>
  <c r="H94" i="14"/>
  <c r="G94" i="21"/>
  <c r="H80" i="14"/>
  <c r="G80" i="21"/>
  <c r="H86" i="14"/>
  <c r="G86" i="21"/>
  <c r="H113" i="14"/>
  <c r="G113" i="21"/>
  <c r="H108" i="14"/>
  <c r="G108" i="21"/>
  <c r="H83" i="14"/>
  <c r="G83" i="21"/>
  <c r="H92" i="14"/>
  <c r="G92" i="21"/>
  <c r="H78" i="14"/>
  <c r="G78" i="21"/>
  <c r="H114" i="14"/>
  <c r="G114" i="21"/>
  <c r="H88" i="14"/>
  <c r="G88" i="21"/>
  <c r="H104" i="14"/>
  <c r="G104" i="21"/>
  <c r="H110" i="14"/>
  <c r="G110" i="21"/>
  <c r="H75" i="14"/>
  <c r="G75" i="21"/>
  <c r="H76" i="14"/>
  <c r="G76" i="21"/>
  <c r="H116" i="14"/>
  <c r="G116" i="21"/>
  <c r="H112" i="14"/>
  <c r="G112" i="21"/>
  <c r="H102" i="14"/>
  <c r="G102" i="21"/>
  <c r="H103" i="14"/>
  <c r="G103" i="21"/>
  <c r="H111" i="14"/>
  <c r="G111" i="21"/>
  <c r="H101" i="14"/>
  <c r="G101" i="21"/>
  <c r="H79" i="14"/>
  <c r="G79" i="21"/>
  <c r="H115" i="14"/>
  <c r="G115" i="21"/>
  <c r="H100" i="14"/>
  <c r="G100" i="21"/>
  <c r="H106" i="14"/>
  <c r="G106" i="21"/>
  <c r="H71" i="14"/>
  <c r="G71" i="21"/>
  <c r="H84" i="14"/>
  <c r="G84" i="21"/>
  <c r="H91" i="14"/>
  <c r="G91" i="21"/>
  <c r="H70" i="14"/>
  <c r="G70" i="21"/>
  <c r="H66" i="14"/>
  <c r="G66" i="21"/>
  <c r="H63" i="14"/>
  <c r="G63" i="21"/>
  <c r="G62" i="21"/>
  <c r="H62" i="14"/>
  <c r="H61" i="14"/>
  <c r="G61" i="21"/>
  <c r="G60" i="21"/>
  <c r="H60" i="14"/>
  <c r="H58" i="14"/>
  <c r="G58" i="21"/>
  <c r="H57" i="14"/>
  <c r="G57" i="21"/>
  <c r="H55" i="14"/>
  <c r="G55" i="21"/>
  <c r="H53" i="14"/>
  <c r="G53" i="21"/>
  <c r="H51" i="14"/>
  <c r="G51" i="21"/>
  <c r="H50" i="14"/>
  <c r="G50" i="21"/>
  <c r="H49" i="14"/>
  <c r="G49" i="21"/>
  <c r="H47" i="14"/>
  <c r="G47" i="21"/>
  <c r="H46" i="14"/>
  <c r="G46" i="21"/>
  <c r="H45" i="14"/>
  <c r="G45" i="21"/>
  <c r="H44" i="14"/>
  <c r="G44" i="21"/>
  <c r="H43" i="14"/>
  <c r="G43" i="21"/>
  <c r="H42" i="14"/>
  <c r="G42" i="21"/>
  <c r="H41" i="14"/>
  <c r="G41" i="21"/>
  <c r="H40" i="14"/>
  <c r="G40" i="21"/>
  <c r="H39" i="14"/>
  <c r="G39" i="21"/>
  <c r="H38" i="14"/>
  <c r="G38" i="21"/>
  <c r="H36" i="14"/>
  <c r="G36" i="21"/>
  <c r="H35" i="14"/>
  <c r="G35" i="21"/>
  <c r="H34" i="14"/>
  <c r="G34" i="21"/>
  <c r="H33" i="14"/>
  <c r="G33" i="21"/>
  <c r="H32" i="14"/>
  <c r="G32" i="21"/>
  <c r="H31" i="14"/>
  <c r="G31" i="21"/>
  <c r="H30" i="14"/>
  <c r="G30" i="21"/>
  <c r="H29" i="14"/>
  <c r="G29" i="21"/>
  <c r="H28" i="14"/>
  <c r="G28" i="21"/>
  <c r="H27" i="14"/>
  <c r="G27" i="21"/>
  <c r="H26" i="14"/>
  <c r="G26" i="21"/>
  <c r="H23" i="14"/>
  <c r="G23" i="21"/>
  <c r="H25" i="14"/>
  <c r="G25" i="21"/>
  <c r="H24" i="14"/>
  <c r="G24" i="21"/>
  <c r="H22" i="14"/>
  <c r="G22" i="21"/>
  <c r="H21" i="14"/>
  <c r="G21" i="21"/>
  <c r="H20" i="14"/>
  <c r="G20" i="21"/>
  <c r="H19" i="14"/>
  <c r="G19" i="21"/>
  <c r="H18" i="14"/>
  <c r="G18" i="21"/>
  <c r="H17" i="14"/>
  <c r="G17" i="21"/>
  <c r="H16" i="14"/>
  <c r="G16" i="21"/>
  <c r="H15" i="14"/>
  <c r="G15" i="21"/>
  <c r="H14" i="14"/>
  <c r="G14" i="21"/>
  <c r="H13" i="14"/>
  <c r="G13" i="21"/>
  <c r="H12" i="14"/>
  <c r="G12" i="21"/>
  <c r="H11" i="14"/>
  <c r="G11" i="21"/>
  <c r="H137" i="13"/>
  <c r="J4" i="13" s="1"/>
  <c r="J137" i="21"/>
  <c r="J3" i="21" s="1"/>
  <c r="J10" i="30"/>
  <c r="K10" i="29"/>
  <c r="E137" i="24"/>
  <c r="E10" i="25"/>
  <c r="G10" i="21"/>
  <c r="H10" i="14"/>
  <c r="H134" i="22" l="1"/>
  <c r="G134" i="23"/>
  <c r="H125" i="22"/>
  <c r="G125" i="23"/>
  <c r="H132" i="22"/>
  <c r="G132" i="23"/>
  <c r="H124" i="22"/>
  <c r="G124" i="23"/>
  <c r="H131" i="23"/>
  <c r="G131" i="24"/>
  <c r="G117" i="25"/>
  <c r="H117" i="24"/>
  <c r="H133" i="24"/>
  <c r="G133" i="25"/>
  <c r="H119" i="23"/>
  <c r="G119" i="24"/>
  <c r="H129" i="22"/>
  <c r="G129" i="23"/>
  <c r="H118" i="23"/>
  <c r="G118" i="24"/>
  <c r="H130" i="22"/>
  <c r="G130" i="23"/>
  <c r="H128" i="22"/>
  <c r="G128" i="23"/>
  <c r="H127" i="22"/>
  <c r="G127" i="23"/>
  <c r="H123" i="23"/>
  <c r="G123" i="24"/>
  <c r="H126" i="22"/>
  <c r="G126" i="23"/>
  <c r="A23" i="5"/>
  <c r="A25" i="28"/>
  <c r="A25" i="27"/>
  <c r="A25" i="26"/>
  <c r="A25" i="30"/>
  <c r="A25" i="24"/>
  <c r="A25" i="25"/>
  <c r="A25" i="23"/>
  <c r="A25" i="29"/>
  <c r="A25" i="21"/>
  <c r="A25" i="10"/>
  <c r="A25" i="22"/>
  <c r="A25" i="8"/>
  <c r="A25" i="13"/>
  <c r="A25" i="11"/>
  <c r="A25" i="14"/>
  <c r="A25" i="6"/>
  <c r="A26" i="4"/>
  <c r="A25" i="7"/>
  <c r="A25" i="9"/>
  <c r="A25" i="12"/>
  <c r="H122" i="22"/>
  <c r="G122" i="23"/>
  <c r="G121" i="25"/>
  <c r="H121" i="24"/>
  <c r="H120" i="23"/>
  <c r="G120" i="24"/>
  <c r="H67" i="21"/>
  <c r="G67" i="22"/>
  <c r="H65" i="21"/>
  <c r="G65" i="22"/>
  <c r="H64" i="21"/>
  <c r="G64" i="22"/>
  <c r="H59" i="21"/>
  <c r="G59" i="22"/>
  <c r="H56" i="22"/>
  <c r="G56" i="23"/>
  <c r="G54" i="22"/>
  <c r="H54" i="21"/>
  <c r="G52" i="22"/>
  <c r="H52" i="21"/>
  <c r="G48" i="23"/>
  <c r="H48" i="22"/>
  <c r="H37" i="21"/>
  <c r="G37" i="22"/>
  <c r="H135" i="14"/>
  <c r="G135" i="21"/>
  <c r="G137" i="21" s="1"/>
  <c r="J7" i="21" s="1"/>
  <c r="K3" i="21" s="1"/>
  <c r="H71" i="21"/>
  <c r="G71" i="22"/>
  <c r="H102" i="21"/>
  <c r="G102" i="22"/>
  <c r="H104" i="21"/>
  <c r="G104" i="22"/>
  <c r="H108" i="21"/>
  <c r="G108" i="22"/>
  <c r="H90" i="21"/>
  <c r="G90" i="22"/>
  <c r="H69" i="21"/>
  <c r="G69" i="22"/>
  <c r="H99" i="21"/>
  <c r="G99" i="22"/>
  <c r="H93" i="21"/>
  <c r="G93" i="22"/>
  <c r="H109" i="21"/>
  <c r="G109" i="22"/>
  <c r="H91" i="21"/>
  <c r="G91" i="22"/>
  <c r="H79" i="21"/>
  <c r="G79" i="22"/>
  <c r="H116" i="21"/>
  <c r="G116" i="22"/>
  <c r="H114" i="21"/>
  <c r="G114" i="22"/>
  <c r="H86" i="21"/>
  <c r="G86" i="22"/>
  <c r="H89" i="21"/>
  <c r="G89" i="22"/>
  <c r="H74" i="21"/>
  <c r="G74" i="22"/>
  <c r="H95" i="21"/>
  <c r="G95" i="22"/>
  <c r="H70" i="21"/>
  <c r="G70" i="22"/>
  <c r="H84" i="21"/>
  <c r="G84" i="22"/>
  <c r="H106" i="21"/>
  <c r="G106" i="22"/>
  <c r="H115" i="21"/>
  <c r="G115" i="22"/>
  <c r="H101" i="21"/>
  <c r="G101" i="22"/>
  <c r="H103" i="21"/>
  <c r="G103" i="22"/>
  <c r="H112" i="21"/>
  <c r="G112" i="22"/>
  <c r="H76" i="21"/>
  <c r="G76" i="22"/>
  <c r="H110" i="21"/>
  <c r="G110" i="22"/>
  <c r="H88" i="21"/>
  <c r="G88" i="22"/>
  <c r="H78" i="21"/>
  <c r="G78" i="22"/>
  <c r="H83" i="21"/>
  <c r="G83" i="22"/>
  <c r="H113" i="21"/>
  <c r="G113" i="22"/>
  <c r="H80" i="21"/>
  <c r="G80" i="22"/>
  <c r="H105" i="21"/>
  <c r="G105" i="22"/>
  <c r="H87" i="21"/>
  <c r="G87" i="22"/>
  <c r="H81" i="21"/>
  <c r="G81" i="22"/>
  <c r="H85" i="21"/>
  <c r="G85" i="22"/>
  <c r="H98" i="21"/>
  <c r="G98" i="22"/>
  <c r="H73" i="21"/>
  <c r="G73" i="22"/>
  <c r="H72" i="21"/>
  <c r="G72" i="22"/>
  <c r="H82" i="21"/>
  <c r="G82" i="22"/>
  <c r="H77" i="21"/>
  <c r="G77" i="22"/>
  <c r="H68" i="21"/>
  <c r="G68" i="22"/>
  <c r="H107" i="21"/>
  <c r="G107" i="22"/>
  <c r="H100" i="21"/>
  <c r="G100" i="22"/>
  <c r="H111" i="21"/>
  <c r="G111" i="22"/>
  <c r="H75" i="21"/>
  <c r="G75" i="22"/>
  <c r="H92" i="21"/>
  <c r="G92" i="22"/>
  <c r="H94" i="21"/>
  <c r="G94" i="22"/>
  <c r="H96" i="21"/>
  <c r="G96" i="22"/>
  <c r="H97" i="21"/>
  <c r="G97" i="22"/>
  <c r="H66" i="21"/>
  <c r="G66" i="22"/>
  <c r="H63" i="21"/>
  <c r="G63" i="22"/>
  <c r="G62" i="22"/>
  <c r="H62" i="21"/>
  <c r="H61" i="21"/>
  <c r="G61" i="22"/>
  <c r="G60" i="22"/>
  <c r="H60" i="21"/>
  <c r="G58" i="22"/>
  <c r="H58" i="21"/>
  <c r="H57" i="21"/>
  <c r="G57" i="22"/>
  <c r="H55" i="21"/>
  <c r="G55" i="22"/>
  <c r="H53" i="21"/>
  <c r="G53" i="22"/>
  <c r="H51" i="21"/>
  <c r="G51" i="22"/>
  <c r="H50" i="21"/>
  <c r="G50" i="22"/>
  <c r="H49" i="21"/>
  <c r="G49" i="22"/>
  <c r="H47" i="21"/>
  <c r="G47" i="22"/>
  <c r="H46" i="21"/>
  <c r="G46" i="22"/>
  <c r="H45" i="21"/>
  <c r="G45" i="22"/>
  <c r="H44" i="21"/>
  <c r="G44" i="22"/>
  <c r="H43" i="21"/>
  <c r="G43" i="22"/>
  <c r="H42" i="21"/>
  <c r="G42" i="22"/>
  <c r="H41" i="21"/>
  <c r="G41" i="22"/>
  <c r="H40" i="21"/>
  <c r="G40" i="22"/>
  <c r="H39" i="21"/>
  <c r="G39" i="22"/>
  <c r="H38" i="21"/>
  <c r="G38" i="22"/>
  <c r="H36" i="21"/>
  <c r="G36" i="22"/>
  <c r="H35" i="21"/>
  <c r="G35" i="22"/>
  <c r="H34" i="21"/>
  <c r="G34" i="22"/>
  <c r="H33" i="21"/>
  <c r="G33" i="22"/>
  <c r="H32" i="21"/>
  <c r="G32" i="22"/>
  <c r="H31" i="21"/>
  <c r="G31" i="22"/>
  <c r="H30" i="21"/>
  <c r="G30" i="22"/>
  <c r="H29" i="21"/>
  <c r="G29" i="22"/>
  <c r="H28" i="21"/>
  <c r="G28" i="22"/>
  <c r="H27" i="21"/>
  <c r="G27" i="22"/>
  <c r="H26" i="21"/>
  <c r="G26" i="22"/>
  <c r="H23" i="21"/>
  <c r="G23" i="22"/>
  <c r="H25" i="21"/>
  <c r="G25" i="22"/>
  <c r="H24" i="21"/>
  <c r="G24" i="22"/>
  <c r="H22" i="21"/>
  <c r="G22" i="22"/>
  <c r="H21" i="21"/>
  <c r="G21" i="22"/>
  <c r="H20" i="21"/>
  <c r="G20" i="22"/>
  <c r="H19" i="21"/>
  <c r="G19" i="22"/>
  <c r="H18" i="21"/>
  <c r="G18" i="22"/>
  <c r="H17" i="21"/>
  <c r="G17" i="22"/>
  <c r="H16" i="21"/>
  <c r="G16" i="22"/>
  <c r="H15" i="21"/>
  <c r="G15" i="22"/>
  <c r="H14" i="21"/>
  <c r="G14" i="22"/>
  <c r="H13" i="21"/>
  <c r="G13" i="22"/>
  <c r="H12" i="21"/>
  <c r="G12" i="22"/>
  <c r="H11" i="21"/>
  <c r="G11" i="22"/>
  <c r="H137" i="14"/>
  <c r="J4" i="14" s="1"/>
  <c r="E10" i="26"/>
  <c r="E137" i="25"/>
  <c r="K10" i="30"/>
  <c r="J137" i="22"/>
  <c r="J3" i="22" s="1"/>
  <c r="H10" i="21"/>
  <c r="G10" i="22"/>
  <c r="G134" i="24" l="1"/>
  <c r="H134" i="23"/>
  <c r="H129" i="23"/>
  <c r="G129" i="24"/>
  <c r="H119" i="24"/>
  <c r="G119" i="25"/>
  <c r="H133" i="25"/>
  <c r="G133" i="26"/>
  <c r="H128" i="23"/>
  <c r="G128" i="24"/>
  <c r="H117" i="25"/>
  <c r="G117" i="26"/>
  <c r="H124" i="23"/>
  <c r="G124" i="24"/>
  <c r="H125" i="23"/>
  <c r="G125" i="24"/>
  <c r="H127" i="23"/>
  <c r="G127" i="24"/>
  <c r="H130" i="23"/>
  <c r="G130" i="24"/>
  <c r="H126" i="23"/>
  <c r="G126" i="24"/>
  <c r="H123" i="24"/>
  <c r="G123" i="25"/>
  <c r="G131" i="25"/>
  <c r="H131" i="24"/>
  <c r="G118" i="25"/>
  <c r="H118" i="24"/>
  <c r="H132" i="23"/>
  <c r="G132" i="24"/>
  <c r="H120" i="24"/>
  <c r="G120" i="25"/>
  <c r="H121" i="25"/>
  <c r="G121" i="26"/>
  <c r="H122" i="23"/>
  <c r="G122" i="24"/>
  <c r="A24" i="5"/>
  <c r="A26" i="26"/>
  <c r="A26" i="30"/>
  <c r="A26" i="29"/>
  <c r="A26" i="24"/>
  <c r="A26" i="25"/>
  <c r="A26" i="23"/>
  <c r="A26" i="27"/>
  <c r="A26" i="28"/>
  <c r="A26" i="22"/>
  <c r="A26" i="10"/>
  <c r="A26" i="14"/>
  <c r="A26" i="13"/>
  <c r="A26" i="12"/>
  <c r="A26" i="9"/>
  <c r="A26" i="7"/>
  <c r="A26" i="6"/>
  <c r="A27" i="4"/>
  <c r="A26" i="8"/>
  <c r="A26" i="11"/>
  <c r="A26" i="21"/>
  <c r="H67" i="22"/>
  <c r="G67" i="23"/>
  <c r="H65" i="22"/>
  <c r="G65" i="23"/>
  <c r="H64" i="22"/>
  <c r="G64" i="23"/>
  <c r="H59" i="22"/>
  <c r="G59" i="23"/>
  <c r="G56" i="24"/>
  <c r="H56" i="23"/>
  <c r="H54" i="22"/>
  <c r="G54" i="23"/>
  <c r="H48" i="23"/>
  <c r="G48" i="24"/>
  <c r="H52" i="22"/>
  <c r="G52" i="23"/>
  <c r="G37" i="23"/>
  <c r="H37" i="22"/>
  <c r="G135" i="22"/>
  <c r="G137" i="22" s="1"/>
  <c r="J7" i="22" s="1"/>
  <c r="K3" i="22" s="1"/>
  <c r="H135" i="21"/>
  <c r="H137" i="21" s="1"/>
  <c r="J4" i="21" s="1"/>
  <c r="H111" i="22"/>
  <c r="G111" i="23"/>
  <c r="H98" i="22"/>
  <c r="G98" i="23"/>
  <c r="H105" i="22"/>
  <c r="G105" i="23"/>
  <c r="H110" i="22"/>
  <c r="G110" i="23"/>
  <c r="H106" i="22"/>
  <c r="G106" i="23"/>
  <c r="H86" i="22"/>
  <c r="G86" i="23"/>
  <c r="H116" i="22"/>
  <c r="G116" i="23"/>
  <c r="H91" i="22"/>
  <c r="G91" i="23"/>
  <c r="H69" i="22"/>
  <c r="G69" i="23"/>
  <c r="H102" i="22"/>
  <c r="G102" i="23"/>
  <c r="H92" i="22"/>
  <c r="G92" i="23"/>
  <c r="H77" i="22"/>
  <c r="G77" i="23"/>
  <c r="H78" i="22"/>
  <c r="G78" i="23"/>
  <c r="H101" i="22"/>
  <c r="G101" i="23"/>
  <c r="H74" i="22"/>
  <c r="G74" i="23"/>
  <c r="H93" i="22"/>
  <c r="G93" i="23"/>
  <c r="H97" i="22"/>
  <c r="G97" i="23"/>
  <c r="H94" i="22"/>
  <c r="G94" i="23"/>
  <c r="H75" i="22"/>
  <c r="G75" i="23"/>
  <c r="H100" i="22"/>
  <c r="G100" i="23"/>
  <c r="H68" i="22"/>
  <c r="G68" i="23"/>
  <c r="H82" i="22"/>
  <c r="G82" i="23"/>
  <c r="H73" i="22"/>
  <c r="G73" i="23"/>
  <c r="H85" i="22"/>
  <c r="G85" i="23"/>
  <c r="H87" i="22"/>
  <c r="G87" i="23"/>
  <c r="H80" i="22"/>
  <c r="G80" i="23"/>
  <c r="H83" i="22"/>
  <c r="G83" i="23"/>
  <c r="H88" i="22"/>
  <c r="G88" i="23"/>
  <c r="H76" i="22"/>
  <c r="G76" i="23"/>
  <c r="H103" i="22"/>
  <c r="G103" i="23"/>
  <c r="H115" i="22"/>
  <c r="G115" i="23"/>
  <c r="H84" i="22"/>
  <c r="G84" i="23"/>
  <c r="H95" i="22"/>
  <c r="G95" i="23"/>
  <c r="H89" i="22"/>
  <c r="G89" i="23"/>
  <c r="H114" i="22"/>
  <c r="G114" i="23"/>
  <c r="H79" i="22"/>
  <c r="G79" i="23"/>
  <c r="H109" i="22"/>
  <c r="G109" i="23"/>
  <c r="H99" i="22"/>
  <c r="G99" i="23"/>
  <c r="H90" i="22"/>
  <c r="G90" i="23"/>
  <c r="H104" i="22"/>
  <c r="G104" i="23"/>
  <c r="H71" i="22"/>
  <c r="G71" i="23"/>
  <c r="H96" i="22"/>
  <c r="G96" i="23"/>
  <c r="H107" i="22"/>
  <c r="G107" i="23"/>
  <c r="H72" i="22"/>
  <c r="G72" i="23"/>
  <c r="H81" i="22"/>
  <c r="G81" i="23"/>
  <c r="H113" i="22"/>
  <c r="G113" i="23"/>
  <c r="H112" i="22"/>
  <c r="G112" i="23"/>
  <c r="H70" i="22"/>
  <c r="G70" i="23"/>
  <c r="H108" i="22"/>
  <c r="G108" i="23"/>
  <c r="H66" i="22"/>
  <c r="G66" i="23"/>
  <c r="H63" i="22"/>
  <c r="G63" i="23"/>
  <c r="H62" i="22"/>
  <c r="G62" i="23"/>
  <c r="H61" i="22"/>
  <c r="G61" i="23"/>
  <c r="H60" i="22"/>
  <c r="G60" i="23"/>
  <c r="H58" i="22"/>
  <c r="G58" i="23"/>
  <c r="H57" i="22"/>
  <c r="G57" i="23"/>
  <c r="G55" i="23"/>
  <c r="H55" i="22"/>
  <c r="H53" i="22"/>
  <c r="G53" i="23"/>
  <c r="G51" i="23"/>
  <c r="H51" i="22"/>
  <c r="G50" i="23"/>
  <c r="H50" i="22"/>
  <c r="G49" i="23"/>
  <c r="H49" i="22"/>
  <c r="G47" i="23"/>
  <c r="H47" i="22"/>
  <c r="H46" i="22"/>
  <c r="G46" i="23"/>
  <c r="G45" i="23"/>
  <c r="H45" i="22"/>
  <c r="H44" i="22"/>
  <c r="G44" i="23"/>
  <c r="H43" i="22"/>
  <c r="G43" i="23"/>
  <c r="H42" i="22"/>
  <c r="G42" i="23"/>
  <c r="G41" i="23"/>
  <c r="H41" i="22"/>
  <c r="G40" i="23"/>
  <c r="H40" i="22"/>
  <c r="H39" i="22"/>
  <c r="G39" i="23"/>
  <c r="H38" i="22"/>
  <c r="G38" i="23"/>
  <c r="G36" i="23"/>
  <c r="H36" i="22"/>
  <c r="G35" i="23"/>
  <c r="H35" i="22"/>
  <c r="G34" i="23"/>
  <c r="H34" i="22"/>
  <c r="H33" i="22"/>
  <c r="G33" i="23"/>
  <c r="G32" i="23"/>
  <c r="H32" i="22"/>
  <c r="G31" i="23"/>
  <c r="H31" i="22"/>
  <c r="G30" i="23"/>
  <c r="H30" i="22"/>
  <c r="H29" i="22"/>
  <c r="G29" i="23"/>
  <c r="G28" i="23"/>
  <c r="H28" i="22"/>
  <c r="G27" i="23"/>
  <c r="H27" i="22"/>
  <c r="G26" i="23"/>
  <c r="H26" i="22"/>
  <c r="G23" i="23"/>
  <c r="H23" i="22"/>
  <c r="G25" i="23"/>
  <c r="H25" i="22"/>
  <c r="G24" i="23"/>
  <c r="H24" i="22"/>
  <c r="G22" i="23"/>
  <c r="H22" i="22"/>
  <c r="H21" i="22"/>
  <c r="G21" i="23"/>
  <c r="G20" i="23"/>
  <c r="H20" i="22"/>
  <c r="G19" i="23"/>
  <c r="H19" i="22"/>
  <c r="G18" i="23"/>
  <c r="H18" i="22"/>
  <c r="H17" i="22"/>
  <c r="G17" i="23"/>
  <c r="G16" i="23"/>
  <c r="H16" i="22"/>
  <c r="G15" i="23"/>
  <c r="H15" i="22"/>
  <c r="G14" i="23"/>
  <c r="H14" i="22"/>
  <c r="H13" i="22"/>
  <c r="G13" i="23"/>
  <c r="G12" i="23"/>
  <c r="H12" i="22"/>
  <c r="G11" i="23"/>
  <c r="H11" i="22"/>
  <c r="E10" i="27"/>
  <c r="E137" i="26"/>
  <c r="J137" i="23"/>
  <c r="J3" i="23" s="1"/>
  <c r="G10" i="23"/>
  <c r="H10" i="22"/>
  <c r="G134" i="25" l="1"/>
  <c r="H134" i="24"/>
  <c r="H132" i="24"/>
  <c r="G132" i="25"/>
  <c r="G122" i="25"/>
  <c r="H122" i="24"/>
  <c r="G126" i="25"/>
  <c r="H126" i="24"/>
  <c r="H128" i="24"/>
  <c r="G128" i="25"/>
  <c r="G129" i="25"/>
  <c r="H129" i="24"/>
  <c r="H124" i="24"/>
  <c r="G124" i="25"/>
  <c r="H118" i="25"/>
  <c r="G118" i="26"/>
  <c r="H117" i="26"/>
  <c r="G117" i="27"/>
  <c r="G121" i="27"/>
  <c r="H121" i="26"/>
  <c r="H130" i="24"/>
  <c r="G130" i="25"/>
  <c r="G133" i="27"/>
  <c r="H133" i="26"/>
  <c r="H125" i="24"/>
  <c r="G125" i="25"/>
  <c r="H131" i="25"/>
  <c r="G131" i="26"/>
  <c r="A25" i="5"/>
  <c r="A27" i="30"/>
  <c r="A27" i="29"/>
  <c r="A27" i="25"/>
  <c r="A27" i="28"/>
  <c r="A27" i="27"/>
  <c r="A27" i="22"/>
  <c r="A27" i="9"/>
  <c r="A27" i="24"/>
  <c r="A27" i="11"/>
  <c r="A27" i="6"/>
  <c r="A27" i="12"/>
  <c r="A27" i="7"/>
  <c r="A27" i="13"/>
  <c r="A27" i="23"/>
  <c r="A27" i="21"/>
  <c r="A27" i="26"/>
  <c r="A28" i="4"/>
  <c r="A27" i="10"/>
  <c r="A27" i="14"/>
  <c r="A27" i="8"/>
  <c r="H123" i="25"/>
  <c r="G123" i="26"/>
  <c r="H120" i="25"/>
  <c r="G120" i="26"/>
  <c r="G127" i="25"/>
  <c r="H127" i="24"/>
  <c r="H119" i="25"/>
  <c r="G119" i="26"/>
  <c r="H67" i="23"/>
  <c r="G67" i="24"/>
  <c r="G65" i="24"/>
  <c r="H65" i="23"/>
  <c r="H64" i="23"/>
  <c r="G64" i="24"/>
  <c r="H59" i="23"/>
  <c r="G59" i="24"/>
  <c r="H56" i="24"/>
  <c r="G56" i="25"/>
  <c r="H54" i="23"/>
  <c r="G54" i="24"/>
  <c r="G48" i="25"/>
  <c r="H48" i="24"/>
  <c r="H37" i="23"/>
  <c r="G37" i="24"/>
  <c r="G52" i="24"/>
  <c r="H52" i="23"/>
  <c r="H135" i="22"/>
  <c r="H137" i="22" s="1"/>
  <c r="J4" i="22" s="1"/>
  <c r="G135" i="23"/>
  <c r="G137" i="23" s="1"/>
  <c r="J7" i="23" s="1"/>
  <c r="K3" i="23" s="1"/>
  <c r="H70" i="23"/>
  <c r="G70" i="24"/>
  <c r="G72" i="24"/>
  <c r="H72" i="23"/>
  <c r="H104" i="23"/>
  <c r="G104" i="24"/>
  <c r="H79" i="23"/>
  <c r="G79" i="24"/>
  <c r="H84" i="23"/>
  <c r="G84" i="24"/>
  <c r="H88" i="23"/>
  <c r="G88" i="24"/>
  <c r="H85" i="23"/>
  <c r="G85" i="24"/>
  <c r="H101" i="23"/>
  <c r="G101" i="24"/>
  <c r="H113" i="23"/>
  <c r="G113" i="24"/>
  <c r="H96" i="23"/>
  <c r="G96" i="24"/>
  <c r="H99" i="23"/>
  <c r="G99" i="24"/>
  <c r="H89" i="23"/>
  <c r="G89" i="24"/>
  <c r="H80" i="23"/>
  <c r="G80" i="24"/>
  <c r="H82" i="23"/>
  <c r="G82" i="24"/>
  <c r="H100" i="23"/>
  <c r="G100" i="24"/>
  <c r="H94" i="23"/>
  <c r="G94" i="24"/>
  <c r="H93" i="23"/>
  <c r="G93" i="24"/>
  <c r="H77" i="23"/>
  <c r="G77" i="24"/>
  <c r="H102" i="23"/>
  <c r="G102" i="24"/>
  <c r="H91" i="23"/>
  <c r="G91" i="24"/>
  <c r="H86" i="23"/>
  <c r="G86" i="24"/>
  <c r="H110" i="23"/>
  <c r="G110" i="24"/>
  <c r="H98" i="23"/>
  <c r="G98" i="24"/>
  <c r="H108" i="23"/>
  <c r="G108" i="24"/>
  <c r="H112" i="23"/>
  <c r="G112" i="24"/>
  <c r="H81" i="23"/>
  <c r="G81" i="24"/>
  <c r="H107" i="23"/>
  <c r="G107" i="24"/>
  <c r="H71" i="23"/>
  <c r="G71" i="24"/>
  <c r="H90" i="23"/>
  <c r="G90" i="24"/>
  <c r="H109" i="23"/>
  <c r="G109" i="24"/>
  <c r="H114" i="23"/>
  <c r="G114" i="24"/>
  <c r="H95" i="23"/>
  <c r="G95" i="24"/>
  <c r="H115" i="23"/>
  <c r="G115" i="24"/>
  <c r="G76" i="24"/>
  <c r="H76" i="23"/>
  <c r="H83" i="23"/>
  <c r="G83" i="24"/>
  <c r="H87" i="23"/>
  <c r="G87" i="24"/>
  <c r="H73" i="23"/>
  <c r="G73" i="24"/>
  <c r="G68" i="24"/>
  <c r="H68" i="23"/>
  <c r="H75" i="23"/>
  <c r="G75" i="24"/>
  <c r="H97" i="23"/>
  <c r="G97" i="24"/>
  <c r="H74" i="23"/>
  <c r="G74" i="24"/>
  <c r="H78" i="23"/>
  <c r="G78" i="24"/>
  <c r="G92" i="24"/>
  <c r="H92" i="23"/>
  <c r="G69" i="24"/>
  <c r="H69" i="23"/>
  <c r="H116" i="23"/>
  <c r="G116" i="24"/>
  <c r="H106" i="23"/>
  <c r="G106" i="24"/>
  <c r="H105" i="23"/>
  <c r="G105" i="24"/>
  <c r="H111" i="23"/>
  <c r="G111" i="24"/>
  <c r="H103" i="23"/>
  <c r="G103" i="24"/>
  <c r="H66" i="23"/>
  <c r="G66" i="24"/>
  <c r="H63" i="23"/>
  <c r="G63" i="24"/>
  <c r="H62" i="23"/>
  <c r="G62" i="24"/>
  <c r="G61" i="24"/>
  <c r="H61" i="23"/>
  <c r="G60" i="24"/>
  <c r="H60" i="23"/>
  <c r="H58" i="23"/>
  <c r="G58" i="24"/>
  <c r="G57" i="24"/>
  <c r="H57" i="23"/>
  <c r="H55" i="23"/>
  <c r="G55" i="24"/>
  <c r="G53" i="24"/>
  <c r="H53" i="23"/>
  <c r="H51" i="23"/>
  <c r="G51" i="24"/>
  <c r="H50" i="23"/>
  <c r="G50" i="24"/>
  <c r="H49" i="23"/>
  <c r="G49" i="24"/>
  <c r="H47" i="23"/>
  <c r="G47" i="24"/>
  <c r="H46" i="23"/>
  <c r="G46" i="24"/>
  <c r="H45" i="23"/>
  <c r="G45" i="24"/>
  <c r="H44" i="23"/>
  <c r="G44" i="24"/>
  <c r="H43" i="23"/>
  <c r="G43" i="24"/>
  <c r="H42" i="23"/>
  <c r="G42" i="24"/>
  <c r="H41" i="23"/>
  <c r="G41" i="24"/>
  <c r="H40" i="23"/>
  <c r="G40" i="24"/>
  <c r="H39" i="23"/>
  <c r="G39" i="24"/>
  <c r="H38" i="23"/>
  <c r="G38" i="24"/>
  <c r="H36" i="23"/>
  <c r="G36" i="24"/>
  <c r="H35" i="23"/>
  <c r="G35" i="24"/>
  <c r="H34" i="23"/>
  <c r="G34" i="24"/>
  <c r="H33" i="23"/>
  <c r="G33" i="24"/>
  <c r="H32" i="23"/>
  <c r="G32" i="24"/>
  <c r="H31" i="23"/>
  <c r="G31" i="24"/>
  <c r="H30" i="23"/>
  <c r="G30" i="24"/>
  <c r="H29" i="23"/>
  <c r="G29" i="24"/>
  <c r="H28" i="23"/>
  <c r="G28" i="24"/>
  <c r="H27" i="23"/>
  <c r="G27" i="24"/>
  <c r="H26" i="23"/>
  <c r="G26" i="24"/>
  <c r="H23" i="23"/>
  <c r="G23" i="24"/>
  <c r="H25" i="23"/>
  <c r="G25" i="24"/>
  <c r="H24" i="23"/>
  <c r="G24" i="24"/>
  <c r="H22" i="23"/>
  <c r="G22" i="24"/>
  <c r="H21" i="23"/>
  <c r="G21" i="24"/>
  <c r="H20" i="23"/>
  <c r="G20" i="24"/>
  <c r="H19" i="23"/>
  <c r="G19" i="24"/>
  <c r="H18" i="23"/>
  <c r="G18" i="24"/>
  <c r="H17" i="23"/>
  <c r="G17" i="24"/>
  <c r="H16" i="23"/>
  <c r="G16" i="24"/>
  <c r="H15" i="23"/>
  <c r="G15" i="24"/>
  <c r="H14" i="23"/>
  <c r="G14" i="24"/>
  <c r="H13" i="23"/>
  <c r="G13" i="24"/>
  <c r="H12" i="23"/>
  <c r="G12" i="24"/>
  <c r="H11" i="23"/>
  <c r="G11" i="24"/>
  <c r="J137" i="24"/>
  <c r="J3" i="24" s="1"/>
  <c r="E137" i="27"/>
  <c r="E10" i="28"/>
  <c r="G10" i="24"/>
  <c r="H10" i="23"/>
  <c r="H134" i="25" l="1"/>
  <c r="G134" i="26"/>
  <c r="A26" i="5"/>
  <c r="A28" i="27"/>
  <c r="A28" i="29"/>
  <c r="A28" i="28"/>
  <c r="A28" i="30"/>
  <c r="A28" i="26"/>
  <c r="A28" i="24"/>
  <c r="A28" i="23"/>
  <c r="A28" i="25"/>
  <c r="A28" i="8"/>
  <c r="A28" i="21"/>
  <c r="A28" i="6"/>
  <c r="A28" i="22"/>
  <c r="A28" i="10"/>
  <c r="A28" i="13"/>
  <c r="A28" i="11"/>
  <c r="A28" i="14"/>
  <c r="A28" i="12"/>
  <c r="A28" i="7"/>
  <c r="A28" i="9"/>
  <c r="A29" i="4"/>
  <c r="H131" i="26"/>
  <c r="G131" i="27"/>
  <c r="H125" i="25"/>
  <c r="G125" i="26"/>
  <c r="H129" i="25"/>
  <c r="G129" i="26"/>
  <c r="H130" i="25"/>
  <c r="G130" i="26"/>
  <c r="H132" i="25"/>
  <c r="G132" i="26"/>
  <c r="H122" i="25"/>
  <c r="G122" i="26"/>
  <c r="H119" i="26"/>
  <c r="G119" i="27"/>
  <c r="H118" i="26"/>
  <c r="G118" i="27"/>
  <c r="H127" i="25"/>
  <c r="G127" i="26"/>
  <c r="H124" i="25"/>
  <c r="G124" i="26"/>
  <c r="H120" i="26"/>
  <c r="G120" i="27"/>
  <c r="H123" i="26"/>
  <c r="G123" i="27"/>
  <c r="H133" i="27"/>
  <c r="G133" i="28"/>
  <c r="H128" i="25"/>
  <c r="G128" i="26"/>
  <c r="H121" i="27"/>
  <c r="G121" i="28"/>
  <c r="H126" i="25"/>
  <c r="G126" i="26"/>
  <c r="H117" i="27"/>
  <c r="G117" i="28"/>
  <c r="H67" i="24"/>
  <c r="G67" i="25"/>
  <c r="G65" i="25"/>
  <c r="H65" i="24"/>
  <c r="H64" i="24"/>
  <c r="G64" i="25"/>
  <c r="H59" i="24"/>
  <c r="G59" i="25"/>
  <c r="H56" i="25"/>
  <c r="G56" i="26"/>
  <c r="H54" i="24"/>
  <c r="G54" i="25"/>
  <c r="G48" i="26"/>
  <c r="H48" i="25"/>
  <c r="H52" i="24"/>
  <c r="G52" i="25"/>
  <c r="G37" i="25"/>
  <c r="H37" i="24"/>
  <c r="H135" i="23"/>
  <c r="G135" i="24"/>
  <c r="G137" i="24" s="1"/>
  <c r="J7" i="24" s="1"/>
  <c r="K3" i="24" s="1"/>
  <c r="H111" i="24"/>
  <c r="G111" i="25"/>
  <c r="G97" i="25"/>
  <c r="H97" i="24"/>
  <c r="H87" i="24"/>
  <c r="G87" i="25"/>
  <c r="G109" i="25"/>
  <c r="H109" i="24"/>
  <c r="H71" i="24"/>
  <c r="G71" i="25"/>
  <c r="H108" i="24"/>
  <c r="G108" i="25"/>
  <c r="H91" i="24"/>
  <c r="G91" i="25"/>
  <c r="G94" i="25"/>
  <c r="H94" i="24"/>
  <c r="G89" i="25"/>
  <c r="H89" i="24"/>
  <c r="H96" i="24"/>
  <c r="G96" i="25"/>
  <c r="G101" i="25"/>
  <c r="H101" i="24"/>
  <c r="H79" i="24"/>
  <c r="G79" i="25"/>
  <c r="H76" i="24"/>
  <c r="G76" i="25"/>
  <c r="G105" i="25"/>
  <c r="H105" i="24"/>
  <c r="H75" i="24"/>
  <c r="G75" i="25"/>
  <c r="G73" i="25"/>
  <c r="H73" i="24"/>
  <c r="H83" i="24"/>
  <c r="G83" i="25"/>
  <c r="H115" i="24"/>
  <c r="G115" i="25"/>
  <c r="G114" i="25"/>
  <c r="H114" i="24"/>
  <c r="G90" i="25"/>
  <c r="H90" i="24"/>
  <c r="H107" i="24"/>
  <c r="G107" i="25"/>
  <c r="H112" i="24"/>
  <c r="G112" i="25"/>
  <c r="G98" i="25"/>
  <c r="H98" i="24"/>
  <c r="G86" i="25"/>
  <c r="H86" i="24"/>
  <c r="G102" i="25"/>
  <c r="H102" i="24"/>
  <c r="G93" i="25"/>
  <c r="H93" i="24"/>
  <c r="H100" i="24"/>
  <c r="G100" i="25"/>
  <c r="H80" i="24"/>
  <c r="G80" i="25"/>
  <c r="H99" i="24"/>
  <c r="G99" i="25"/>
  <c r="G113" i="25"/>
  <c r="H113" i="24"/>
  <c r="G85" i="25"/>
  <c r="H85" i="24"/>
  <c r="H84" i="24"/>
  <c r="G84" i="25"/>
  <c r="H104" i="24"/>
  <c r="G104" i="25"/>
  <c r="G70" i="25"/>
  <c r="H70" i="24"/>
  <c r="G106" i="25"/>
  <c r="H106" i="24"/>
  <c r="G78" i="25"/>
  <c r="H78" i="24"/>
  <c r="H95" i="24"/>
  <c r="G95" i="25"/>
  <c r="G81" i="25"/>
  <c r="H81" i="24"/>
  <c r="G110" i="25"/>
  <c r="H110" i="24"/>
  <c r="G77" i="25"/>
  <c r="H77" i="24"/>
  <c r="G82" i="25"/>
  <c r="H82" i="24"/>
  <c r="H88" i="24"/>
  <c r="G88" i="25"/>
  <c r="G69" i="25"/>
  <c r="H69" i="24"/>
  <c r="H68" i="24"/>
  <c r="G68" i="25"/>
  <c r="H72" i="24"/>
  <c r="G72" i="25"/>
  <c r="H103" i="24"/>
  <c r="G103" i="25"/>
  <c r="H116" i="24"/>
  <c r="G116" i="25"/>
  <c r="H74" i="24"/>
  <c r="G74" i="25"/>
  <c r="H92" i="24"/>
  <c r="G92" i="25"/>
  <c r="G66" i="25"/>
  <c r="H66" i="24"/>
  <c r="H63" i="24"/>
  <c r="G63" i="25"/>
  <c r="H62" i="24"/>
  <c r="G62" i="25"/>
  <c r="H61" i="24"/>
  <c r="G61" i="25"/>
  <c r="H60" i="24"/>
  <c r="G60" i="25"/>
  <c r="H58" i="24"/>
  <c r="G58" i="25"/>
  <c r="H57" i="24"/>
  <c r="G57" i="25"/>
  <c r="H55" i="24"/>
  <c r="G55" i="25"/>
  <c r="G53" i="25"/>
  <c r="H53" i="24"/>
  <c r="G51" i="25"/>
  <c r="H51" i="24"/>
  <c r="H50" i="24"/>
  <c r="G50" i="25"/>
  <c r="G49" i="25"/>
  <c r="H49" i="24"/>
  <c r="G47" i="25"/>
  <c r="H47" i="24"/>
  <c r="G46" i="25"/>
  <c r="H46" i="24"/>
  <c r="G45" i="25"/>
  <c r="H45" i="24"/>
  <c r="G44" i="25"/>
  <c r="H44" i="24"/>
  <c r="H43" i="24"/>
  <c r="G43" i="25"/>
  <c r="G42" i="25"/>
  <c r="H42" i="24"/>
  <c r="G41" i="25"/>
  <c r="H41" i="24"/>
  <c r="G40" i="25"/>
  <c r="H40" i="24"/>
  <c r="G39" i="25"/>
  <c r="H39" i="24"/>
  <c r="G38" i="25"/>
  <c r="H38" i="24"/>
  <c r="G36" i="25"/>
  <c r="H36" i="24"/>
  <c r="G35" i="25"/>
  <c r="H35" i="24"/>
  <c r="H34" i="24"/>
  <c r="G34" i="25"/>
  <c r="G33" i="25"/>
  <c r="H33" i="24"/>
  <c r="G32" i="25"/>
  <c r="H32" i="24"/>
  <c r="G31" i="25"/>
  <c r="H31" i="24"/>
  <c r="H30" i="24"/>
  <c r="G30" i="25"/>
  <c r="G29" i="25"/>
  <c r="H29" i="24"/>
  <c r="G28" i="25"/>
  <c r="H28" i="24"/>
  <c r="G27" i="25"/>
  <c r="H27" i="24"/>
  <c r="H26" i="24"/>
  <c r="G26" i="25"/>
  <c r="H23" i="24"/>
  <c r="G23" i="25"/>
  <c r="G25" i="25"/>
  <c r="H25" i="24"/>
  <c r="G24" i="25"/>
  <c r="H24" i="24"/>
  <c r="G22" i="25"/>
  <c r="H22" i="24"/>
  <c r="G21" i="25"/>
  <c r="H21" i="24"/>
  <c r="G20" i="25"/>
  <c r="H20" i="24"/>
  <c r="G19" i="25"/>
  <c r="H19" i="24"/>
  <c r="H18" i="24"/>
  <c r="G18" i="25"/>
  <c r="G17" i="25"/>
  <c r="H17" i="24"/>
  <c r="G16" i="25"/>
  <c r="H16" i="24"/>
  <c r="G15" i="25"/>
  <c r="H15" i="24"/>
  <c r="H14" i="24"/>
  <c r="G14" i="25"/>
  <c r="G13" i="25"/>
  <c r="H13" i="24"/>
  <c r="G12" i="25"/>
  <c r="H12" i="24"/>
  <c r="G11" i="25"/>
  <c r="H11" i="24"/>
  <c r="H137" i="23"/>
  <c r="J4" i="23" s="1"/>
  <c r="E10" i="29"/>
  <c r="E137" i="28"/>
  <c r="J137" i="25"/>
  <c r="J3" i="25" s="1"/>
  <c r="G10" i="25"/>
  <c r="H10" i="24"/>
  <c r="H134" i="26" l="1"/>
  <c r="G134" i="27"/>
  <c r="H120" i="27"/>
  <c r="G120" i="28"/>
  <c r="H118" i="27"/>
  <c r="G118" i="28"/>
  <c r="H119" i="27"/>
  <c r="G119" i="28"/>
  <c r="H133" i="28"/>
  <c r="G133" i="29"/>
  <c r="H121" i="28"/>
  <c r="G121" i="29"/>
  <c r="G129" i="27"/>
  <c r="H129" i="26"/>
  <c r="G125" i="27"/>
  <c r="H125" i="26"/>
  <c r="H131" i="27"/>
  <c r="G131" i="28"/>
  <c r="H123" i="27"/>
  <c r="G123" i="28"/>
  <c r="H122" i="26"/>
  <c r="G122" i="27"/>
  <c r="H126" i="26"/>
  <c r="G126" i="27"/>
  <c r="H127" i="26"/>
  <c r="G127" i="27"/>
  <c r="H128" i="26"/>
  <c r="G128" i="27"/>
  <c r="H132" i="26"/>
  <c r="G132" i="27"/>
  <c r="H117" i="28"/>
  <c r="G117" i="29"/>
  <c r="H124" i="26"/>
  <c r="G124" i="27"/>
  <c r="H130" i="26"/>
  <c r="G130" i="27"/>
  <c r="A27" i="5"/>
  <c r="A29" i="29"/>
  <c r="A29" i="27"/>
  <c r="A29" i="24"/>
  <c r="A29" i="25"/>
  <c r="A29" i="23"/>
  <c r="A29" i="22"/>
  <c r="A29" i="30"/>
  <c r="A29" i="28"/>
  <c r="A29" i="14"/>
  <c r="A29" i="26"/>
  <c r="A29" i="21"/>
  <c r="A29" i="11"/>
  <c r="A29" i="12"/>
  <c r="A29" i="13"/>
  <c r="A29" i="8"/>
  <c r="A29" i="7"/>
  <c r="A29" i="9"/>
  <c r="A29" i="10"/>
  <c r="A30" i="4"/>
  <c r="A29" i="6"/>
  <c r="H67" i="25"/>
  <c r="G67" i="26"/>
  <c r="H65" i="25"/>
  <c r="G65" i="26"/>
  <c r="H64" i="25"/>
  <c r="G64" i="26"/>
  <c r="H59" i="25"/>
  <c r="G59" i="26"/>
  <c r="H56" i="26"/>
  <c r="G56" i="27"/>
  <c r="H54" i="25"/>
  <c r="G54" i="26"/>
  <c r="H48" i="26"/>
  <c r="G48" i="27"/>
  <c r="H37" i="25"/>
  <c r="G37" i="26"/>
  <c r="H52" i="25"/>
  <c r="G52" i="26"/>
  <c r="G135" i="25"/>
  <c r="G137" i="25" s="1"/>
  <c r="J7" i="25" s="1"/>
  <c r="K3" i="25" s="1"/>
  <c r="H135" i="24"/>
  <c r="H74" i="25"/>
  <c r="G74" i="26"/>
  <c r="H68" i="25"/>
  <c r="G68" i="26"/>
  <c r="H112" i="25"/>
  <c r="G112" i="26"/>
  <c r="H115" i="25"/>
  <c r="G115" i="26"/>
  <c r="H96" i="25"/>
  <c r="G96" i="26"/>
  <c r="H108" i="25"/>
  <c r="G108" i="26"/>
  <c r="H81" i="25"/>
  <c r="G81" i="26"/>
  <c r="H78" i="25"/>
  <c r="G78" i="26"/>
  <c r="H70" i="25"/>
  <c r="G70" i="26"/>
  <c r="H93" i="25"/>
  <c r="G93" i="26"/>
  <c r="H105" i="25"/>
  <c r="G105" i="26"/>
  <c r="H94" i="25"/>
  <c r="G94" i="26"/>
  <c r="H109" i="25"/>
  <c r="G109" i="26"/>
  <c r="H92" i="25"/>
  <c r="G92" i="26"/>
  <c r="H116" i="25"/>
  <c r="G116" i="26"/>
  <c r="H72" i="25"/>
  <c r="G72" i="26"/>
  <c r="H95" i="25"/>
  <c r="G95" i="26"/>
  <c r="H104" i="25"/>
  <c r="G104" i="26"/>
  <c r="H99" i="25"/>
  <c r="G99" i="26"/>
  <c r="H100" i="25"/>
  <c r="G100" i="26"/>
  <c r="H107" i="25"/>
  <c r="G107" i="26"/>
  <c r="H83" i="25"/>
  <c r="G83" i="26"/>
  <c r="H75" i="25"/>
  <c r="G75" i="26"/>
  <c r="H76" i="25"/>
  <c r="G76" i="26"/>
  <c r="H91" i="25"/>
  <c r="G91" i="26"/>
  <c r="H71" i="25"/>
  <c r="G71" i="26"/>
  <c r="H87" i="25"/>
  <c r="G87" i="26"/>
  <c r="H111" i="25"/>
  <c r="G111" i="26"/>
  <c r="H103" i="25"/>
  <c r="G103" i="26"/>
  <c r="H88" i="25"/>
  <c r="G88" i="26"/>
  <c r="H84" i="25"/>
  <c r="G84" i="26"/>
  <c r="H80" i="25"/>
  <c r="G80" i="26"/>
  <c r="H79" i="25"/>
  <c r="G79" i="26"/>
  <c r="H77" i="25"/>
  <c r="G77" i="26"/>
  <c r="H113" i="25"/>
  <c r="G113" i="26"/>
  <c r="H86" i="25"/>
  <c r="G86" i="26"/>
  <c r="H90" i="25"/>
  <c r="G90" i="26"/>
  <c r="H73" i="25"/>
  <c r="G73" i="26"/>
  <c r="H97" i="25"/>
  <c r="G97" i="26"/>
  <c r="H69" i="25"/>
  <c r="G69" i="26"/>
  <c r="H82" i="25"/>
  <c r="G82" i="26"/>
  <c r="H110" i="25"/>
  <c r="G110" i="26"/>
  <c r="H106" i="25"/>
  <c r="G106" i="26"/>
  <c r="H85" i="25"/>
  <c r="G85" i="26"/>
  <c r="H102" i="25"/>
  <c r="G102" i="26"/>
  <c r="H98" i="25"/>
  <c r="G98" i="26"/>
  <c r="H114" i="25"/>
  <c r="G114" i="26"/>
  <c r="H101" i="25"/>
  <c r="G101" i="26"/>
  <c r="H89" i="25"/>
  <c r="G89" i="26"/>
  <c r="H66" i="25"/>
  <c r="G66" i="26"/>
  <c r="H63" i="25"/>
  <c r="G63" i="26"/>
  <c r="H62" i="25"/>
  <c r="G62" i="26"/>
  <c r="H61" i="25"/>
  <c r="G61" i="26"/>
  <c r="H60" i="25"/>
  <c r="G60" i="26"/>
  <c r="H58" i="25"/>
  <c r="G58" i="26"/>
  <c r="H57" i="25"/>
  <c r="G57" i="26"/>
  <c r="H55" i="25"/>
  <c r="G55" i="26"/>
  <c r="H53" i="25"/>
  <c r="G53" i="26"/>
  <c r="G51" i="26"/>
  <c r="H51" i="25"/>
  <c r="G50" i="26"/>
  <c r="H50" i="25"/>
  <c r="G49" i="26"/>
  <c r="H49" i="25"/>
  <c r="G47" i="26"/>
  <c r="H47" i="25"/>
  <c r="G46" i="26"/>
  <c r="H46" i="25"/>
  <c r="H45" i="25"/>
  <c r="G45" i="26"/>
  <c r="G44" i="26"/>
  <c r="H44" i="25"/>
  <c r="G43" i="26"/>
  <c r="H43" i="25"/>
  <c r="G42" i="26"/>
  <c r="H42" i="25"/>
  <c r="H41" i="25"/>
  <c r="G41" i="26"/>
  <c r="G40" i="26"/>
  <c r="H40" i="25"/>
  <c r="G39" i="26"/>
  <c r="H39" i="25"/>
  <c r="G38" i="26"/>
  <c r="H38" i="25"/>
  <c r="H36" i="25"/>
  <c r="G36" i="26"/>
  <c r="G35" i="26"/>
  <c r="H35" i="25"/>
  <c r="G34" i="26"/>
  <c r="H34" i="25"/>
  <c r="G33" i="26"/>
  <c r="H33" i="25"/>
  <c r="H32" i="25"/>
  <c r="G32" i="26"/>
  <c r="G31" i="26"/>
  <c r="H31" i="25"/>
  <c r="G30" i="26"/>
  <c r="H30" i="25"/>
  <c r="G29" i="26"/>
  <c r="H29" i="25"/>
  <c r="H28" i="25"/>
  <c r="G28" i="26"/>
  <c r="G27" i="26"/>
  <c r="H27" i="25"/>
  <c r="G26" i="26"/>
  <c r="H26" i="25"/>
  <c r="H23" i="25"/>
  <c r="G23" i="26"/>
  <c r="H25" i="25"/>
  <c r="G25" i="26"/>
  <c r="G24" i="26"/>
  <c r="H24" i="25"/>
  <c r="G22" i="26"/>
  <c r="H22" i="25"/>
  <c r="G21" i="26"/>
  <c r="H21" i="25"/>
  <c r="H20" i="25"/>
  <c r="G20" i="26"/>
  <c r="G19" i="26"/>
  <c r="H19" i="25"/>
  <c r="G18" i="26"/>
  <c r="H18" i="25"/>
  <c r="G17" i="26"/>
  <c r="H17" i="25"/>
  <c r="H16" i="25"/>
  <c r="G16" i="26"/>
  <c r="G15" i="26"/>
  <c r="H15" i="25"/>
  <c r="G14" i="26"/>
  <c r="H14" i="25"/>
  <c r="G13" i="26"/>
  <c r="H13" i="25"/>
  <c r="H12" i="25"/>
  <c r="G12" i="26"/>
  <c r="H11" i="25"/>
  <c r="G11" i="26"/>
  <c r="E10" i="30"/>
  <c r="E137" i="30" s="1"/>
  <c r="E137" i="29"/>
  <c r="J137" i="26"/>
  <c r="J3" i="26" s="1"/>
  <c r="H137" i="24"/>
  <c r="J4" i="24" s="1"/>
  <c r="H10" i="25"/>
  <c r="G10" i="26"/>
  <c r="G134" i="28" l="1"/>
  <c r="H134" i="27"/>
  <c r="H125" i="27"/>
  <c r="G125" i="28"/>
  <c r="H127" i="27"/>
  <c r="G127" i="28"/>
  <c r="H130" i="27"/>
  <c r="G130" i="28"/>
  <c r="H122" i="27"/>
  <c r="G122" i="28"/>
  <c r="H133" i="29"/>
  <c r="G133" i="30"/>
  <c r="H133" i="30" s="1"/>
  <c r="H124" i="27"/>
  <c r="G124" i="28"/>
  <c r="H123" i="28"/>
  <c r="G123" i="29"/>
  <c r="H119" i="28"/>
  <c r="G119" i="29"/>
  <c r="H126" i="27"/>
  <c r="G126" i="28"/>
  <c r="A28" i="5"/>
  <c r="A30" i="25"/>
  <c r="A30" i="30"/>
  <c r="A30" i="28"/>
  <c r="A30" i="29"/>
  <c r="A30" i="13"/>
  <c r="A30" i="22"/>
  <c r="A30" i="14"/>
  <c r="A30" i="24"/>
  <c r="A30" i="11"/>
  <c r="A30" i="12"/>
  <c r="A30" i="10"/>
  <c r="A30" i="9"/>
  <c r="A30" i="7"/>
  <c r="A31" i="4"/>
  <c r="A30" i="23"/>
  <c r="A30" i="8"/>
  <c r="A30" i="21"/>
  <c r="A30" i="6"/>
  <c r="A30" i="27"/>
  <c r="A30" i="26"/>
  <c r="H128" i="27"/>
  <c r="G128" i="28"/>
  <c r="H129" i="27"/>
  <c r="G129" i="28"/>
  <c r="H121" i="29"/>
  <c r="G121" i="30"/>
  <c r="H121" i="30" s="1"/>
  <c r="H117" i="29"/>
  <c r="G117" i="30"/>
  <c r="H117" i="30" s="1"/>
  <c r="H131" i="28"/>
  <c r="G131" i="29"/>
  <c r="H118" i="28"/>
  <c r="G118" i="29"/>
  <c r="H132" i="27"/>
  <c r="G132" i="28"/>
  <c r="H120" i="28"/>
  <c r="G120" i="29"/>
  <c r="H67" i="26"/>
  <c r="G67" i="27"/>
  <c r="H65" i="26"/>
  <c r="G65" i="27"/>
  <c r="H64" i="26"/>
  <c r="G64" i="27"/>
  <c r="H59" i="26"/>
  <c r="G59" i="27"/>
  <c r="H56" i="27"/>
  <c r="G56" i="28"/>
  <c r="H54" i="26"/>
  <c r="G54" i="27"/>
  <c r="G48" i="28"/>
  <c r="H48" i="27"/>
  <c r="H52" i="26"/>
  <c r="G52" i="27"/>
  <c r="H37" i="26"/>
  <c r="G37" i="27"/>
  <c r="G135" i="26"/>
  <c r="H135" i="25"/>
  <c r="H137" i="25" s="1"/>
  <c r="J4" i="25" s="1"/>
  <c r="H110" i="26"/>
  <c r="G110" i="27"/>
  <c r="G73" i="27"/>
  <c r="H73" i="26"/>
  <c r="H77" i="26"/>
  <c r="G77" i="27"/>
  <c r="H111" i="26"/>
  <c r="G111" i="27"/>
  <c r="H71" i="26"/>
  <c r="G71" i="27"/>
  <c r="H83" i="26"/>
  <c r="G83" i="27"/>
  <c r="H72" i="26"/>
  <c r="G72" i="27"/>
  <c r="H94" i="26"/>
  <c r="G94" i="27"/>
  <c r="H93" i="26"/>
  <c r="G93" i="27"/>
  <c r="H115" i="26"/>
  <c r="G115" i="27"/>
  <c r="G85" i="27"/>
  <c r="H85" i="26"/>
  <c r="H86" i="26"/>
  <c r="G86" i="27"/>
  <c r="H80" i="26"/>
  <c r="G80" i="27"/>
  <c r="H76" i="26"/>
  <c r="G76" i="27"/>
  <c r="H100" i="26"/>
  <c r="G100" i="27"/>
  <c r="H92" i="26"/>
  <c r="G92" i="27"/>
  <c r="H108" i="26"/>
  <c r="G108" i="27"/>
  <c r="H89" i="26"/>
  <c r="G89" i="27"/>
  <c r="H114" i="26"/>
  <c r="G114" i="27"/>
  <c r="H102" i="26"/>
  <c r="G102" i="27"/>
  <c r="H106" i="26"/>
  <c r="G106" i="27"/>
  <c r="H82" i="26"/>
  <c r="G82" i="27"/>
  <c r="H97" i="26"/>
  <c r="G97" i="27"/>
  <c r="H90" i="26"/>
  <c r="G90" i="27"/>
  <c r="H113" i="26"/>
  <c r="G113" i="27"/>
  <c r="H79" i="26"/>
  <c r="G79" i="27"/>
  <c r="H84" i="26"/>
  <c r="G84" i="27"/>
  <c r="H103" i="26"/>
  <c r="G103" i="27"/>
  <c r="H87" i="26"/>
  <c r="G87" i="27"/>
  <c r="H91" i="26"/>
  <c r="G91" i="27"/>
  <c r="H75" i="26"/>
  <c r="G75" i="27"/>
  <c r="H107" i="26"/>
  <c r="G107" i="27"/>
  <c r="H99" i="26"/>
  <c r="G99" i="27"/>
  <c r="H95" i="26"/>
  <c r="G95" i="27"/>
  <c r="H116" i="26"/>
  <c r="G116" i="27"/>
  <c r="H109" i="26"/>
  <c r="G109" i="27"/>
  <c r="G105" i="27"/>
  <c r="H105" i="26"/>
  <c r="H70" i="26"/>
  <c r="G70" i="27"/>
  <c r="H81" i="26"/>
  <c r="G81" i="27"/>
  <c r="H96" i="26"/>
  <c r="G96" i="27"/>
  <c r="H112" i="26"/>
  <c r="G112" i="27"/>
  <c r="H74" i="26"/>
  <c r="G74" i="27"/>
  <c r="H101" i="26"/>
  <c r="G101" i="27"/>
  <c r="H98" i="26"/>
  <c r="G98" i="27"/>
  <c r="G69" i="27"/>
  <c r="H69" i="26"/>
  <c r="H88" i="26"/>
  <c r="G88" i="27"/>
  <c r="H104" i="26"/>
  <c r="G104" i="27"/>
  <c r="H78" i="26"/>
  <c r="G78" i="27"/>
  <c r="H68" i="26"/>
  <c r="G68" i="27"/>
  <c r="H66" i="26"/>
  <c r="G66" i="27"/>
  <c r="H63" i="26"/>
  <c r="G63" i="27"/>
  <c r="H62" i="26"/>
  <c r="G62" i="27"/>
  <c r="H61" i="26"/>
  <c r="G61" i="27"/>
  <c r="H60" i="26"/>
  <c r="G60" i="27"/>
  <c r="G58" i="27"/>
  <c r="H58" i="26"/>
  <c r="G57" i="27"/>
  <c r="H57" i="26"/>
  <c r="H55" i="26"/>
  <c r="G55" i="27"/>
  <c r="G53" i="27"/>
  <c r="H53" i="26"/>
  <c r="H51" i="26"/>
  <c r="G51" i="27"/>
  <c r="H50" i="26"/>
  <c r="G50" i="27"/>
  <c r="H49" i="26"/>
  <c r="G49" i="27"/>
  <c r="H47" i="26"/>
  <c r="G47" i="27"/>
  <c r="H46" i="26"/>
  <c r="G46" i="27"/>
  <c r="H45" i="26"/>
  <c r="G45" i="27"/>
  <c r="H44" i="26"/>
  <c r="G44" i="27"/>
  <c r="H43" i="26"/>
  <c r="G43" i="27"/>
  <c r="H42" i="26"/>
  <c r="G42" i="27"/>
  <c r="H41" i="26"/>
  <c r="G41" i="27"/>
  <c r="H40" i="26"/>
  <c r="G40" i="27"/>
  <c r="H39" i="26"/>
  <c r="G39" i="27"/>
  <c r="H38" i="26"/>
  <c r="G38" i="27"/>
  <c r="H36" i="26"/>
  <c r="G36" i="27"/>
  <c r="H35" i="26"/>
  <c r="G35" i="27"/>
  <c r="H34" i="26"/>
  <c r="G34" i="27"/>
  <c r="H33" i="26"/>
  <c r="G33" i="27"/>
  <c r="H32" i="26"/>
  <c r="G32" i="27"/>
  <c r="H31" i="26"/>
  <c r="G31" i="27"/>
  <c r="H30" i="26"/>
  <c r="G30" i="27"/>
  <c r="H29" i="26"/>
  <c r="G29" i="27"/>
  <c r="H28" i="26"/>
  <c r="G28" i="27"/>
  <c r="H27" i="26"/>
  <c r="G27" i="27"/>
  <c r="H26" i="26"/>
  <c r="G26" i="27"/>
  <c r="H23" i="26"/>
  <c r="G23" i="27"/>
  <c r="H25" i="26"/>
  <c r="G25" i="27"/>
  <c r="H24" i="26"/>
  <c r="G24" i="27"/>
  <c r="H22" i="26"/>
  <c r="G22" i="27"/>
  <c r="H21" i="26"/>
  <c r="G21" i="27"/>
  <c r="H20" i="26"/>
  <c r="G20" i="27"/>
  <c r="H19" i="26"/>
  <c r="G19" i="27"/>
  <c r="H18" i="26"/>
  <c r="G18" i="27"/>
  <c r="H17" i="26"/>
  <c r="G17" i="27"/>
  <c r="H16" i="26"/>
  <c r="G16" i="27"/>
  <c r="H15" i="26"/>
  <c r="G15" i="27"/>
  <c r="H14" i="26"/>
  <c r="G14" i="27"/>
  <c r="H13" i="26"/>
  <c r="G13" i="27"/>
  <c r="H12" i="26"/>
  <c r="G12" i="27"/>
  <c r="H11" i="26"/>
  <c r="G11" i="27"/>
  <c r="G137" i="26"/>
  <c r="J7" i="26" s="1"/>
  <c r="K3" i="26" s="1"/>
  <c r="J137" i="27"/>
  <c r="J3" i="27" s="1"/>
  <c r="H10" i="26"/>
  <c r="G10" i="27"/>
  <c r="H134" i="28" l="1"/>
  <c r="G134" i="29"/>
  <c r="H129" i="28"/>
  <c r="G129" i="29"/>
  <c r="H128" i="28"/>
  <c r="G128" i="29"/>
  <c r="H131" i="29"/>
  <c r="G131" i="30"/>
  <c r="H131" i="30" s="1"/>
  <c r="H132" i="28"/>
  <c r="G132" i="29"/>
  <c r="H130" i="28"/>
  <c r="G130" i="29"/>
  <c r="H125" i="28"/>
  <c r="G125" i="29"/>
  <c r="H123" i="29"/>
  <c r="G123" i="30"/>
  <c r="H123" i="30" s="1"/>
  <c r="H120" i="29"/>
  <c r="G120" i="30"/>
  <c r="H120" i="30" s="1"/>
  <c r="H124" i="28"/>
  <c r="G124" i="29"/>
  <c r="A29" i="5"/>
  <c r="A31" i="27"/>
  <c r="A31" i="29"/>
  <c r="A31" i="28"/>
  <c r="A31" i="26"/>
  <c r="A31" i="30"/>
  <c r="A31" i="24"/>
  <c r="A31" i="21"/>
  <c r="A31" i="23"/>
  <c r="A31" i="13"/>
  <c r="A31" i="25"/>
  <c r="A31" i="22"/>
  <c r="A32" i="4"/>
  <c r="A31" i="10"/>
  <c r="A31" i="9"/>
  <c r="A31" i="7"/>
  <c r="A31" i="11"/>
  <c r="A31" i="6"/>
  <c r="A31" i="14"/>
  <c r="A31" i="12"/>
  <c r="A31" i="8"/>
  <c r="H119" i="29"/>
  <c r="G119" i="30"/>
  <c r="H119" i="30" s="1"/>
  <c r="H118" i="29"/>
  <c r="G118" i="30"/>
  <c r="H118" i="30" s="1"/>
  <c r="H122" i="28"/>
  <c r="G122" i="29"/>
  <c r="H126" i="28"/>
  <c r="G126" i="29"/>
  <c r="H127" i="28"/>
  <c r="G127" i="29"/>
  <c r="H67" i="27"/>
  <c r="G67" i="28"/>
  <c r="H65" i="27"/>
  <c r="G65" i="28"/>
  <c r="H64" i="27"/>
  <c r="G64" i="28"/>
  <c r="H59" i="27"/>
  <c r="G59" i="28"/>
  <c r="H56" i="28"/>
  <c r="G56" i="29"/>
  <c r="H54" i="27"/>
  <c r="G54" i="28"/>
  <c r="H48" i="28"/>
  <c r="G48" i="29"/>
  <c r="G37" i="28"/>
  <c r="H37" i="27"/>
  <c r="H52" i="27"/>
  <c r="G52" i="28"/>
  <c r="H135" i="26"/>
  <c r="H137" i="26" s="1"/>
  <c r="J4" i="26" s="1"/>
  <c r="G135" i="27"/>
  <c r="H98" i="27"/>
  <c r="G98" i="28"/>
  <c r="H96" i="27"/>
  <c r="G96" i="28"/>
  <c r="H95" i="27"/>
  <c r="G95" i="28"/>
  <c r="H91" i="27"/>
  <c r="G91" i="28"/>
  <c r="H79" i="27"/>
  <c r="G79" i="28"/>
  <c r="H92" i="27"/>
  <c r="G92" i="28"/>
  <c r="H73" i="27"/>
  <c r="G73" i="28"/>
  <c r="H78" i="27"/>
  <c r="G78" i="28"/>
  <c r="H74" i="27"/>
  <c r="G74" i="28"/>
  <c r="H70" i="27"/>
  <c r="G70" i="28"/>
  <c r="H107" i="27"/>
  <c r="G107" i="28"/>
  <c r="H103" i="27"/>
  <c r="G103" i="28"/>
  <c r="H90" i="27"/>
  <c r="G90" i="28"/>
  <c r="H82" i="27"/>
  <c r="G82" i="28"/>
  <c r="H89" i="27"/>
  <c r="G89" i="28"/>
  <c r="H76" i="27"/>
  <c r="G76" i="28"/>
  <c r="H86" i="27"/>
  <c r="G86" i="28"/>
  <c r="H115" i="27"/>
  <c r="G115" i="28"/>
  <c r="H94" i="27"/>
  <c r="G94" i="28"/>
  <c r="H83" i="27"/>
  <c r="G83" i="28"/>
  <c r="H111" i="27"/>
  <c r="G111" i="28"/>
  <c r="H68" i="27"/>
  <c r="G68" i="28"/>
  <c r="H104" i="27"/>
  <c r="G104" i="28"/>
  <c r="H101" i="27"/>
  <c r="G101" i="28"/>
  <c r="H112" i="27"/>
  <c r="G112" i="28"/>
  <c r="H81" i="27"/>
  <c r="G81" i="28"/>
  <c r="H116" i="27"/>
  <c r="G116" i="28"/>
  <c r="H99" i="27"/>
  <c r="G99" i="28"/>
  <c r="H75" i="27"/>
  <c r="G75" i="28"/>
  <c r="H87" i="27"/>
  <c r="G87" i="28"/>
  <c r="H84" i="27"/>
  <c r="G84" i="28"/>
  <c r="H113" i="27"/>
  <c r="G113" i="28"/>
  <c r="H97" i="27"/>
  <c r="G97" i="28"/>
  <c r="H106" i="27"/>
  <c r="G106" i="28"/>
  <c r="H114" i="27"/>
  <c r="G114" i="28"/>
  <c r="H108" i="27"/>
  <c r="G108" i="28"/>
  <c r="H100" i="27"/>
  <c r="G100" i="28"/>
  <c r="H80" i="27"/>
  <c r="G80" i="28"/>
  <c r="H93" i="27"/>
  <c r="G93" i="28"/>
  <c r="H72" i="27"/>
  <c r="G72" i="28"/>
  <c r="H71" i="27"/>
  <c r="G71" i="28"/>
  <c r="H77" i="27"/>
  <c r="G77" i="28"/>
  <c r="H110" i="27"/>
  <c r="G110" i="28"/>
  <c r="H88" i="27"/>
  <c r="G88" i="28"/>
  <c r="H109" i="27"/>
  <c r="G109" i="28"/>
  <c r="H102" i="27"/>
  <c r="G102" i="28"/>
  <c r="H69" i="27"/>
  <c r="G69" i="28"/>
  <c r="H105" i="27"/>
  <c r="G105" i="28"/>
  <c r="H85" i="27"/>
  <c r="G85" i="28"/>
  <c r="H66" i="27"/>
  <c r="G66" i="28"/>
  <c r="H63" i="27"/>
  <c r="G63" i="28"/>
  <c r="H62" i="27"/>
  <c r="G62" i="28"/>
  <c r="H61" i="27"/>
  <c r="G61" i="28"/>
  <c r="H60" i="27"/>
  <c r="G60" i="28"/>
  <c r="H58" i="27"/>
  <c r="G58" i="28"/>
  <c r="H57" i="27"/>
  <c r="G57" i="28"/>
  <c r="H55" i="27"/>
  <c r="G55" i="28"/>
  <c r="H53" i="27"/>
  <c r="G53" i="28"/>
  <c r="G51" i="28"/>
  <c r="H51" i="27"/>
  <c r="G50" i="28"/>
  <c r="H50" i="27"/>
  <c r="G49" i="28"/>
  <c r="H49" i="27"/>
  <c r="H47" i="27"/>
  <c r="G47" i="28"/>
  <c r="G46" i="28"/>
  <c r="H46" i="27"/>
  <c r="G45" i="28"/>
  <c r="H45" i="27"/>
  <c r="G44" i="28"/>
  <c r="H44" i="27"/>
  <c r="H43" i="27"/>
  <c r="G43" i="28"/>
  <c r="G42" i="28"/>
  <c r="H42" i="27"/>
  <c r="G41" i="28"/>
  <c r="H41" i="27"/>
  <c r="G40" i="28"/>
  <c r="H40" i="27"/>
  <c r="H39" i="27"/>
  <c r="G39" i="28"/>
  <c r="G38" i="28"/>
  <c r="H38" i="27"/>
  <c r="G36" i="28"/>
  <c r="H36" i="27"/>
  <c r="H35" i="27"/>
  <c r="G35" i="28"/>
  <c r="H34" i="27"/>
  <c r="G34" i="28"/>
  <c r="G33" i="28"/>
  <c r="H33" i="27"/>
  <c r="G32" i="28"/>
  <c r="H32" i="27"/>
  <c r="H31" i="27"/>
  <c r="G31" i="28"/>
  <c r="G30" i="28"/>
  <c r="H30" i="27"/>
  <c r="G29" i="28"/>
  <c r="H29" i="27"/>
  <c r="G28" i="28"/>
  <c r="H28" i="27"/>
  <c r="H27" i="27"/>
  <c r="G27" i="28"/>
  <c r="G26" i="28"/>
  <c r="H26" i="27"/>
  <c r="G23" i="28"/>
  <c r="H23" i="27"/>
  <c r="G25" i="28"/>
  <c r="H25" i="27"/>
  <c r="G24" i="28"/>
  <c r="H24" i="27"/>
  <c r="G22" i="28"/>
  <c r="H22" i="27"/>
  <c r="H21" i="27"/>
  <c r="G21" i="28"/>
  <c r="G20" i="28"/>
  <c r="H20" i="27"/>
  <c r="H19" i="27"/>
  <c r="G19" i="28"/>
  <c r="H18" i="27"/>
  <c r="G18" i="28"/>
  <c r="H17" i="27"/>
  <c r="G17" i="28"/>
  <c r="G16" i="28"/>
  <c r="H16" i="27"/>
  <c r="H15" i="27"/>
  <c r="G15" i="28"/>
  <c r="G14" i="28"/>
  <c r="H14" i="27"/>
  <c r="G13" i="28"/>
  <c r="H13" i="27"/>
  <c r="G12" i="28"/>
  <c r="H12" i="27"/>
  <c r="G11" i="28"/>
  <c r="H11" i="27"/>
  <c r="J137" i="28"/>
  <c r="J3" i="28" s="1"/>
  <c r="G10" i="28"/>
  <c r="H10" i="27"/>
  <c r="H134" i="29" l="1"/>
  <c r="G134" i="30"/>
  <c r="H134" i="30" s="1"/>
  <c r="H132" i="29"/>
  <c r="G132" i="30"/>
  <c r="H132" i="30" s="1"/>
  <c r="H126" i="29"/>
  <c r="G126" i="30"/>
  <c r="H126" i="30" s="1"/>
  <c r="A30" i="5"/>
  <c r="A32" i="26"/>
  <c r="A32" i="29"/>
  <c r="A32" i="25"/>
  <c r="A32" i="24"/>
  <c r="A32" i="30"/>
  <c r="A32" i="23"/>
  <c r="A32" i="27"/>
  <c r="A32" i="22"/>
  <c r="A32" i="28"/>
  <c r="A32" i="11"/>
  <c r="A32" i="21"/>
  <c r="A32" i="12"/>
  <c r="A32" i="13"/>
  <c r="A32" i="6"/>
  <c r="A33" i="4"/>
  <c r="A32" i="14"/>
  <c r="A32" i="8"/>
  <c r="A32" i="10"/>
  <c r="A32" i="9"/>
  <c r="A32" i="7"/>
  <c r="H129" i="29"/>
  <c r="G129" i="30"/>
  <c r="H129" i="30" s="1"/>
  <c r="H125" i="29"/>
  <c r="G125" i="30"/>
  <c r="H125" i="30" s="1"/>
  <c r="H130" i="29"/>
  <c r="G130" i="30"/>
  <c r="H130" i="30" s="1"/>
  <c r="H127" i="29"/>
  <c r="G127" i="30"/>
  <c r="H127" i="30" s="1"/>
  <c r="H124" i="29"/>
  <c r="G124" i="30"/>
  <c r="H124" i="30" s="1"/>
  <c r="H128" i="29"/>
  <c r="G128" i="30"/>
  <c r="H128" i="30" s="1"/>
  <c r="H122" i="29"/>
  <c r="G122" i="30"/>
  <c r="H122" i="30" s="1"/>
  <c r="H67" i="28"/>
  <c r="G67" i="29"/>
  <c r="H65" i="28"/>
  <c r="G65" i="29"/>
  <c r="H64" i="28"/>
  <c r="G64" i="29"/>
  <c r="H59" i="28"/>
  <c r="G59" i="29"/>
  <c r="H56" i="29"/>
  <c r="G56" i="30"/>
  <c r="H56" i="30" s="1"/>
  <c r="H54" i="28"/>
  <c r="G54" i="29"/>
  <c r="H52" i="28"/>
  <c r="G52" i="29"/>
  <c r="H37" i="28"/>
  <c r="G37" i="29"/>
  <c r="H48" i="29"/>
  <c r="G48" i="30"/>
  <c r="H48" i="30" s="1"/>
  <c r="H135" i="27"/>
  <c r="H137" i="27" s="1"/>
  <c r="J4" i="27" s="1"/>
  <c r="G135" i="28"/>
  <c r="G137" i="27"/>
  <c r="J7" i="27" s="1"/>
  <c r="K3" i="27" s="1"/>
  <c r="H102" i="28"/>
  <c r="G102" i="29"/>
  <c r="H108" i="28"/>
  <c r="G108" i="29"/>
  <c r="H113" i="28"/>
  <c r="G113" i="29"/>
  <c r="H81" i="28"/>
  <c r="G81" i="29"/>
  <c r="H83" i="28"/>
  <c r="G83" i="29"/>
  <c r="H76" i="28"/>
  <c r="G76" i="29"/>
  <c r="G91" i="29"/>
  <c r="H91" i="28"/>
  <c r="H105" i="28"/>
  <c r="G105" i="29"/>
  <c r="H77" i="28"/>
  <c r="G77" i="29"/>
  <c r="H72" i="28"/>
  <c r="G72" i="29"/>
  <c r="H106" i="28"/>
  <c r="G106" i="29"/>
  <c r="H87" i="28"/>
  <c r="G87" i="29"/>
  <c r="H99" i="28"/>
  <c r="G99" i="29"/>
  <c r="G101" i="29"/>
  <c r="H101" i="28"/>
  <c r="H115" i="28"/>
  <c r="G115" i="29"/>
  <c r="H82" i="28"/>
  <c r="G82" i="29"/>
  <c r="H103" i="28"/>
  <c r="G103" i="29"/>
  <c r="H70" i="28"/>
  <c r="G70" i="29"/>
  <c r="H78" i="28"/>
  <c r="G78" i="29"/>
  <c r="H92" i="28"/>
  <c r="G92" i="29"/>
  <c r="H96" i="28"/>
  <c r="G96" i="29"/>
  <c r="G85" i="29"/>
  <c r="H85" i="28"/>
  <c r="G69" i="29"/>
  <c r="H69" i="28"/>
  <c r="H109" i="28"/>
  <c r="G109" i="29"/>
  <c r="H110" i="28"/>
  <c r="G110" i="29"/>
  <c r="H71" i="28"/>
  <c r="G71" i="29"/>
  <c r="H93" i="28"/>
  <c r="G93" i="29"/>
  <c r="H100" i="28"/>
  <c r="G100" i="29"/>
  <c r="H114" i="28"/>
  <c r="G114" i="29"/>
  <c r="H97" i="28"/>
  <c r="G97" i="29"/>
  <c r="H84" i="28"/>
  <c r="G84" i="29"/>
  <c r="G75" i="29"/>
  <c r="H75" i="28"/>
  <c r="H116" i="28"/>
  <c r="G116" i="29"/>
  <c r="H112" i="28"/>
  <c r="G112" i="29"/>
  <c r="H104" i="28"/>
  <c r="G104" i="29"/>
  <c r="H111" i="28"/>
  <c r="G111" i="29"/>
  <c r="H94" i="28"/>
  <c r="G94" i="29"/>
  <c r="H86" i="28"/>
  <c r="G86" i="29"/>
  <c r="H89" i="28"/>
  <c r="G89" i="29"/>
  <c r="H90" i="28"/>
  <c r="G90" i="29"/>
  <c r="G107" i="29"/>
  <c r="H107" i="28"/>
  <c r="H74" i="28"/>
  <c r="G74" i="29"/>
  <c r="H73" i="28"/>
  <c r="G73" i="29"/>
  <c r="H79" i="28"/>
  <c r="G79" i="29"/>
  <c r="H95" i="28"/>
  <c r="G95" i="29"/>
  <c r="H98" i="28"/>
  <c r="G98" i="29"/>
  <c r="H88" i="28"/>
  <c r="G88" i="29"/>
  <c r="H80" i="28"/>
  <c r="G80" i="29"/>
  <c r="H68" i="28"/>
  <c r="G68" i="29"/>
  <c r="H66" i="28"/>
  <c r="G66" i="29"/>
  <c r="G63" i="29"/>
  <c r="H63" i="28"/>
  <c r="H62" i="28"/>
  <c r="G62" i="29"/>
  <c r="G61" i="29"/>
  <c r="H61" i="28"/>
  <c r="H60" i="28"/>
  <c r="G60" i="29"/>
  <c r="H58" i="28"/>
  <c r="G58" i="29"/>
  <c r="G57" i="29"/>
  <c r="H57" i="28"/>
  <c r="G55" i="29"/>
  <c r="H55" i="28"/>
  <c r="H53" i="28"/>
  <c r="G53" i="29"/>
  <c r="G51" i="29"/>
  <c r="H51" i="28"/>
  <c r="G50" i="29"/>
  <c r="H50" i="28"/>
  <c r="H49" i="28"/>
  <c r="G49" i="29"/>
  <c r="G47" i="29"/>
  <c r="H47" i="28"/>
  <c r="G46" i="29"/>
  <c r="H46" i="28"/>
  <c r="G45" i="29"/>
  <c r="H45" i="28"/>
  <c r="H44" i="28"/>
  <c r="G44" i="29"/>
  <c r="G43" i="29"/>
  <c r="H43" i="28"/>
  <c r="G42" i="29"/>
  <c r="H42" i="28"/>
  <c r="H41" i="28"/>
  <c r="G41" i="29"/>
  <c r="H40" i="28"/>
  <c r="G40" i="29"/>
  <c r="G39" i="29"/>
  <c r="H39" i="28"/>
  <c r="G38" i="29"/>
  <c r="H38" i="28"/>
  <c r="G36" i="29"/>
  <c r="H36" i="28"/>
  <c r="H35" i="28"/>
  <c r="G35" i="29"/>
  <c r="H34" i="28"/>
  <c r="G34" i="29"/>
  <c r="G33" i="29"/>
  <c r="H33" i="28"/>
  <c r="H32" i="28"/>
  <c r="G32" i="29"/>
  <c r="H31" i="28"/>
  <c r="G31" i="29"/>
  <c r="H30" i="28"/>
  <c r="G30" i="29"/>
  <c r="G29" i="29"/>
  <c r="H29" i="28"/>
  <c r="G28" i="29"/>
  <c r="H28" i="28"/>
  <c r="H27" i="28"/>
  <c r="G27" i="29"/>
  <c r="H26" i="28"/>
  <c r="G26" i="29"/>
  <c r="H23" i="28"/>
  <c r="G23" i="29"/>
  <c r="H25" i="28"/>
  <c r="G25" i="29"/>
  <c r="H24" i="28"/>
  <c r="G24" i="29"/>
  <c r="H22" i="28"/>
  <c r="G22" i="29"/>
  <c r="G21" i="29"/>
  <c r="H21" i="28"/>
  <c r="G20" i="29"/>
  <c r="H20" i="28"/>
  <c r="H19" i="28"/>
  <c r="G19" i="29"/>
  <c r="H18" i="28"/>
  <c r="G18" i="29"/>
  <c r="G17" i="29"/>
  <c r="H17" i="28"/>
  <c r="G16" i="29"/>
  <c r="H16" i="28"/>
  <c r="H15" i="28"/>
  <c r="G15" i="29"/>
  <c r="H14" i="28"/>
  <c r="G14" i="29"/>
  <c r="G13" i="29"/>
  <c r="H13" i="28"/>
  <c r="G12" i="29"/>
  <c r="H12" i="28"/>
  <c r="G11" i="29"/>
  <c r="H11" i="28"/>
  <c r="J137" i="29"/>
  <c r="J3" i="29" s="1"/>
  <c r="G137" i="28"/>
  <c r="J7" i="28" s="1"/>
  <c r="K3" i="28" s="1"/>
  <c r="H10" i="28"/>
  <c r="G10" i="29"/>
  <c r="A31" i="5" l="1"/>
  <c r="A33" i="28"/>
  <c r="A33" i="30"/>
  <c r="A33" i="27"/>
  <c r="A33" i="29"/>
  <c r="A33" i="22"/>
  <c r="A33" i="10"/>
  <c r="A33" i="25"/>
  <c r="A33" i="14"/>
  <c r="A33" i="24"/>
  <c r="A33" i="8"/>
  <c r="A33" i="7"/>
  <c r="A33" i="11"/>
  <c r="A33" i="9"/>
  <c r="A33" i="13"/>
  <c r="A33" i="21"/>
  <c r="A33" i="12"/>
  <c r="A33" i="6"/>
  <c r="A34" i="4"/>
  <c r="A33" i="23"/>
  <c r="A33" i="26"/>
  <c r="H67" i="29"/>
  <c r="G67" i="30"/>
  <c r="H67" i="30" s="1"/>
  <c r="H65" i="29"/>
  <c r="G65" i="30"/>
  <c r="H65" i="30" s="1"/>
  <c r="H64" i="29"/>
  <c r="G64" i="30"/>
  <c r="H64" i="30" s="1"/>
  <c r="H59" i="29"/>
  <c r="G59" i="30"/>
  <c r="H59" i="30" s="1"/>
  <c r="H54" i="29"/>
  <c r="G54" i="30"/>
  <c r="H54" i="30" s="1"/>
  <c r="G37" i="30"/>
  <c r="H37" i="30" s="1"/>
  <c r="H37" i="29"/>
  <c r="H52" i="29"/>
  <c r="G52" i="30"/>
  <c r="H52" i="30" s="1"/>
  <c r="H135" i="28"/>
  <c r="H137" i="28" s="1"/>
  <c r="J4" i="28" s="1"/>
  <c r="G135" i="29"/>
  <c r="G137" i="29" s="1"/>
  <c r="J7" i="29" s="1"/>
  <c r="K3" i="29" s="1"/>
  <c r="H74" i="29"/>
  <c r="G74" i="30"/>
  <c r="H74" i="30" s="1"/>
  <c r="H112" i="29"/>
  <c r="G112" i="30"/>
  <c r="H112" i="30" s="1"/>
  <c r="H100" i="29"/>
  <c r="G100" i="30"/>
  <c r="H100" i="30" s="1"/>
  <c r="H70" i="29"/>
  <c r="G70" i="30"/>
  <c r="H70" i="30" s="1"/>
  <c r="H105" i="29"/>
  <c r="G105" i="30"/>
  <c r="H105" i="30" s="1"/>
  <c r="H76" i="29"/>
  <c r="G76" i="30"/>
  <c r="H76" i="30" s="1"/>
  <c r="H108" i="29"/>
  <c r="G108" i="30"/>
  <c r="H108" i="30" s="1"/>
  <c r="H75" i="29"/>
  <c r="G75" i="30"/>
  <c r="H75" i="30" s="1"/>
  <c r="H85" i="29"/>
  <c r="G85" i="30"/>
  <c r="H85" i="30" s="1"/>
  <c r="H101" i="29"/>
  <c r="G101" i="30"/>
  <c r="H101" i="30" s="1"/>
  <c r="H98" i="29"/>
  <c r="G98" i="30"/>
  <c r="H98" i="30" s="1"/>
  <c r="H86" i="29"/>
  <c r="G86" i="30"/>
  <c r="H86" i="30" s="1"/>
  <c r="H109" i="29"/>
  <c r="G109" i="30"/>
  <c r="H109" i="30" s="1"/>
  <c r="H92" i="29"/>
  <c r="G92" i="30"/>
  <c r="H92" i="30" s="1"/>
  <c r="H82" i="29"/>
  <c r="G82" i="30"/>
  <c r="H82" i="30" s="1"/>
  <c r="H72" i="29"/>
  <c r="G72" i="30"/>
  <c r="H72" i="30" s="1"/>
  <c r="H81" i="29"/>
  <c r="G81" i="30"/>
  <c r="H81" i="30" s="1"/>
  <c r="H68" i="29"/>
  <c r="G68" i="30"/>
  <c r="H68" i="30" s="1"/>
  <c r="H88" i="29"/>
  <c r="G88" i="30"/>
  <c r="H88" i="30" s="1"/>
  <c r="H95" i="29"/>
  <c r="G95" i="30"/>
  <c r="H95" i="30" s="1"/>
  <c r="H73" i="29"/>
  <c r="G73" i="30"/>
  <c r="H73" i="30" s="1"/>
  <c r="H89" i="29"/>
  <c r="G89" i="30"/>
  <c r="H89" i="30" s="1"/>
  <c r="H94" i="29"/>
  <c r="G94" i="30"/>
  <c r="H94" i="30" s="1"/>
  <c r="H104" i="29"/>
  <c r="G104" i="30"/>
  <c r="H104" i="30" s="1"/>
  <c r="H116" i="29"/>
  <c r="G116" i="30"/>
  <c r="H116" i="30" s="1"/>
  <c r="H84" i="29"/>
  <c r="G84" i="30"/>
  <c r="H84" i="30" s="1"/>
  <c r="H114" i="29"/>
  <c r="G114" i="30"/>
  <c r="H114" i="30" s="1"/>
  <c r="H93" i="29"/>
  <c r="G93" i="30"/>
  <c r="H93" i="30" s="1"/>
  <c r="H110" i="29"/>
  <c r="G110" i="30"/>
  <c r="H110" i="30" s="1"/>
  <c r="H96" i="29"/>
  <c r="G96" i="30"/>
  <c r="H96" i="30" s="1"/>
  <c r="H78" i="29"/>
  <c r="G78" i="30"/>
  <c r="H78" i="30" s="1"/>
  <c r="H103" i="29"/>
  <c r="G103" i="30"/>
  <c r="H103" i="30" s="1"/>
  <c r="H115" i="29"/>
  <c r="G115" i="30"/>
  <c r="H115" i="30" s="1"/>
  <c r="H99" i="29"/>
  <c r="G99" i="30"/>
  <c r="H99" i="30" s="1"/>
  <c r="H106" i="29"/>
  <c r="G106" i="30"/>
  <c r="H106" i="30" s="1"/>
  <c r="H77" i="29"/>
  <c r="G77" i="30"/>
  <c r="H77" i="30" s="1"/>
  <c r="H83" i="29"/>
  <c r="G83" i="30"/>
  <c r="H83" i="30" s="1"/>
  <c r="H113" i="29"/>
  <c r="G113" i="30"/>
  <c r="H113" i="30" s="1"/>
  <c r="H102" i="29"/>
  <c r="G102" i="30"/>
  <c r="H102" i="30" s="1"/>
  <c r="H80" i="29"/>
  <c r="G80" i="30"/>
  <c r="H80" i="30" s="1"/>
  <c r="H79" i="29"/>
  <c r="G79" i="30"/>
  <c r="H79" i="30" s="1"/>
  <c r="H90" i="29"/>
  <c r="G90" i="30"/>
  <c r="H90" i="30" s="1"/>
  <c r="H111" i="29"/>
  <c r="G111" i="30"/>
  <c r="H111" i="30" s="1"/>
  <c r="H97" i="29"/>
  <c r="G97" i="30"/>
  <c r="H97" i="30" s="1"/>
  <c r="H71" i="29"/>
  <c r="G71" i="30"/>
  <c r="H71" i="30" s="1"/>
  <c r="H87" i="29"/>
  <c r="G87" i="30"/>
  <c r="H87" i="30" s="1"/>
  <c r="H107" i="29"/>
  <c r="G107" i="30"/>
  <c r="H107" i="30" s="1"/>
  <c r="H69" i="29"/>
  <c r="G69" i="30"/>
  <c r="H69" i="30" s="1"/>
  <c r="H91" i="29"/>
  <c r="G91" i="30"/>
  <c r="H91" i="30" s="1"/>
  <c r="H66" i="29"/>
  <c r="G66" i="30"/>
  <c r="H66" i="30" s="1"/>
  <c r="H63" i="29"/>
  <c r="G63" i="30"/>
  <c r="H63" i="30" s="1"/>
  <c r="H62" i="29"/>
  <c r="G62" i="30"/>
  <c r="H62" i="30" s="1"/>
  <c r="H61" i="29"/>
  <c r="G61" i="30"/>
  <c r="H61" i="30" s="1"/>
  <c r="H60" i="29"/>
  <c r="G60" i="30"/>
  <c r="H60" i="30" s="1"/>
  <c r="H58" i="29"/>
  <c r="G58" i="30"/>
  <c r="H58" i="30" s="1"/>
  <c r="H57" i="29"/>
  <c r="G57" i="30"/>
  <c r="H57" i="30" s="1"/>
  <c r="G55" i="30"/>
  <c r="H55" i="30" s="1"/>
  <c r="H55" i="29"/>
  <c r="H53" i="29"/>
  <c r="G53" i="30"/>
  <c r="H53" i="30" s="1"/>
  <c r="G51" i="30"/>
  <c r="H51" i="30" s="1"/>
  <c r="H51" i="29"/>
  <c r="G50" i="30"/>
  <c r="H50" i="30" s="1"/>
  <c r="H50" i="29"/>
  <c r="G49" i="30"/>
  <c r="H49" i="30" s="1"/>
  <c r="H49" i="29"/>
  <c r="G47" i="30"/>
  <c r="H47" i="30" s="1"/>
  <c r="H47" i="29"/>
  <c r="H46" i="29"/>
  <c r="G46" i="30"/>
  <c r="H46" i="30" s="1"/>
  <c r="G45" i="30"/>
  <c r="H45" i="30" s="1"/>
  <c r="H45" i="29"/>
  <c r="H44" i="29"/>
  <c r="G44" i="30"/>
  <c r="H44" i="30" s="1"/>
  <c r="G43" i="30"/>
  <c r="H43" i="30" s="1"/>
  <c r="H43" i="29"/>
  <c r="H42" i="29"/>
  <c r="G42" i="30"/>
  <c r="H42" i="30" s="1"/>
  <c r="G41" i="30"/>
  <c r="H41" i="30" s="1"/>
  <c r="H41" i="29"/>
  <c r="H40" i="29"/>
  <c r="G40" i="30"/>
  <c r="H40" i="30" s="1"/>
  <c r="G39" i="30"/>
  <c r="H39" i="30" s="1"/>
  <c r="H39" i="29"/>
  <c r="H38" i="29"/>
  <c r="G38" i="30"/>
  <c r="H38" i="30" s="1"/>
  <c r="G36" i="30"/>
  <c r="H36" i="30" s="1"/>
  <c r="H36" i="29"/>
  <c r="G35" i="30"/>
  <c r="H35" i="30" s="1"/>
  <c r="H35" i="29"/>
  <c r="G34" i="30"/>
  <c r="H34" i="30" s="1"/>
  <c r="H34" i="29"/>
  <c r="G33" i="30"/>
  <c r="H33" i="30" s="1"/>
  <c r="H33" i="29"/>
  <c r="G32" i="30"/>
  <c r="H32" i="30" s="1"/>
  <c r="H32" i="29"/>
  <c r="G31" i="30"/>
  <c r="H31" i="30" s="1"/>
  <c r="H31" i="29"/>
  <c r="G30" i="30"/>
  <c r="H30" i="30" s="1"/>
  <c r="H30" i="29"/>
  <c r="G29" i="30"/>
  <c r="H29" i="30" s="1"/>
  <c r="H29" i="29"/>
  <c r="G28" i="30"/>
  <c r="H28" i="30" s="1"/>
  <c r="H28" i="29"/>
  <c r="G27" i="30"/>
  <c r="H27" i="30" s="1"/>
  <c r="H27" i="29"/>
  <c r="G26" i="30"/>
  <c r="H26" i="30" s="1"/>
  <c r="H26" i="29"/>
  <c r="G23" i="30"/>
  <c r="H23" i="30" s="1"/>
  <c r="H23" i="29"/>
  <c r="G25" i="30"/>
  <c r="H25" i="30" s="1"/>
  <c r="H25" i="29"/>
  <c r="H24" i="29"/>
  <c r="G24" i="30"/>
  <c r="H24" i="30" s="1"/>
  <c r="G22" i="30"/>
  <c r="H22" i="30" s="1"/>
  <c r="H22" i="29"/>
  <c r="G21" i="30"/>
  <c r="H21" i="30" s="1"/>
  <c r="H21" i="29"/>
  <c r="G20" i="30"/>
  <c r="H20" i="30" s="1"/>
  <c r="H20" i="29"/>
  <c r="G19" i="30"/>
  <c r="H19" i="30" s="1"/>
  <c r="H19" i="29"/>
  <c r="G18" i="30"/>
  <c r="H18" i="30" s="1"/>
  <c r="H18" i="29"/>
  <c r="G17" i="30"/>
  <c r="H17" i="30" s="1"/>
  <c r="H17" i="29"/>
  <c r="G16" i="30"/>
  <c r="H16" i="30" s="1"/>
  <c r="H16" i="29"/>
  <c r="G15" i="30"/>
  <c r="H15" i="30" s="1"/>
  <c r="H15" i="29"/>
  <c r="G14" i="30"/>
  <c r="H14" i="30" s="1"/>
  <c r="H14" i="29"/>
  <c r="G13" i="30"/>
  <c r="H13" i="30" s="1"/>
  <c r="H13" i="29"/>
  <c r="G12" i="30"/>
  <c r="H12" i="30" s="1"/>
  <c r="H12" i="29"/>
  <c r="G11" i="30"/>
  <c r="H11" i="30" s="1"/>
  <c r="H11" i="29"/>
  <c r="J137" i="30"/>
  <c r="J5" i="30" s="1"/>
  <c r="H10" i="29"/>
  <c r="G10" i="30"/>
  <c r="A32" i="5" l="1"/>
  <c r="A34" i="30"/>
  <c r="A34" i="27"/>
  <c r="A34" i="26"/>
  <c r="A34" i="29"/>
  <c r="A34" i="28"/>
  <c r="A34" i="24"/>
  <c r="A34" i="23"/>
  <c r="A34" i="11"/>
  <c r="A34" i="22"/>
  <c r="A34" i="25"/>
  <c r="A34" i="9"/>
  <c r="A34" i="13"/>
  <c r="A34" i="14"/>
  <c r="A34" i="6"/>
  <c r="A35" i="4"/>
  <c r="A34" i="10"/>
  <c r="A34" i="7"/>
  <c r="A34" i="21"/>
  <c r="A34" i="8"/>
  <c r="A34" i="12"/>
  <c r="G135" i="30"/>
  <c r="H135" i="30" s="1"/>
  <c r="H135" i="29"/>
  <c r="H137" i="29"/>
  <c r="J4" i="29" s="1"/>
  <c r="H10" i="30"/>
  <c r="A33" i="5" l="1"/>
  <c r="A35" i="26"/>
  <c r="A35" i="27"/>
  <c r="A35" i="29"/>
  <c r="A35" i="25"/>
  <c r="A35" i="28"/>
  <c r="A35" i="23"/>
  <c r="A35" i="22"/>
  <c r="A35" i="30"/>
  <c r="A35" i="21"/>
  <c r="A35" i="12"/>
  <c r="A35" i="11"/>
  <c r="A35" i="8"/>
  <c r="A35" i="6"/>
  <c r="A35" i="24"/>
  <c r="A35" i="10"/>
  <c r="A35" i="7"/>
  <c r="A35" i="9"/>
  <c r="A35" i="13"/>
  <c r="A35" i="14"/>
  <c r="A36" i="4"/>
  <c r="G137" i="30"/>
  <c r="J7" i="30" s="1"/>
  <c r="K3" i="30" s="1"/>
  <c r="H137" i="30"/>
  <c r="J6" i="30" s="1"/>
  <c r="A34" i="5" l="1"/>
  <c r="A36" i="28"/>
  <c r="A36" i="30"/>
  <c r="A36" i="27"/>
  <c r="A36" i="29"/>
  <c r="A36" i="26"/>
  <c r="A36" i="14"/>
  <c r="A36" i="12"/>
  <c r="A36" i="22"/>
  <c r="A36" i="25"/>
  <c r="A36" i="21"/>
  <c r="A36" i="10"/>
  <c r="A36" i="24"/>
  <c r="A36" i="11"/>
  <c r="A36" i="7"/>
  <c r="A36" i="8"/>
  <c r="A36" i="13"/>
  <c r="A36" i="23"/>
  <c r="A36" i="9"/>
  <c r="A36" i="6"/>
  <c r="A37" i="4"/>
  <c r="A35" i="5" l="1"/>
  <c r="A37" i="30"/>
  <c r="A37" i="26"/>
  <c r="A37" i="29"/>
  <c r="A37" i="27"/>
  <c r="A37" i="28"/>
  <c r="A37" i="24"/>
  <c r="A37" i="23"/>
  <c r="A37" i="13"/>
  <c r="A37" i="22"/>
  <c r="A37" i="25"/>
  <c r="A37" i="14"/>
  <c r="A37" i="11"/>
  <c r="A37" i="9"/>
  <c r="A37" i="21"/>
  <c r="A37" i="8"/>
  <c r="A37" i="10"/>
  <c r="A37" i="7"/>
  <c r="A38" i="4"/>
  <c r="A37" i="12"/>
  <c r="A37" i="6"/>
  <c r="A36" i="5" l="1"/>
  <c r="A38" i="29"/>
  <c r="A38" i="27"/>
  <c r="A38" i="28"/>
  <c r="A38" i="23"/>
  <c r="A38" i="22"/>
  <c r="A38" i="25"/>
  <c r="A38" i="30"/>
  <c r="A38" i="21"/>
  <c r="A38" i="26"/>
  <c r="A38" i="13"/>
  <c r="A38" i="12"/>
  <c r="A38" i="24"/>
  <c r="A38" i="14"/>
  <c r="A39" i="4"/>
  <c r="A38" i="11"/>
  <c r="A38" i="10"/>
  <c r="A38" i="7"/>
  <c r="A38" i="9"/>
  <c r="A38" i="8"/>
  <c r="A38" i="6"/>
  <c r="A37" i="5" l="1"/>
  <c r="A39" i="30"/>
  <c r="A39" i="29"/>
  <c r="A39" i="26"/>
  <c r="A39" i="28"/>
  <c r="A39" i="22"/>
  <c r="A39" i="25"/>
  <c r="A39" i="21"/>
  <c r="A39" i="24"/>
  <c r="A39" i="10"/>
  <c r="A39" i="11"/>
  <c r="A39" i="9"/>
  <c r="A39" i="12"/>
  <c r="A40" i="4"/>
  <c r="A39" i="13"/>
  <c r="A39" i="7"/>
  <c r="A39" i="6"/>
  <c r="A39" i="14"/>
  <c r="A39" i="27"/>
  <c r="A39" i="23"/>
  <c r="A39" i="8"/>
  <c r="A38" i="5" l="1"/>
  <c r="A40" i="26"/>
  <c r="A40" i="30"/>
  <c r="A40" i="29"/>
  <c r="A40" i="28"/>
  <c r="A40" i="24"/>
  <c r="A40" i="27"/>
  <c r="A40" i="23"/>
  <c r="A40" i="10"/>
  <c r="A40" i="21"/>
  <c r="A40" i="22"/>
  <c r="A40" i="25"/>
  <c r="A40" i="14"/>
  <c r="A40" i="11"/>
  <c r="A40" i="12"/>
  <c r="A40" i="7"/>
  <c r="A40" i="8"/>
  <c r="A40" i="9"/>
  <c r="A40" i="13"/>
  <c r="A41" i="4"/>
  <c r="A40" i="6"/>
  <c r="A39" i="5" l="1"/>
  <c r="A41" i="30"/>
  <c r="A41" i="29"/>
  <c r="A41" i="25"/>
  <c r="A41" i="28"/>
  <c r="A41" i="27"/>
  <c r="A41" i="22"/>
  <c r="A41" i="12"/>
  <c r="A41" i="11"/>
  <c r="A41" i="26"/>
  <c r="A41" i="23"/>
  <c r="A41" i="9"/>
  <c r="A41" i="13"/>
  <c r="A41" i="6"/>
  <c r="A41" i="24"/>
  <c r="A41" i="8"/>
  <c r="A42" i="4"/>
  <c r="A41" i="14"/>
  <c r="A41" i="21"/>
  <c r="A41" i="10"/>
  <c r="A41" i="7"/>
  <c r="A40" i="5" l="1"/>
  <c r="A42" i="27"/>
  <c r="A42" i="26"/>
  <c r="A42" i="30"/>
  <c r="A42" i="28"/>
  <c r="A42" i="22"/>
  <c r="A42" i="29"/>
  <c r="A42" i="14"/>
  <c r="A42" i="25"/>
  <c r="A42" i="8"/>
  <c r="A42" i="24"/>
  <c r="A42" i="23"/>
  <c r="A42" i="21"/>
  <c r="A42" i="6"/>
  <c r="A42" i="11"/>
  <c r="A42" i="10"/>
  <c r="A42" i="12"/>
  <c r="A42" i="7"/>
  <c r="A42" i="9"/>
  <c r="A42" i="13"/>
  <c r="A43" i="4"/>
  <c r="A41" i="5" l="1"/>
  <c r="A43" i="29"/>
  <c r="A43" i="25"/>
  <c r="A43" i="28"/>
  <c r="A43" i="24"/>
  <c r="A43" i="26"/>
  <c r="A43" i="23"/>
  <c r="A43" i="30"/>
  <c r="A43" i="22"/>
  <c r="A43" i="21"/>
  <c r="A43" i="14"/>
  <c r="A43" i="11"/>
  <c r="A43" i="12"/>
  <c r="A43" i="10"/>
  <c r="A43" i="7"/>
  <c r="A43" i="9"/>
  <c r="A43" i="6"/>
  <c r="A43" i="13"/>
  <c r="A44" i="4"/>
  <c r="A43" i="8"/>
  <c r="A43" i="27"/>
  <c r="A42" i="5" l="1"/>
  <c r="A44" i="25"/>
  <c r="A44" i="30"/>
  <c r="A44" i="28"/>
  <c r="A44" i="27"/>
  <c r="A44" i="29"/>
  <c r="A44" i="22"/>
  <c r="A44" i="13"/>
  <c r="A44" i="21"/>
  <c r="A44" i="23"/>
  <c r="A44" i="10"/>
  <c r="A44" i="14"/>
  <c r="A44" i="8"/>
  <c r="A44" i="9"/>
  <c r="A44" i="11"/>
  <c r="A44" i="26"/>
  <c r="A44" i="12"/>
  <c r="A44" i="24"/>
  <c r="A45" i="4"/>
  <c r="A44" i="7"/>
  <c r="A44" i="6"/>
  <c r="A45" i="27" l="1"/>
  <c r="A45" i="24"/>
  <c r="A45" i="26"/>
  <c r="A45" i="21"/>
  <c r="A45" i="28"/>
  <c r="A45" i="25"/>
  <c r="A45" i="22"/>
  <c r="A45" i="29"/>
  <c r="A45" i="13"/>
  <c r="A45" i="30"/>
  <c r="A45" i="23"/>
  <c r="A46" i="4"/>
  <c r="A45" i="11"/>
  <c r="A45" i="8"/>
  <c r="A45" i="12"/>
  <c r="A45" i="7"/>
  <c r="A45" i="14"/>
  <c r="A45" i="10"/>
  <c r="A45" i="9"/>
  <c r="A45" i="6"/>
  <c r="A46" i="26" l="1"/>
  <c r="A46" i="29"/>
  <c r="A46" i="25"/>
  <c r="A46" i="24"/>
  <c r="A46" i="28"/>
  <c r="A46" i="23"/>
  <c r="A46" i="22"/>
  <c r="A46" i="30"/>
  <c r="A46" i="27"/>
  <c r="A46" i="12"/>
  <c r="A47" i="4"/>
  <c r="A46" i="21"/>
  <c r="A46" i="14"/>
  <c r="A46" i="10"/>
  <c r="A46" i="7"/>
  <c r="A46" i="9"/>
  <c r="A46" i="13"/>
  <c r="A46" i="8"/>
  <c r="A46" i="6"/>
  <c r="A46" i="11"/>
  <c r="A47" i="28" l="1"/>
  <c r="A47" i="30"/>
  <c r="A47" i="21"/>
  <c r="A47" i="25"/>
  <c r="A47" i="29"/>
  <c r="A47" i="22"/>
  <c r="A47" i="27"/>
  <c r="A47" i="10"/>
  <c r="A47" i="23"/>
  <c r="A47" i="7"/>
  <c r="A47" i="8"/>
  <c r="A47" i="9"/>
  <c r="A47" i="24"/>
  <c r="A47" i="13"/>
  <c r="A47" i="11"/>
  <c r="A48" i="4"/>
  <c r="A47" i="12"/>
  <c r="A47" i="26"/>
  <c r="A47" i="14"/>
  <c r="A47" i="6"/>
  <c r="A45" i="5" l="1"/>
  <c r="A48" i="30"/>
  <c r="A48" i="27"/>
  <c r="A48" i="26"/>
  <c r="A48" i="24"/>
  <c r="A48" i="25"/>
  <c r="A48" i="11"/>
  <c r="A48" i="22"/>
  <c r="A48" i="29"/>
  <c r="A48" i="21"/>
  <c r="A48" i="28"/>
  <c r="A48" i="9"/>
  <c r="A48" i="14"/>
  <c r="A48" i="13"/>
  <c r="A48" i="23"/>
  <c r="A48" i="6"/>
  <c r="A48" i="12"/>
  <c r="A49" i="4"/>
  <c r="A48" i="8"/>
  <c r="A48" i="7"/>
  <c r="A48" i="10"/>
  <c r="A46" i="5" l="1"/>
  <c r="A49" i="27"/>
  <c r="A49" i="29"/>
  <c r="A49" i="28"/>
  <c r="A49" i="23"/>
  <c r="A49" i="26"/>
  <c r="A49" i="22"/>
  <c r="A49" i="21"/>
  <c r="A49" i="25"/>
  <c r="A49" i="14"/>
  <c r="A49" i="13"/>
  <c r="A49" i="8"/>
  <c r="A49" i="24"/>
  <c r="A49" i="12"/>
  <c r="A49" i="6"/>
  <c r="A50" i="4"/>
  <c r="A49" i="7"/>
  <c r="A49" i="10"/>
  <c r="A49" i="30"/>
  <c r="A49" i="9"/>
  <c r="A49" i="11"/>
  <c r="A47" i="5" l="1"/>
  <c r="A50" i="28"/>
  <c r="A50" i="30"/>
  <c r="A50" i="25"/>
  <c r="A50" i="21"/>
  <c r="A50" i="29"/>
  <c r="A50" i="22"/>
  <c r="A50" i="12"/>
  <c r="A50" i="27"/>
  <c r="A50" i="23"/>
  <c r="A50" i="14"/>
  <c r="A50" i="10"/>
  <c r="A50" i="7"/>
  <c r="A50" i="24"/>
  <c r="A50" i="9"/>
  <c r="A50" i="6"/>
  <c r="A50" i="11"/>
  <c r="A50" i="13"/>
  <c r="A51" i="4"/>
  <c r="A50" i="8"/>
  <c r="A50" i="26"/>
  <c r="A51" i="30" l="1"/>
  <c r="A51" i="26"/>
  <c r="A51" i="21"/>
  <c r="A51" i="24"/>
  <c r="A51" i="23"/>
  <c r="A51" i="13"/>
  <c r="A51" i="25"/>
  <c r="A51" i="22"/>
  <c r="A51" i="14"/>
  <c r="A51" i="27"/>
  <c r="A51" i="28"/>
  <c r="A51" i="10"/>
  <c r="A51" i="9"/>
  <c r="A51" i="12"/>
  <c r="A51" i="8"/>
  <c r="A51" i="11"/>
  <c r="A51" i="29"/>
  <c r="A51" i="6"/>
  <c r="A51" i="7"/>
  <c r="A52" i="4"/>
  <c r="A52" i="29" l="1"/>
  <c r="A52" i="27"/>
  <c r="A52" i="28"/>
  <c r="A52" i="23"/>
  <c r="A52" i="26"/>
  <c r="A52" i="22"/>
  <c r="A52" i="30"/>
  <c r="A52" i="25"/>
  <c r="A52" i="21"/>
  <c r="A52" i="14"/>
  <c r="A52" i="24"/>
  <c r="A52" i="13"/>
  <c r="A52" i="12"/>
  <c r="A53" i="4"/>
  <c r="A52" i="8"/>
  <c r="A52" i="7"/>
  <c r="A52" i="11"/>
  <c r="A52" i="9"/>
  <c r="A52" i="6"/>
  <c r="A52" i="10"/>
  <c r="A50" i="5" l="1"/>
  <c r="A53" i="28"/>
  <c r="A53" i="25"/>
  <c r="A53" i="29"/>
  <c r="A53" i="21"/>
  <c r="A53" i="24"/>
  <c r="A53" i="23"/>
  <c r="A53" i="14"/>
  <c r="A53" i="12"/>
  <c r="A53" i="27"/>
  <c r="A53" i="22"/>
  <c r="A54" i="4"/>
  <c r="A53" i="13"/>
  <c r="A53" i="8"/>
  <c r="A53" i="7"/>
  <c r="A53" i="9"/>
  <c r="A53" i="11"/>
  <c r="A53" i="10"/>
  <c r="A53" i="30"/>
  <c r="A53" i="26"/>
  <c r="A53" i="6"/>
  <c r="A51" i="5" l="1"/>
  <c r="A54" i="30"/>
  <c r="A54" i="26"/>
  <c r="A54" i="21"/>
  <c r="A54" i="24"/>
  <c r="A54" i="27"/>
  <c r="A54" i="11"/>
  <c r="A54" i="29"/>
  <c r="A54" i="28"/>
  <c r="A54" i="10"/>
  <c r="A54" i="23"/>
  <c r="A54" i="22"/>
  <c r="A54" i="9"/>
  <c r="A54" i="25"/>
  <c r="A54" i="7"/>
  <c r="A54" i="14"/>
  <c r="A54" i="12"/>
  <c r="A54" i="8"/>
  <c r="A55" i="4"/>
  <c r="A54" i="6"/>
  <c r="A54" i="13"/>
  <c r="A52" i="5" l="1"/>
  <c r="A55" i="26"/>
  <c r="A55" i="29"/>
  <c r="A55" i="25"/>
  <c r="A55" i="24"/>
  <c r="A55" i="30"/>
  <c r="A55" i="27"/>
  <c r="A55" i="23"/>
  <c r="A55" i="22"/>
  <c r="A55" i="10"/>
  <c r="A55" i="21"/>
  <c r="A55" i="28"/>
  <c r="A55" i="14"/>
  <c r="A55" i="12"/>
  <c r="A55" i="11"/>
  <c r="A55" i="6"/>
  <c r="A56" i="4"/>
  <c r="A55" i="13"/>
  <c r="A55" i="8"/>
  <c r="A55" i="9"/>
  <c r="A55" i="7"/>
  <c r="A53" i="5" l="1"/>
  <c r="A56" i="29"/>
  <c r="A56" i="25"/>
  <c r="A56" i="28"/>
  <c r="A56" i="22"/>
  <c r="A56" i="26"/>
  <c r="A56" i="21"/>
  <c r="A56" i="11"/>
  <c r="A56" i="8"/>
  <c r="A56" i="13"/>
  <c r="A56" i="24"/>
  <c r="A56" i="6"/>
  <c r="A56" i="23"/>
  <c r="A57" i="4"/>
  <c r="A56" i="9"/>
  <c r="A56" i="14"/>
  <c r="A56" i="12"/>
  <c r="A56" i="27"/>
  <c r="A56" i="10"/>
  <c r="A56" i="7"/>
  <c r="A56" i="30"/>
  <c r="A54" i="5" l="1"/>
  <c r="A57" i="30"/>
  <c r="A57" i="28"/>
  <c r="A57" i="25"/>
  <c r="A57" i="29"/>
  <c r="A57" i="27"/>
  <c r="A57" i="24"/>
  <c r="A57" i="23"/>
  <c r="A57" i="26"/>
  <c r="A57" i="9"/>
  <c r="A57" i="22"/>
  <c r="A57" i="13"/>
  <c r="A57" i="12"/>
  <c r="A57" i="7"/>
  <c r="A57" i="8"/>
  <c r="A57" i="14"/>
  <c r="A58" i="4"/>
  <c r="A57" i="6"/>
  <c r="A57" i="11"/>
  <c r="A57" i="10"/>
  <c r="A57" i="21"/>
  <c r="A55" i="5" l="1"/>
  <c r="A58" i="27"/>
  <c r="A58" i="24"/>
  <c r="A58" i="30"/>
  <c r="A58" i="23"/>
  <c r="A58" i="29"/>
  <c r="A58" i="25"/>
  <c r="A58" i="13"/>
  <c r="A58" i="28"/>
  <c r="A58" i="22"/>
  <c r="A58" i="21"/>
  <c r="A58" i="12"/>
  <c r="A58" i="14"/>
  <c r="A58" i="10"/>
  <c r="A58" i="8"/>
  <c r="A58" i="11"/>
  <c r="A58" i="6"/>
  <c r="A58" i="7"/>
  <c r="A59" i="4"/>
  <c r="A58" i="9"/>
  <c r="A58" i="26"/>
  <c r="A56" i="5" l="1"/>
  <c r="A59" i="29"/>
  <c r="A59" i="28"/>
  <c r="A59" i="30"/>
  <c r="A59" i="23"/>
  <c r="A59" i="22"/>
  <c r="A59" i="26"/>
  <c r="A59" i="21"/>
  <c r="A59" i="25"/>
  <c r="A59" i="14"/>
  <c r="A59" i="11"/>
  <c r="A59" i="13"/>
  <c r="A60" i="4"/>
  <c r="A59" i="24"/>
  <c r="A59" i="12"/>
  <c r="A59" i="9"/>
  <c r="A59" i="8"/>
  <c r="A59" i="6"/>
  <c r="A59" i="7"/>
  <c r="A59" i="27"/>
  <c r="A59" i="10"/>
  <c r="A57" i="5" l="1"/>
  <c r="A60" i="28"/>
  <c r="A60" i="30"/>
  <c r="A60" i="27"/>
  <c r="A60" i="26"/>
  <c r="A60" i="29"/>
  <c r="A60" i="25"/>
  <c r="A60" i="14"/>
  <c r="A60" i="22"/>
  <c r="A60" i="13"/>
  <c r="A60" i="24"/>
  <c r="A61" i="4"/>
  <c r="A60" i="9"/>
  <c r="A60" i="23"/>
  <c r="A60" i="8"/>
  <c r="A60" i="7"/>
  <c r="A60" i="21"/>
  <c r="A60" i="12"/>
  <c r="A60" i="11"/>
  <c r="A60" i="6"/>
  <c r="A60" i="10"/>
  <c r="A58" i="5" l="1"/>
  <c r="A61" i="30"/>
  <c r="A61" i="27"/>
  <c r="A61" i="26"/>
  <c r="A61" i="28"/>
  <c r="A61" i="25"/>
  <c r="A61" i="24"/>
  <c r="A61" i="29"/>
  <c r="A61" i="23"/>
  <c r="A61" i="22"/>
  <c r="A61" i="21"/>
  <c r="A61" i="10"/>
  <c r="A61" i="12"/>
  <c r="A61" i="7"/>
  <c r="A61" i="13"/>
  <c r="A61" i="6"/>
  <c r="A61" i="11"/>
  <c r="A61" i="14"/>
  <c r="A61" i="8"/>
  <c r="A61" i="9"/>
  <c r="A62" i="4"/>
  <c r="A59" i="5" l="1"/>
  <c r="A62" i="26"/>
  <c r="A62" i="29"/>
  <c r="A62" i="25"/>
  <c r="A62" i="24"/>
  <c r="A62" i="30"/>
  <c r="A62" i="23"/>
  <c r="A62" i="22"/>
  <c r="A62" i="21"/>
  <c r="A62" i="28"/>
  <c r="A62" i="12"/>
  <c r="A62" i="10"/>
  <c r="A62" i="11"/>
  <c r="A62" i="9"/>
  <c r="A62" i="14"/>
  <c r="A62" i="8"/>
  <c r="A62" i="6"/>
  <c r="A63" i="4"/>
  <c r="A62" i="27"/>
  <c r="A62" i="13"/>
  <c r="A62" i="7"/>
  <c r="A60" i="5" l="1"/>
  <c r="A63" i="29"/>
  <c r="A63" i="25"/>
  <c r="A63" i="28"/>
  <c r="A63" i="27"/>
  <c r="A63" i="22"/>
  <c r="A63" i="21"/>
  <c r="A63" i="26"/>
  <c r="A63" i="30"/>
  <c r="A63" i="11"/>
  <c r="A63" i="23"/>
  <c r="A63" i="14"/>
  <c r="A63" i="8"/>
  <c r="A63" i="13"/>
  <c r="A63" i="9"/>
  <c r="A63" i="12"/>
  <c r="A63" i="24"/>
  <c r="A64" i="4"/>
  <c r="A63" i="6"/>
  <c r="A63" i="7"/>
  <c r="A63" i="10"/>
  <c r="A61" i="5" l="1"/>
  <c r="A64" i="30"/>
  <c r="A64" i="26"/>
  <c r="A64" i="29"/>
  <c r="A64" i="28"/>
  <c r="A64" i="27"/>
  <c r="A64" i="25"/>
  <c r="A64" i="24"/>
  <c r="A64" i="7"/>
  <c r="A64" i="22"/>
  <c r="A64" i="8"/>
  <c r="A65" i="4"/>
  <c r="A64" i="6"/>
  <c r="A64" i="13"/>
  <c r="A64" i="23"/>
  <c r="A64" i="21"/>
  <c r="A64" i="12"/>
  <c r="A64" i="11"/>
  <c r="A64" i="9"/>
  <c r="A64" i="10"/>
  <c r="A64" i="14"/>
  <c r="A62" i="5" l="1"/>
  <c r="A65" i="25"/>
  <c r="A65" i="24"/>
  <c r="A65" i="23"/>
  <c r="A65" i="28"/>
  <c r="A65" i="13"/>
  <c r="A65" i="29"/>
  <c r="A65" i="22"/>
  <c r="A65" i="26"/>
  <c r="A65" i="12"/>
  <c r="A65" i="10"/>
  <c r="A65" i="21"/>
  <c r="A65" i="8"/>
  <c r="A65" i="7"/>
  <c r="A66" i="4"/>
  <c r="A65" i="6"/>
  <c r="A65" i="11"/>
  <c r="A65" i="9"/>
  <c r="A65" i="14"/>
  <c r="A65" i="27"/>
  <c r="A65" i="30"/>
  <c r="A63" i="5" l="1"/>
  <c r="A66" i="29"/>
  <c r="A66" i="27"/>
  <c r="A66" i="28"/>
  <c r="A66" i="23"/>
  <c r="A66" i="30"/>
  <c r="A66" i="22"/>
  <c r="A66" i="21"/>
  <c r="A66" i="25"/>
  <c r="A66" i="14"/>
  <c r="A66" i="26"/>
  <c r="A66" i="10"/>
  <c r="A66" i="9"/>
  <c r="A66" i="11"/>
  <c r="A67" i="4"/>
  <c r="A66" i="6"/>
  <c r="A66" i="12"/>
  <c r="A66" i="24"/>
  <c r="A66" i="13"/>
  <c r="A66" i="8"/>
  <c r="A66" i="7"/>
  <c r="A64" i="5" l="1"/>
  <c r="A67" i="28"/>
  <c r="A67" i="30"/>
  <c r="A67" i="21"/>
  <c r="A67" i="26"/>
  <c r="A67" i="27"/>
  <c r="A67" i="29"/>
  <c r="A67" i="14"/>
  <c r="A67" i="23"/>
  <c r="A67" i="22"/>
  <c r="A67" i="13"/>
  <c r="A68" i="4"/>
  <c r="A67" i="24"/>
  <c r="A67" i="7"/>
  <c r="A67" i="25"/>
  <c r="A67" i="12"/>
  <c r="A67" i="6"/>
  <c r="A67" i="8"/>
  <c r="A67" i="10"/>
  <c r="A67" i="9"/>
  <c r="A67" i="11"/>
  <c r="A65" i="5" l="1"/>
  <c r="A68" i="30"/>
  <c r="A68" i="26"/>
  <c r="A68" i="29"/>
  <c r="A68" i="28"/>
  <c r="A68" i="25"/>
  <c r="A68" i="24"/>
  <c r="A68" i="10"/>
  <c r="A68" i="9"/>
  <c r="A68" i="7"/>
  <c r="A68" i="6"/>
  <c r="A68" i="12"/>
  <c r="A68" i="8"/>
  <c r="A68" i="22"/>
  <c r="A68" i="13"/>
  <c r="A68" i="23"/>
  <c r="A68" i="27"/>
  <c r="A68" i="21"/>
  <c r="A68" i="11"/>
  <c r="A69" i="4"/>
  <c r="A68" i="14"/>
  <c r="A66" i="5" l="1"/>
  <c r="A69" i="26"/>
  <c r="A69" i="29"/>
  <c r="A69" i="25"/>
  <c r="A69" i="24"/>
  <c r="A69" i="23"/>
  <c r="A69" i="22"/>
  <c r="A69" i="28"/>
  <c r="A69" i="27"/>
  <c r="A69" i="12"/>
  <c r="A69" i="21"/>
  <c r="A69" i="11"/>
  <c r="A69" i="13"/>
  <c r="A69" i="9"/>
  <c r="A69" i="8"/>
  <c r="A69" i="6"/>
  <c r="A69" i="10"/>
  <c r="A69" i="7"/>
  <c r="A69" i="14"/>
  <c r="A70" i="4"/>
  <c r="A69" i="30"/>
  <c r="A67" i="5" l="1"/>
  <c r="A70" i="29"/>
  <c r="A70" i="25"/>
  <c r="A70" i="28"/>
  <c r="A70" i="22"/>
  <c r="A70" i="30"/>
  <c r="A70" i="27"/>
  <c r="A70" i="21"/>
  <c r="A70" i="11"/>
  <c r="A70" i="8"/>
  <c r="A70" i="23"/>
  <c r="A70" i="14"/>
  <c r="A70" i="13"/>
  <c r="A70" i="26"/>
  <c r="A70" i="10"/>
  <c r="A70" i="12"/>
  <c r="A70" i="24"/>
  <c r="A71" i="4"/>
  <c r="A70" i="7"/>
  <c r="A70" i="9"/>
  <c r="A70" i="6"/>
  <c r="A68" i="5" l="1"/>
  <c r="A71" i="30"/>
  <c r="A71" i="26"/>
  <c r="A71" i="29"/>
  <c r="A71" i="14"/>
  <c r="A71" i="28"/>
  <c r="A71" i="22"/>
  <c r="A71" i="13"/>
  <c r="A71" i="9"/>
  <c r="A71" i="23"/>
  <c r="A71" i="21"/>
  <c r="A71" i="7"/>
  <c r="A71" i="27"/>
  <c r="A71" i="24"/>
  <c r="A72" i="4"/>
  <c r="A71" i="6"/>
  <c r="A71" i="12"/>
  <c r="A71" i="10"/>
  <c r="A71" i="8"/>
  <c r="A71" i="25"/>
  <c r="A71" i="11"/>
  <c r="A69" i="5" l="1"/>
  <c r="A72" i="27"/>
  <c r="A72" i="29"/>
  <c r="A72" i="28"/>
  <c r="A72" i="24"/>
  <c r="A72" i="25"/>
  <c r="A72" i="23"/>
  <c r="A72" i="13"/>
  <c r="A72" i="26"/>
  <c r="A72" i="30"/>
  <c r="A72" i="12"/>
  <c r="A72" i="9"/>
  <c r="A72" i="8"/>
  <c r="A72" i="7"/>
  <c r="A73" i="4"/>
  <c r="A72" i="22"/>
  <c r="A72" i="6"/>
  <c r="A72" i="11"/>
  <c r="A72" i="21"/>
  <c r="A72" i="10"/>
  <c r="A72" i="14"/>
  <c r="A70" i="5" l="1"/>
  <c r="A73" i="29"/>
  <c r="A73" i="28"/>
  <c r="A73" i="23"/>
  <c r="A73" i="27"/>
  <c r="A73" i="22"/>
  <c r="A73" i="30"/>
  <c r="A73" i="21"/>
  <c r="A73" i="24"/>
  <c r="A73" i="10"/>
  <c r="A73" i="26"/>
  <c r="A73" i="25"/>
  <c r="A73" i="12"/>
  <c r="A73" i="11"/>
  <c r="A73" i="14"/>
  <c r="A73" i="8"/>
  <c r="A73" i="13"/>
  <c r="A74" i="4"/>
  <c r="A73" i="6"/>
  <c r="A73" i="7"/>
  <c r="A73" i="9"/>
  <c r="A71" i="5" l="1"/>
  <c r="A74" i="28"/>
  <c r="A74" i="30"/>
  <c r="A74" i="27"/>
  <c r="A74" i="21"/>
  <c r="A74" i="26"/>
  <c r="A74" i="14"/>
  <c r="A74" i="29"/>
  <c r="A74" i="25"/>
  <c r="A74" i="24"/>
  <c r="A74" i="23"/>
  <c r="A74" i="22"/>
  <c r="A74" i="13"/>
  <c r="A75" i="4"/>
  <c r="A74" i="11"/>
  <c r="A74" i="10"/>
  <c r="A74" i="6"/>
  <c r="A74" i="12"/>
  <c r="A74" i="9"/>
  <c r="A74" i="7"/>
  <c r="A74" i="8"/>
  <c r="A72" i="5" l="1"/>
  <c r="A75" i="30"/>
  <c r="A75" i="27"/>
  <c r="A75" i="26"/>
  <c r="A75" i="29"/>
  <c r="A75" i="24"/>
  <c r="A75" i="25"/>
  <c r="A75" i="22"/>
  <c r="A75" i="28"/>
  <c r="A75" i="23"/>
  <c r="A75" i="21"/>
  <c r="A75" i="9"/>
  <c r="A75" i="7"/>
  <c r="A75" i="6"/>
  <c r="A75" i="14"/>
  <c r="A75" i="8"/>
  <c r="A75" i="12"/>
  <c r="A76" i="4"/>
  <c r="A75" i="13"/>
  <c r="A75" i="10"/>
  <c r="A75" i="11"/>
  <c r="A73" i="5" l="1"/>
  <c r="A76" i="26"/>
  <c r="A76" i="29"/>
  <c r="A76" i="25"/>
  <c r="A76" i="24"/>
  <c r="A76" i="28"/>
  <c r="A76" i="27"/>
  <c r="A76" i="23"/>
  <c r="A76" i="22"/>
  <c r="A76" i="30"/>
  <c r="A76" i="12"/>
  <c r="A76" i="10"/>
  <c r="A76" i="9"/>
  <c r="A76" i="6"/>
  <c r="A76" i="8"/>
  <c r="A76" i="7"/>
  <c r="A76" i="13"/>
  <c r="A76" i="21"/>
  <c r="A76" i="11"/>
  <c r="A77" i="4"/>
  <c r="A76" i="14"/>
  <c r="A74" i="5" l="1"/>
  <c r="A77" i="29"/>
  <c r="A77" i="25"/>
  <c r="A77" i="28"/>
  <c r="A77" i="27"/>
  <c r="A77" i="22"/>
  <c r="A77" i="21"/>
  <c r="A77" i="30"/>
  <c r="A77" i="24"/>
  <c r="A77" i="23"/>
  <c r="A77" i="26"/>
  <c r="A77" i="11"/>
  <c r="A77" i="8"/>
  <c r="A77" i="14"/>
  <c r="A77" i="13"/>
  <c r="A77" i="10"/>
  <c r="A78" i="4"/>
  <c r="A77" i="12"/>
  <c r="A77" i="9"/>
  <c r="A77" i="6"/>
  <c r="A77" i="7"/>
  <c r="A75" i="5" l="1"/>
  <c r="A78" i="30"/>
  <c r="A78" i="26"/>
  <c r="A78" i="21"/>
  <c r="A78" i="29"/>
  <c r="A78" i="24"/>
  <c r="A78" i="23"/>
  <c r="A78" i="13"/>
  <c r="A78" i="28"/>
  <c r="A78" i="22"/>
  <c r="A78" i="25"/>
  <c r="A78" i="11"/>
  <c r="A78" i="9"/>
  <c r="A78" i="14"/>
  <c r="A78" i="7"/>
  <c r="A78" i="10"/>
  <c r="A78" i="12"/>
  <c r="A79" i="4"/>
  <c r="A78" i="27"/>
  <c r="A78" i="8"/>
  <c r="A78" i="6"/>
  <c r="A76" i="5" l="1"/>
  <c r="A79" i="26"/>
  <c r="A79" i="24"/>
  <c r="A79" i="27"/>
  <c r="A79" i="29"/>
  <c r="A79" i="28"/>
  <c r="A79" i="25"/>
  <c r="A79" i="23"/>
  <c r="A79" i="13"/>
  <c r="A79" i="22"/>
  <c r="A79" i="21"/>
  <c r="A79" i="14"/>
  <c r="A79" i="7"/>
  <c r="A80" i="4"/>
  <c r="A79" i="8"/>
  <c r="A79" i="30"/>
  <c r="A79" i="6"/>
  <c r="A79" i="9"/>
  <c r="A79" i="10"/>
  <c r="A79" i="12"/>
  <c r="A79" i="11"/>
  <c r="A77" i="5" l="1"/>
  <c r="A80" i="29"/>
  <c r="A80" i="27"/>
  <c r="A80" i="28"/>
  <c r="A80" i="25"/>
  <c r="A80" i="23"/>
  <c r="A80" i="22"/>
  <c r="A80" i="21"/>
  <c r="A80" i="30"/>
  <c r="A80" i="10"/>
  <c r="A80" i="12"/>
  <c r="A80" i="11"/>
  <c r="A80" i="8"/>
  <c r="A81" i="4"/>
  <c r="A80" i="24"/>
  <c r="A80" i="7"/>
  <c r="A80" i="6"/>
  <c r="A80" i="13"/>
  <c r="A80" i="26"/>
  <c r="A80" i="14"/>
  <c r="A80" i="9"/>
  <c r="A78" i="5" l="1"/>
  <c r="A81" i="28"/>
  <c r="A81" i="30"/>
  <c r="A81" i="21"/>
  <c r="A81" i="23"/>
  <c r="A81" i="22"/>
  <c r="A81" i="14"/>
  <c r="A81" i="29"/>
  <c r="A81" i="26"/>
  <c r="A81" i="11"/>
  <c r="A81" i="25"/>
  <c r="A81" i="24"/>
  <c r="A81" i="10"/>
  <c r="A82" i="4"/>
  <c r="A81" i="13"/>
  <c r="A81" i="27"/>
  <c r="A81" i="9"/>
  <c r="A81" i="6"/>
  <c r="A81" i="12"/>
  <c r="A81" i="8"/>
  <c r="A81" i="7"/>
  <c r="A79" i="5" l="1"/>
  <c r="A82" i="30"/>
  <c r="A82" i="26"/>
  <c r="A82" i="27"/>
  <c r="A82" i="24"/>
  <c r="A82" i="28"/>
  <c r="A82" i="21"/>
  <c r="A82" i="29"/>
  <c r="A82" i="23"/>
  <c r="A82" i="14"/>
  <c r="A82" i="13"/>
  <c r="A82" i="9"/>
  <c r="A82" i="22"/>
  <c r="A82" i="25"/>
  <c r="A82" i="11"/>
  <c r="A82" i="7"/>
  <c r="A82" i="6"/>
  <c r="A82" i="12"/>
  <c r="A82" i="10"/>
  <c r="A83" i="4"/>
  <c r="A82" i="8"/>
  <c r="A80" i="5" l="1"/>
  <c r="A83" i="26"/>
  <c r="A83" i="29"/>
  <c r="A83" i="25"/>
  <c r="A83" i="24"/>
  <c r="A83" i="23"/>
  <c r="A83" i="28"/>
  <c r="A83" i="22"/>
  <c r="A83" i="12"/>
  <c r="A83" i="21"/>
  <c r="A83" i="27"/>
  <c r="A83" i="6"/>
  <c r="A83" i="8"/>
  <c r="A83" i="14"/>
  <c r="A83" i="7"/>
  <c r="A83" i="30"/>
  <c r="A83" i="11"/>
  <c r="A84" i="4"/>
  <c r="A83" i="10"/>
  <c r="A83" i="13"/>
  <c r="A83" i="9"/>
  <c r="A81" i="5" l="1"/>
  <c r="A84" i="29"/>
  <c r="A84" i="25"/>
  <c r="A84" i="28"/>
  <c r="A84" i="22"/>
  <c r="A84" i="21"/>
  <c r="A84" i="30"/>
  <c r="A84" i="11"/>
  <c r="A84" i="12"/>
  <c r="A84" i="10"/>
  <c r="A84" i="8"/>
  <c r="A84" i="23"/>
  <c r="A84" i="26"/>
  <c r="A84" i="7"/>
  <c r="A84" i="27"/>
  <c r="A84" i="24"/>
  <c r="A84" i="9"/>
  <c r="A84" i="13"/>
  <c r="A84" i="6"/>
  <c r="A85" i="4"/>
  <c r="A84" i="14"/>
  <c r="A82" i="5" l="1"/>
  <c r="A85" i="30"/>
  <c r="A85" i="27"/>
  <c r="A85" i="22"/>
  <c r="A85" i="28"/>
  <c r="A85" i="26"/>
  <c r="A85" i="21"/>
  <c r="A85" i="9"/>
  <c r="A85" i="25"/>
  <c r="A85" i="14"/>
  <c r="A85" i="29"/>
  <c r="A85" i="24"/>
  <c r="A85" i="13"/>
  <c r="A85" i="7"/>
  <c r="A85" i="11"/>
  <c r="A85" i="10"/>
  <c r="A85" i="12"/>
  <c r="A85" i="6"/>
  <c r="A85" i="23"/>
  <c r="A85" i="8"/>
  <c r="A86" i="4"/>
  <c r="A83" i="5" l="1"/>
  <c r="A86" i="27"/>
  <c r="A86" i="30"/>
  <c r="A86" i="26"/>
  <c r="A86" i="24"/>
  <c r="A86" i="23"/>
  <c r="A86" i="28"/>
  <c r="A86" i="21"/>
  <c r="A86" i="13"/>
  <c r="A86" i="29"/>
  <c r="A86" i="10"/>
  <c r="A86" i="22"/>
  <c r="A86" i="25"/>
  <c r="A86" i="14"/>
  <c r="A86" i="12"/>
  <c r="A86" i="11"/>
  <c r="A86" i="7"/>
  <c r="A87" i="4"/>
  <c r="A86" i="6"/>
  <c r="A86" i="8"/>
  <c r="A86" i="9"/>
  <c r="A84" i="5" l="1"/>
  <c r="A87" i="29"/>
  <c r="A87" i="28"/>
  <c r="A87" i="23"/>
  <c r="A87" i="25"/>
  <c r="A87" i="22"/>
  <c r="A87" i="21"/>
  <c r="A87" i="10"/>
  <c r="A87" i="30"/>
  <c r="A87" i="27"/>
  <c r="A87" i="26"/>
  <c r="A87" i="12"/>
  <c r="A87" i="8"/>
  <c r="A88" i="4"/>
  <c r="A87" i="14"/>
  <c r="A87" i="9"/>
  <c r="A87" i="7"/>
  <c r="A87" i="24"/>
  <c r="A87" i="6"/>
  <c r="A87" i="11"/>
  <c r="A87" i="13"/>
  <c r="A85" i="5" l="1"/>
  <c r="A88" i="28"/>
  <c r="A88" i="30"/>
  <c r="A88" i="27"/>
  <c r="A88" i="29"/>
  <c r="A88" i="21"/>
  <c r="A88" i="14"/>
  <c r="A88" i="26"/>
  <c r="A88" i="24"/>
  <c r="A88" i="25"/>
  <c r="A88" i="10"/>
  <c r="A88" i="11"/>
  <c r="A88" i="23"/>
  <c r="A88" i="22"/>
  <c r="A89" i="4"/>
  <c r="A88" i="12"/>
  <c r="A88" i="8"/>
  <c r="A88" i="6"/>
  <c r="A88" i="13"/>
  <c r="A88" i="7"/>
  <c r="A88" i="9"/>
  <c r="A86" i="5" l="1"/>
  <c r="A89" i="30"/>
  <c r="A89" i="27"/>
  <c r="A89" i="26"/>
  <c r="A89" i="24"/>
  <c r="A89" i="22"/>
  <c r="A89" i="28"/>
  <c r="A89" i="13"/>
  <c r="A89" i="14"/>
  <c r="A89" i="25"/>
  <c r="A89" i="29"/>
  <c r="A89" i="10"/>
  <c r="A89" i="7"/>
  <c r="A89" i="11"/>
  <c r="A89" i="9"/>
  <c r="A89" i="6"/>
  <c r="A89" i="21"/>
  <c r="A90" i="4"/>
  <c r="A89" i="12"/>
  <c r="A89" i="23"/>
  <c r="A89" i="8"/>
  <c r="A90" i="26" l="1"/>
  <c r="A90" i="29"/>
  <c r="A90" i="25"/>
  <c r="A90" i="24"/>
  <c r="A90" i="30"/>
  <c r="A90" i="23"/>
  <c r="A90" i="22"/>
  <c r="A90" i="28"/>
  <c r="A90" i="21"/>
  <c r="A90" i="27"/>
  <c r="A90" i="12"/>
  <c r="A90" i="9"/>
  <c r="A90" i="14"/>
  <c r="A90" i="6"/>
  <c r="A90" i="13"/>
  <c r="A91" i="4"/>
  <c r="A90" i="10"/>
  <c r="A90" i="11"/>
  <c r="A90" i="8"/>
  <c r="A90" i="7"/>
  <c r="A88" i="5" l="1"/>
  <c r="A117" i="30"/>
  <c r="A117" i="27"/>
  <c r="A117" i="26"/>
  <c r="A117" i="24"/>
  <c r="A117" i="23"/>
  <c r="A117" i="22"/>
  <c r="A117" i="29"/>
  <c r="A117" i="28"/>
  <c r="A117" i="13"/>
  <c r="A117" i="14"/>
  <c r="A117" i="25"/>
  <c r="A117" i="21"/>
  <c r="A117" i="10"/>
  <c r="A117" i="7"/>
  <c r="A117" i="11"/>
  <c r="A117" i="6"/>
  <c r="A117" i="12"/>
  <c r="A118" i="4"/>
  <c r="A117" i="9"/>
  <c r="A117" i="8"/>
  <c r="A89" i="5" l="1"/>
  <c r="A118" i="29"/>
  <c r="A118" i="28"/>
  <c r="A118" i="30"/>
  <c r="A118" i="26"/>
  <c r="A118" i="23"/>
  <c r="A118" i="22"/>
  <c r="A118" i="25"/>
  <c r="A118" i="21"/>
  <c r="A118" i="10"/>
  <c r="A118" i="24"/>
  <c r="A118" i="27"/>
  <c r="A118" i="9"/>
  <c r="A118" i="12"/>
  <c r="A118" i="6"/>
  <c r="A118" i="14"/>
  <c r="A118" i="8"/>
  <c r="A119" i="4"/>
  <c r="A118" i="13"/>
  <c r="A118" i="11"/>
  <c r="A118" i="7"/>
  <c r="A90" i="5" l="1"/>
  <c r="A119" i="27"/>
  <c r="A119" i="30"/>
  <c r="A119" i="26"/>
  <c r="A119" i="25"/>
  <c r="A119" i="29"/>
  <c r="A119" i="28"/>
  <c r="A119" i="24"/>
  <c r="A119" i="23"/>
  <c r="A119" i="11"/>
  <c r="A119" i="22"/>
  <c r="A119" i="21"/>
  <c r="A119" i="14"/>
  <c r="A119" i="7"/>
  <c r="A119" i="8"/>
  <c r="A119" i="6"/>
  <c r="A119" i="9"/>
  <c r="A119" i="12"/>
  <c r="A120" i="4"/>
  <c r="A119" i="10"/>
  <c r="A119" i="13"/>
  <c r="A91" i="5" l="1"/>
  <c r="A120" i="29"/>
  <c r="A120" i="25"/>
  <c r="A120" i="23"/>
  <c r="A120" i="30"/>
  <c r="A120" i="22"/>
  <c r="A120" i="24"/>
  <c r="A120" i="27"/>
  <c r="A120" i="12"/>
  <c r="A120" i="10"/>
  <c r="A120" i="26"/>
  <c r="A120" i="14"/>
  <c r="A120" i="28"/>
  <c r="A120" i="9"/>
  <c r="A120" i="13"/>
  <c r="A120" i="11"/>
  <c r="A121" i="4"/>
  <c r="A120" i="21"/>
  <c r="A120" i="6"/>
  <c r="A120" i="8"/>
  <c r="A120" i="7"/>
  <c r="A92" i="5" l="1"/>
  <c r="A121" i="28"/>
  <c r="A121" i="27"/>
  <c r="A121" i="30"/>
  <c r="A121" i="26"/>
  <c r="A121" i="21"/>
  <c r="A121" i="25"/>
  <c r="A121" i="14"/>
  <c r="A121" i="23"/>
  <c r="A121" i="12"/>
  <c r="A121" i="24"/>
  <c r="A121" i="11"/>
  <c r="A121" i="10"/>
  <c r="A121" i="29"/>
  <c r="A121" i="8"/>
  <c r="A122" i="4"/>
  <c r="A121" i="22"/>
  <c r="A121" i="13"/>
  <c r="A121" i="9"/>
  <c r="A121" i="7"/>
  <c r="A121" i="6"/>
  <c r="A93" i="5" l="1"/>
  <c r="A122" i="26"/>
  <c r="A122" i="29"/>
  <c r="A122" i="28"/>
  <c r="A122" i="27"/>
  <c r="A122" i="23"/>
  <c r="A122" i="25"/>
  <c r="A122" i="13"/>
  <c r="A122" i="30"/>
  <c r="A122" i="24"/>
  <c r="A122" i="22"/>
  <c r="A122" i="21"/>
  <c r="A122" i="14"/>
  <c r="A122" i="9"/>
  <c r="A122" i="6"/>
  <c r="A122" i="12"/>
  <c r="A122" i="10"/>
  <c r="A122" i="8"/>
  <c r="A122" i="11"/>
  <c r="A123" i="4"/>
  <c r="A122" i="7"/>
  <c r="A94" i="5" l="1"/>
  <c r="A123" i="29"/>
  <c r="A123" i="25"/>
  <c r="A123" i="28"/>
  <c r="A123" i="27"/>
  <c r="A123" i="22"/>
  <c r="A123" i="21"/>
  <c r="A123" i="30"/>
  <c r="A123" i="26"/>
  <c r="A123" i="23"/>
  <c r="A123" i="11"/>
  <c r="A123" i="8"/>
  <c r="A123" i="12"/>
  <c r="A123" i="10"/>
  <c r="A123" i="24"/>
  <c r="A123" i="13"/>
  <c r="A124" i="4"/>
  <c r="A123" i="14"/>
  <c r="A123" i="9"/>
  <c r="A123" i="7"/>
  <c r="A123" i="6"/>
  <c r="A95" i="5" l="1"/>
  <c r="A124" i="30"/>
  <c r="A124" i="24"/>
  <c r="A124" i="25"/>
  <c r="A124" i="27"/>
  <c r="A124" i="26"/>
  <c r="A124" i="22"/>
  <c r="A124" i="29"/>
  <c r="A124" i="11"/>
  <c r="A124" i="10"/>
  <c r="A124" i="28"/>
  <c r="A124" i="9"/>
  <c r="A124" i="14"/>
  <c r="A124" i="7"/>
  <c r="A124" i="23"/>
  <c r="A124" i="13"/>
  <c r="A124" i="6"/>
  <c r="A124" i="8"/>
  <c r="A124" i="12"/>
  <c r="A124" i="21"/>
  <c r="A125" i="4"/>
  <c r="A96" i="5" l="1"/>
  <c r="A125" i="29"/>
  <c r="A125" i="28"/>
  <c r="A125" i="23"/>
  <c r="A125" i="27"/>
  <c r="A125" i="22"/>
  <c r="A125" i="21"/>
  <c r="A125" i="30"/>
  <c r="A125" i="10"/>
  <c r="A125" i="26"/>
  <c r="A125" i="24"/>
  <c r="A125" i="14"/>
  <c r="A125" i="25"/>
  <c r="A125" i="13"/>
  <c r="A126" i="4"/>
  <c r="A125" i="6"/>
  <c r="A125" i="12"/>
  <c r="A125" i="11"/>
  <c r="A125" i="9"/>
  <c r="A125" i="7"/>
  <c r="A125" i="8"/>
  <c r="A97" i="5" l="1"/>
  <c r="A126" i="27"/>
  <c r="A126" i="30"/>
  <c r="A126" i="26"/>
  <c r="A126" i="24"/>
  <c r="A126" i="28"/>
  <c r="A126" i="23"/>
  <c r="A126" i="22"/>
  <c r="A126" i="29"/>
  <c r="A126" i="25"/>
  <c r="A126" i="21"/>
  <c r="A126" i="12"/>
  <c r="A126" i="9"/>
  <c r="A126" i="11"/>
  <c r="A126" i="10"/>
  <c r="A126" i="8"/>
  <c r="A126" i="13"/>
  <c r="A126" i="7"/>
  <c r="A126" i="14"/>
  <c r="A126" i="6"/>
  <c r="A127" i="4"/>
  <c r="A98" i="5" l="1"/>
  <c r="A127" i="29"/>
  <c r="A127" i="25"/>
  <c r="A127" i="30"/>
  <c r="A127" i="23"/>
  <c r="A127" i="22"/>
  <c r="A127" i="27"/>
  <c r="A127" i="26"/>
  <c r="A127" i="12"/>
  <c r="A127" i="14"/>
  <c r="A127" i="28"/>
  <c r="A127" i="24"/>
  <c r="A127" i="6"/>
  <c r="A127" i="7"/>
  <c r="A127" i="8"/>
  <c r="A127" i="13"/>
  <c r="A127" i="10"/>
  <c r="A127" i="9"/>
  <c r="A128" i="4"/>
  <c r="A127" i="11"/>
  <c r="A127" i="21"/>
  <c r="A99" i="5" l="1"/>
  <c r="A128" i="28"/>
  <c r="A128" i="27"/>
  <c r="A128" i="30"/>
  <c r="A128" i="24"/>
  <c r="A128" i="26"/>
  <c r="A128" i="21"/>
  <c r="A128" i="29"/>
  <c r="A128" i="14"/>
  <c r="A128" i="13"/>
  <c r="A128" i="9"/>
  <c r="A128" i="25"/>
  <c r="A128" i="12"/>
  <c r="A128" i="23"/>
  <c r="A128" i="8"/>
  <c r="A128" i="11"/>
  <c r="A128" i="10"/>
  <c r="A129" i="4"/>
  <c r="A128" i="22"/>
  <c r="A128" i="6"/>
  <c r="A128" i="7"/>
  <c r="A100" i="5" l="1"/>
  <c r="A129" i="26"/>
  <c r="A129" i="25"/>
  <c r="A129" i="30"/>
  <c r="A129" i="23"/>
  <c r="A129" i="28"/>
  <c r="A129" i="22"/>
  <c r="A129" i="13"/>
  <c r="A129" i="29"/>
  <c r="A129" i="24"/>
  <c r="A129" i="21"/>
  <c r="A129" i="11"/>
  <c r="A129" i="10"/>
  <c r="A129" i="12"/>
  <c r="A129" i="9"/>
  <c r="A129" i="27"/>
  <c r="A130" i="4"/>
  <c r="A129" i="7"/>
  <c r="A129" i="6"/>
  <c r="A129" i="14"/>
  <c r="A129" i="8"/>
  <c r="A101" i="5" l="1"/>
  <c r="A130" i="29"/>
  <c r="A130" i="25"/>
  <c r="A130" i="28"/>
  <c r="A130" i="27"/>
  <c r="A130" i="22"/>
  <c r="A130" i="21"/>
  <c r="A130" i="30"/>
  <c r="A130" i="26"/>
  <c r="A130" i="23"/>
  <c r="A130" i="11"/>
  <c r="A130" i="14"/>
  <c r="A130" i="8"/>
  <c r="A130" i="13"/>
  <c r="A131" i="4"/>
  <c r="A130" i="24"/>
  <c r="A130" i="6"/>
  <c r="A130" i="7"/>
  <c r="A130" i="10"/>
  <c r="A130" i="12"/>
  <c r="A130" i="9"/>
  <c r="A102" i="5" l="1"/>
  <c r="A131" i="30"/>
  <c r="A131" i="26"/>
  <c r="A131" i="29"/>
  <c r="A131" i="28"/>
  <c r="A131" i="24"/>
  <c r="A131" i="27"/>
  <c r="A131" i="21"/>
  <c r="A131" i="9"/>
  <c r="A131" i="12"/>
  <c r="A131" i="11"/>
  <c r="A131" i="10"/>
  <c r="A131" i="8"/>
  <c r="A131" i="7"/>
  <c r="A131" i="6"/>
  <c r="A131" i="14"/>
  <c r="A131" i="13"/>
  <c r="A131" i="22"/>
  <c r="A131" i="25"/>
  <c r="A131" i="23"/>
  <c r="A132" i="4"/>
  <c r="A103" i="5" l="1"/>
  <c r="A132" i="29"/>
  <c r="A132" i="28"/>
  <c r="A132" i="26"/>
  <c r="A132" i="23"/>
  <c r="A132" i="25"/>
  <c r="A132" i="22"/>
  <c r="A132" i="30"/>
  <c r="A132" i="21"/>
  <c r="A132" i="12"/>
  <c r="A132" i="10"/>
  <c r="A132" i="27"/>
  <c r="A132" i="24"/>
  <c r="A132" i="14"/>
  <c r="A132" i="6"/>
  <c r="A132" i="11"/>
  <c r="A132" i="9"/>
  <c r="A132" i="7"/>
  <c r="A132" i="8"/>
  <c r="A133" i="4"/>
  <c r="A132" i="13"/>
  <c r="A104" i="5" l="1"/>
  <c r="A133" i="24"/>
  <c r="A133" i="27"/>
  <c r="A133" i="30"/>
  <c r="A133" i="29"/>
  <c r="A133" i="28"/>
  <c r="A133" i="25"/>
  <c r="A133" i="22"/>
  <c r="A133" i="26"/>
  <c r="A133" i="23"/>
  <c r="A133" i="21"/>
  <c r="A133" i="14"/>
  <c r="A133" i="7"/>
  <c r="A133" i="13"/>
  <c r="A133" i="9"/>
  <c r="A133" i="8"/>
  <c r="A134" i="4"/>
  <c r="A133" i="6"/>
  <c r="A133" i="10"/>
  <c r="A133" i="12"/>
  <c r="A133" i="11"/>
  <c r="A134" i="29" l="1"/>
  <c r="A134" i="25"/>
  <c r="A134" i="28"/>
  <c r="A134" i="27"/>
  <c r="A134" i="26"/>
  <c r="A134" i="23"/>
  <c r="A134" i="22"/>
  <c r="A134" i="24"/>
  <c r="A134" i="9"/>
  <c r="A134" i="11"/>
  <c r="A135" i="4"/>
  <c r="A134" i="14"/>
  <c r="A134" i="21"/>
  <c r="A134" i="13"/>
  <c r="A134" i="10"/>
  <c r="A134" i="30"/>
  <c r="A134" i="7"/>
  <c r="A134" i="12"/>
  <c r="A134" i="8"/>
  <c r="A134" i="6"/>
  <c r="A135" i="28" l="1"/>
  <c r="A135" i="24"/>
  <c r="A135" i="27"/>
  <c r="A135" i="26"/>
  <c r="A135" i="30"/>
  <c r="A135" i="21"/>
  <c r="A135" i="25"/>
  <c r="A135" i="23"/>
  <c r="A135" i="22"/>
  <c r="A135" i="14"/>
  <c r="A135" i="29"/>
  <c r="A136" i="4"/>
  <c r="A135" i="12"/>
  <c r="A135" i="11"/>
  <c r="A135" i="10"/>
  <c r="A135" i="9"/>
  <c r="A135" i="7"/>
  <c r="A135" i="6"/>
  <c r="A135" i="8"/>
  <c r="A135" i="13"/>
</calcChain>
</file>

<file path=xl/sharedStrings.xml><?xml version="1.0" encoding="utf-8"?>
<sst xmlns="http://schemas.openxmlformats.org/spreadsheetml/2006/main" count="553" uniqueCount="116">
  <si>
    <t>DATE:</t>
  </si>
  <si>
    <t>DESCRIPTION OF WORK</t>
  </si>
  <si>
    <t>TOTAL</t>
  </si>
  <si>
    <t>COMPLETED AND</t>
  </si>
  <si>
    <t>STORED TO DATE</t>
  </si>
  <si>
    <t>TOTAL COMPLETED TO DATE:</t>
  </si>
  <si>
    <t>PROJECT:</t>
  </si>
  <si>
    <t>CLIENT:</t>
  </si>
  <si>
    <t>SCHEDULED VALUES</t>
  </si>
  <si>
    <t>REVISED VALUES</t>
  </si>
  <si>
    <t>REMAINING</t>
  </si>
  <si>
    <t>$ PER BUDGET</t>
  </si>
  <si>
    <t>DRAW</t>
  </si>
  <si>
    <t>REMAINING $ IN BUDGET:</t>
  </si>
  <si>
    <t>ORIGINAL SCHEDULE OF VALUES:</t>
  </si>
  <si>
    <t>REVISED SCHEDULE OF VALUES:</t>
  </si>
  <si>
    <t>GENESIS CAPITAL</t>
  </si>
  <si>
    <t>CHANGE ORDERS:</t>
  </si>
  <si>
    <t>GENESIS CAPITAL DRAW FORM</t>
  </si>
  <si>
    <t xml:space="preserve">REHAB BUDGET </t>
  </si>
  <si>
    <t>DRAW REQUEST:</t>
  </si>
  <si>
    <t>GENESIS CAPITAL DRAW REQUEST FORM</t>
  </si>
  <si>
    <t>BUDGET</t>
  </si>
  <si>
    <t>PRE-FUNDING COSTS</t>
  </si>
  <si>
    <t>PREVIOUS</t>
  </si>
  <si>
    <t>CHANGES</t>
  </si>
  <si>
    <t>+ / - CHANGES</t>
  </si>
  <si>
    <t xml:space="preserve">Open Item </t>
  </si>
  <si>
    <t>10910 Huston Street</t>
  </si>
  <si>
    <t>Environmental Phase I</t>
  </si>
  <si>
    <t>Dry Utility Consultant</t>
  </si>
  <si>
    <t>Dry Utility Survey</t>
  </si>
  <si>
    <t>MEP</t>
  </si>
  <si>
    <t>Civil Construction Administration</t>
  </si>
  <si>
    <t>Permit Clearances &amp; Agency Reviews</t>
  </si>
  <si>
    <t>Demo Permit Fees</t>
  </si>
  <si>
    <t>MEP Fees</t>
  </si>
  <si>
    <t>Agency Signoffs</t>
  </si>
  <si>
    <t>Specifications Writer Consultant</t>
  </si>
  <si>
    <t>Construction Consultant</t>
  </si>
  <si>
    <t>Low Voltage Consultant</t>
  </si>
  <si>
    <t>Photovoltaic Consultant</t>
  </si>
  <si>
    <t>Construction Management / Observation (OO)</t>
  </si>
  <si>
    <t>CMFA Startup Fee</t>
  </si>
  <si>
    <t>Non-Profit Start Up Fee</t>
  </si>
  <si>
    <t>CMFA Construction Fee</t>
  </si>
  <si>
    <t>Non-Profit Construction Fee</t>
  </si>
  <si>
    <t>WTE Legal Costs for CMFA &amp; Non-Profit Partner</t>
  </si>
  <si>
    <t>SOFT COSTS</t>
  </si>
  <si>
    <t>Site Security</t>
  </si>
  <si>
    <t>Soils Inspection</t>
  </si>
  <si>
    <t>Offsites (Transformer)</t>
  </si>
  <si>
    <t>Plan Check Fees</t>
  </si>
  <si>
    <t>Permits</t>
  </si>
  <si>
    <t>Survey</t>
  </si>
  <si>
    <t>Soils Engineer</t>
  </si>
  <si>
    <t>Soils Permit + T24</t>
  </si>
  <si>
    <t>Special Inspections - Deputy</t>
  </si>
  <si>
    <t>Architect</t>
  </si>
  <si>
    <t>Structural Engineer</t>
  </si>
  <si>
    <t>Structural Observation</t>
  </si>
  <si>
    <t>Civil Engineering</t>
  </si>
  <si>
    <t>Grading Permit</t>
  </si>
  <si>
    <t>Landscape Architect/Designer</t>
  </si>
  <si>
    <t>Driveway Apron Permit</t>
  </si>
  <si>
    <t>Punch List - Misc.</t>
  </si>
  <si>
    <t>EBM, Low Voltage, Landscape, Waterproofing CA</t>
  </si>
  <si>
    <t>Project Accounting/Tax Filing</t>
  </si>
  <si>
    <t>Sewer CCTV and inspection</t>
  </si>
  <si>
    <t>GENERAL CONDITIONS</t>
  </si>
  <si>
    <t>GENERAL REQUIREMENT</t>
  </si>
  <si>
    <t>SITE WORK</t>
  </si>
  <si>
    <t>CONCRETE</t>
  </si>
  <si>
    <t>MASONRY</t>
  </si>
  <si>
    <t>METALS</t>
  </si>
  <si>
    <t>FRAMING</t>
  </si>
  <si>
    <t>COUNTERTOPS</t>
  </si>
  <si>
    <t>CABINETS</t>
  </si>
  <si>
    <t>THERMAL MOISTURE PROTECTION</t>
  </si>
  <si>
    <t>DOORS</t>
  </si>
  <si>
    <t>WINDOWS</t>
  </si>
  <si>
    <t>STUCCO</t>
  </si>
  <si>
    <t>DRYWALL</t>
  </si>
  <si>
    <t>PAINTING</t>
  </si>
  <si>
    <t>FLOORING - common areas</t>
  </si>
  <si>
    <t>FLOORING - Units with baseboards</t>
  </si>
  <si>
    <t>SPECIALTIES</t>
  </si>
  <si>
    <t>EQUIPMENT</t>
  </si>
  <si>
    <t>FURNISHING</t>
  </si>
  <si>
    <t>FIRE SPRINKLERS</t>
  </si>
  <si>
    <t>FIRE ALARM</t>
  </si>
  <si>
    <t>SOLAR PANELS</t>
  </si>
  <si>
    <t>SECURITY ACCESS &amp; SURVEILLANCE</t>
  </si>
  <si>
    <t>ELEVATORS &amp; LIFT</t>
  </si>
  <si>
    <t>WATER SUBMETER (material)</t>
  </si>
  <si>
    <t>WATER SUBMETER (labor)</t>
  </si>
  <si>
    <t>ROUGH PLUMBING</t>
  </si>
  <si>
    <t>FINISH PLUMBING</t>
  </si>
  <si>
    <t>HVAC</t>
  </si>
  <si>
    <t>ELECTRICAL</t>
  </si>
  <si>
    <t xml:space="preserve">CONTINGENCY </t>
  </si>
  <si>
    <t>INSURANCE (GL w/auto, workers compl)</t>
  </si>
  <si>
    <t>GROSS RECEIPT TAX</t>
  </si>
  <si>
    <t>GC FEE</t>
  </si>
  <si>
    <t>DEVELOPMENT FEE</t>
  </si>
  <si>
    <t>CARRYING COSTS</t>
  </si>
  <si>
    <t>FINANCING COSTS</t>
  </si>
  <si>
    <t>HARD COSTS</t>
  </si>
  <si>
    <t>Angeleno Investments</t>
  </si>
  <si>
    <t>Legal &amp; Professional Fees</t>
  </si>
  <si>
    <t>OLD</t>
  </si>
  <si>
    <t>Delta</t>
  </si>
  <si>
    <t>Full Budget</t>
  </si>
  <si>
    <t>Spent To Date</t>
  </si>
  <si>
    <t>CONTINGENCY NOTE: Hard cost $323,923.56 + Soft cost $38,386.06 + Schedule $184181.97 = $546,491.43 / Cost spent  $2,444.53 +  $14,831 = $17,276.23</t>
  </si>
  <si>
    <t>11.12.2025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</si>
</sst>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 &quot;&quot;$&quot;* #,##0&quot; &quot;;&quot; &quot;&quot;$&quot;* \(#,##0\);&quot; &quot;&quot;$&quot;* &quot;- &quot;"/>
    <numFmt numFmtId="165" formatCode="&quot;$&quot;#,##0.00&quot; &quot;;\(&quot;$&quot;#,##0.00\)"/>
    <numFmt numFmtId="166" formatCode="&quot;$&quot;#,##0.00"/>
    <numFmt numFmtId="167" formatCode="m/d/yy;@"/>
    <numFmt numFmtId="168" formatCode="&quot;$&quot;#,##0"/>
    <numFmt numFmtId="169" formatCode="General_)"/>
  </numFmts>
  <fonts count="21">
    <font>
      <sz val="12"/>
      <color indexed="8"/>
      <name val="Verdana"/>
    </font>
    <font>
      <sz val="12"/>
      <color indexed="9"/>
      <name val="Helvetica Neue"/>
      <family val="2"/>
    </font>
    <font>
      <b/>
      <u/>
      <sz val="10"/>
      <color indexed="8"/>
      <name val="Verdana"/>
      <family val="2"/>
    </font>
    <font>
      <sz val="10"/>
      <name val="MS Sans Serif"/>
    </font>
    <font>
      <sz val="10"/>
      <name val="MS Sans Serif"/>
      <family val="2"/>
    </font>
    <font>
      <sz val="10"/>
      <name val="Courier"/>
      <family val="3"/>
    </font>
    <font>
      <sz val="12"/>
      <color indexed="9"/>
      <name val="Calibri"/>
      <family val="2"/>
      <scheme val="minor"/>
    </font>
    <font>
      <sz val="8"/>
      <color indexed="9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sz val="18"/>
      <color indexed="9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 applyNumberFormat="0" applyFill="0" applyBorder="0" applyProtection="0">
      <alignment vertical="top"/>
    </xf>
    <xf numFmtId="44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" fillId="0" borderId="0"/>
    <xf numFmtId="169" fontId="5" fillId="0" borderId="0"/>
  </cellStyleXfs>
  <cellXfs count="184">
    <xf numFmtId="0" fontId="0" fillId="0" borderId="0" xfId="0" applyAlignment="1"/>
    <xf numFmtId="0" fontId="6" fillId="0" borderId="0" xfId="0" applyFont="1">
      <alignment vertical="top"/>
    </xf>
    <xf numFmtId="1" fontId="7" fillId="0" borderId="0" xfId="0" applyNumberFormat="1" applyFont="1" applyAlignment="1"/>
    <xf numFmtId="1" fontId="8" fillId="0" borderId="0" xfId="0" applyNumberFormat="1" applyFont="1" applyAlignment="1"/>
    <xf numFmtId="0" fontId="7" fillId="0" borderId="1" xfId="0" applyFont="1" applyBorder="1" applyAlignment="1">
      <alignment horizontal="center"/>
    </xf>
    <xf numFmtId="165" fontId="9" fillId="0" borderId="1" xfId="0" applyNumberFormat="1" applyFont="1" applyBorder="1" applyAlignment="1"/>
    <xf numFmtId="1" fontId="8" fillId="0" borderId="0" xfId="0" applyNumberFormat="1" applyFont="1" applyAlignment="1">
      <alignment horizontal="center"/>
    </xf>
    <xf numFmtId="1" fontId="8" fillId="0" borderId="1" xfId="0" applyNumberFormat="1" applyFont="1" applyBorder="1" applyAlignment="1"/>
    <xf numFmtId="0" fontId="10" fillId="0" borderId="0" xfId="0" applyFont="1" applyAlignment="1">
      <alignment horizontal="right" vertical="top"/>
    </xf>
    <xf numFmtId="10" fontId="7" fillId="0" borderId="0" xfId="0" applyNumberFormat="1" applyFont="1" applyAlignment="1"/>
    <xf numFmtId="164" fontId="7" fillId="0" borderId="0" xfId="0" applyNumberFormat="1" applyFont="1" applyAlignment="1"/>
    <xf numFmtId="10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right" vertical="center"/>
    </xf>
    <xf numFmtId="1" fontId="8" fillId="0" borderId="0" xfId="0" applyNumberFormat="1" applyFont="1" applyAlignment="1" applyProtection="1">
      <alignment vertical="center"/>
      <protection locked="0"/>
    </xf>
    <xf numFmtId="167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9" fontId="9" fillId="2" borderId="1" xfId="0" applyNumberFormat="1" applyFont="1" applyFill="1" applyBorder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9" fillId="0" borderId="0" xfId="0" applyFont="1">
      <alignment vertical="top"/>
    </xf>
    <xf numFmtId="10" fontId="9" fillId="2" borderId="1" xfId="0" applyNumberFormat="1" applyFont="1" applyFill="1" applyBorder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1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/>
    <xf numFmtId="165" fontId="9" fillId="0" borderId="0" xfId="0" applyNumberFormat="1" applyFont="1" applyAlignment="1">
      <alignment horizontal="center" vertical="center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9" fillId="0" borderId="0" xfId="0" applyFont="1" applyAlignment="1">
      <alignment horizontal="right" vertical="center"/>
    </xf>
    <xf numFmtId="49" fontId="8" fillId="0" borderId="0" xfId="0" applyNumberFormat="1" applyFont="1" applyAlignment="1">
      <alignment horizontal="left" vertical="center"/>
    </xf>
    <xf numFmtId="167" fontId="8" fillId="0" borderId="0" xfId="0" applyNumberFormat="1" applyFont="1" applyAlignment="1">
      <alignment horizontal="left" vertical="center"/>
    </xf>
    <xf numFmtId="1" fontId="8" fillId="0" borderId="0" xfId="0" applyNumberFormat="1" applyFont="1" applyAlignment="1">
      <alignment horizontal="left" vertical="center"/>
    </xf>
    <xf numFmtId="168" fontId="12" fillId="0" borderId="0" xfId="0" applyNumberFormat="1" applyFont="1" applyAlignment="1">
      <alignment horizontal="center" vertical="center"/>
    </xf>
    <xf numFmtId="0" fontId="8" fillId="0" borderId="0" xfId="0" applyFont="1">
      <alignment vertical="top"/>
    </xf>
    <xf numFmtId="168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1" fontId="12" fillId="0" borderId="0" xfId="0" applyNumberFormat="1" applyFont="1" applyAlignment="1">
      <alignment horizontal="right" vertical="center"/>
    </xf>
    <xf numFmtId="0" fontId="13" fillId="4" borderId="0" xfId="0" applyFont="1" applyFill="1">
      <alignment vertical="top"/>
    </xf>
    <xf numFmtId="0" fontId="14" fillId="4" borderId="0" xfId="0" applyFont="1" applyFill="1">
      <alignment vertical="top"/>
    </xf>
    <xf numFmtId="44" fontId="9" fillId="5" borderId="6" xfId="1" applyFont="1" applyFill="1" applyBorder="1"/>
    <xf numFmtId="44" fontId="8" fillId="5" borderId="1" xfId="1" applyFont="1" applyFill="1" applyBorder="1"/>
    <xf numFmtId="44" fontId="8" fillId="2" borderId="1" xfId="1" applyFont="1" applyFill="1" applyBorder="1" applyAlignment="1">
      <alignment vertical="center"/>
    </xf>
    <xf numFmtId="168" fontId="9" fillId="0" borderId="0" xfId="0" applyNumberFormat="1" applyFont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8" fillId="0" borderId="7" xfId="0" applyFont="1" applyBorder="1" applyAlignment="1" applyProtection="1">
      <alignment horizontal="center"/>
      <protection locked="0"/>
    </xf>
    <xf numFmtId="0" fontId="8" fillId="5" borderId="7" xfId="0" applyFont="1" applyFill="1" applyBorder="1" applyAlignment="1">
      <alignment horizontal="center"/>
    </xf>
    <xf numFmtId="1" fontId="8" fillId="0" borderId="8" xfId="0" applyNumberFormat="1" applyFont="1" applyBorder="1" applyAlignment="1"/>
    <xf numFmtId="44" fontId="9" fillId="0" borderId="9" xfId="1" applyFont="1" applyBorder="1"/>
    <xf numFmtId="0" fontId="6" fillId="0" borderId="10" xfId="0" applyFont="1" applyBorder="1">
      <alignment vertical="top"/>
    </xf>
    <xf numFmtId="0" fontId="12" fillId="0" borderId="0" xfId="0" applyFont="1">
      <alignment vertical="top"/>
    </xf>
    <xf numFmtId="0" fontId="8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7" fillId="3" borderId="7" xfId="0" applyFont="1" applyFill="1" applyBorder="1" applyAlignment="1">
      <alignment horizontal="center"/>
    </xf>
    <xf numFmtId="165" fontId="9" fillId="0" borderId="0" xfId="0" applyNumberFormat="1" applyFont="1" applyAlignment="1">
      <alignment horizontal="left" vertical="center"/>
    </xf>
    <xf numFmtId="1" fontId="12" fillId="0" borderId="0" xfId="0" applyNumberFormat="1" applyFont="1" applyAlignment="1" applyProtection="1">
      <alignment horizontal="right" vertical="center"/>
      <protection locked="0"/>
    </xf>
    <xf numFmtId="1" fontId="9" fillId="0" borderId="11" xfId="0" applyNumberFormat="1" applyFont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0" fontId="6" fillId="0" borderId="3" xfId="0" applyFont="1" applyBorder="1">
      <alignment vertical="top"/>
    </xf>
    <xf numFmtId="0" fontId="6" fillId="0" borderId="13" xfId="0" applyFont="1" applyBorder="1">
      <alignment vertical="top"/>
    </xf>
    <xf numFmtId="0" fontId="15" fillId="3" borderId="14" xfId="0" applyFont="1" applyFill="1" applyBorder="1" applyAlignment="1">
      <alignment horizontal="left" vertical="center"/>
    </xf>
    <xf numFmtId="0" fontId="6" fillId="3" borderId="3" xfId="0" applyFont="1" applyFill="1" applyBorder="1">
      <alignment vertical="top"/>
    </xf>
    <xf numFmtId="1" fontId="7" fillId="3" borderId="13" xfId="0" applyNumberFormat="1" applyFont="1" applyFill="1" applyBorder="1" applyAlignment="1"/>
    <xf numFmtId="0" fontId="16" fillId="3" borderId="7" xfId="0" applyFont="1" applyFill="1" applyBorder="1" applyAlignment="1">
      <alignment vertical="center"/>
    </xf>
    <xf numFmtId="1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wrapText="1"/>
    </xf>
    <xf numFmtId="0" fontId="11" fillId="3" borderId="5" xfId="0" applyFont="1" applyFill="1" applyBorder="1" applyAlignment="1">
      <alignment horizontal="center" wrapText="1"/>
    </xf>
    <xf numFmtId="9" fontId="8" fillId="0" borderId="15" xfId="0" applyNumberFormat="1" applyFont="1" applyBorder="1" applyAlignment="1">
      <alignment horizontal="center" vertical="center"/>
    </xf>
    <xf numFmtId="0" fontId="6" fillId="0" borderId="12" xfId="0" applyFont="1" applyBorder="1">
      <alignment vertical="top"/>
    </xf>
    <xf numFmtId="0" fontId="17" fillId="0" borderId="0" xfId="0" applyFont="1">
      <alignment vertical="top"/>
    </xf>
    <xf numFmtId="10" fontId="8" fillId="0" borderId="13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2" xfId="0" applyFont="1" applyBorder="1">
      <alignment vertical="top"/>
    </xf>
    <xf numFmtId="0" fontId="17" fillId="0" borderId="0" xfId="0" applyFont="1" applyAlignment="1">
      <alignment vertical="center"/>
    </xf>
    <xf numFmtId="9" fontId="8" fillId="0" borderId="13" xfId="0" applyNumberFormat="1" applyFont="1" applyBorder="1" applyAlignment="1">
      <alignment horizontal="center" vertical="center"/>
    </xf>
    <xf numFmtId="0" fontId="7" fillId="3" borderId="16" xfId="0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 wrapText="1"/>
    </xf>
    <xf numFmtId="0" fontId="11" fillId="3" borderId="13" xfId="0" applyFont="1" applyFill="1" applyBorder="1" applyAlignment="1">
      <alignment horizontal="center" wrapText="1"/>
    </xf>
    <xf numFmtId="0" fontId="6" fillId="0" borderId="18" xfId="0" applyFont="1" applyBorder="1">
      <alignment vertical="top"/>
    </xf>
    <xf numFmtId="1" fontId="9" fillId="0" borderId="19" xfId="0" applyNumberFormat="1" applyFont="1" applyBorder="1" applyAlignment="1">
      <alignment horizontal="right" vertical="center"/>
    </xf>
    <xf numFmtId="49" fontId="8" fillId="0" borderId="19" xfId="0" applyNumberFormat="1" applyFont="1" applyBorder="1" applyAlignment="1">
      <alignment horizontal="left" vertical="center"/>
    </xf>
    <xf numFmtId="0" fontId="8" fillId="0" borderId="19" xfId="0" applyFont="1" applyBorder="1">
      <alignment vertical="top"/>
    </xf>
    <xf numFmtId="0" fontId="8" fillId="0" borderId="19" xfId="0" applyFont="1" applyBorder="1" applyAlignment="1"/>
    <xf numFmtId="0" fontId="12" fillId="0" borderId="19" xfId="0" applyFont="1" applyBorder="1">
      <alignment vertical="top"/>
    </xf>
    <xf numFmtId="0" fontId="12" fillId="0" borderId="19" xfId="0" applyFont="1" applyBorder="1" applyAlignment="1">
      <alignment horizontal="right" vertical="center"/>
    </xf>
    <xf numFmtId="168" fontId="12" fillId="0" borderId="19" xfId="0" applyNumberFormat="1" applyFont="1" applyBorder="1" applyAlignment="1">
      <alignment horizontal="left" vertical="center"/>
    </xf>
    <xf numFmtId="0" fontId="8" fillId="0" borderId="20" xfId="0" applyFont="1" applyBorder="1">
      <alignment vertical="top"/>
    </xf>
    <xf numFmtId="0" fontId="8" fillId="0" borderId="21" xfId="0" applyFont="1" applyBorder="1">
      <alignment vertical="top"/>
    </xf>
    <xf numFmtId="1" fontId="8" fillId="0" borderId="21" xfId="0" applyNumberFormat="1" applyFont="1" applyBorder="1" applyAlignment="1">
      <alignment horizontal="center" vertical="center"/>
    </xf>
    <xf numFmtId="1" fontId="8" fillId="0" borderId="21" xfId="0" applyNumberFormat="1" applyFont="1" applyBorder="1" applyAlignment="1"/>
    <xf numFmtId="0" fontId="9" fillId="0" borderId="21" xfId="0" applyFont="1" applyBorder="1">
      <alignment vertical="top"/>
    </xf>
    <xf numFmtId="0" fontId="6" fillId="0" borderId="21" xfId="0" applyFont="1" applyBorder="1">
      <alignment vertical="top"/>
    </xf>
    <xf numFmtId="9" fontId="8" fillId="0" borderId="22" xfId="0" applyNumberFormat="1" applyFont="1" applyBorder="1" applyAlignment="1">
      <alignment horizontal="center" vertical="center"/>
    </xf>
    <xf numFmtId="10" fontId="7" fillId="0" borderId="0" xfId="0" applyNumberFormat="1" applyFont="1" applyAlignment="1">
      <alignment vertical="center"/>
    </xf>
    <xf numFmtId="9" fontId="7" fillId="2" borderId="23" xfId="0" applyNumberFormat="1" applyFont="1" applyFill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44" fontId="8" fillId="0" borderId="1" xfId="1" applyFont="1" applyBorder="1" applyAlignment="1">
      <alignment horizontal="center"/>
    </xf>
    <xf numFmtId="44" fontId="8" fillId="0" borderId="1" xfId="1" applyFont="1" applyBorder="1" applyAlignment="1" applyProtection="1">
      <alignment horizontal="center" vertical="center"/>
      <protection locked="0"/>
    </xf>
    <xf numFmtId="44" fontId="8" fillId="0" borderId="1" xfId="1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9" fontId="8" fillId="2" borderId="4" xfId="0" applyNumberFormat="1" applyFont="1" applyFill="1" applyBorder="1" applyAlignment="1">
      <alignment horizontal="center" vertical="center"/>
    </xf>
    <xf numFmtId="44" fontId="8" fillId="0" borderId="4" xfId="1" applyFont="1" applyBorder="1" applyAlignment="1">
      <alignment horizontal="center"/>
    </xf>
    <xf numFmtId="44" fontId="8" fillId="0" borderId="4" xfId="1" applyFont="1" applyBorder="1" applyAlignment="1" applyProtection="1">
      <alignment horizontal="center"/>
      <protection locked="0"/>
    </xf>
    <xf numFmtId="0" fontId="8" fillId="0" borderId="24" xfId="0" applyFont="1" applyBorder="1" applyAlignment="1" applyProtection="1">
      <alignment horizontal="left"/>
      <protection locked="0"/>
    </xf>
    <xf numFmtId="0" fontId="11" fillId="3" borderId="1" xfId="0" applyFont="1" applyFill="1" applyBorder="1" applyAlignment="1">
      <alignment vertical="center"/>
    </xf>
    <xf numFmtId="1" fontId="8" fillId="0" borderId="0" xfId="0" applyNumberFormat="1" applyFont="1" applyAlignment="1" applyProtection="1">
      <alignment horizontal="left" vertical="center"/>
      <protection locked="0"/>
    </xf>
    <xf numFmtId="1" fontId="8" fillId="0" borderId="14" xfId="0" applyNumberFormat="1" applyFont="1" applyBorder="1" applyAlignment="1" applyProtection="1">
      <alignment horizontal="left" vertical="center"/>
      <protection locked="0"/>
    </xf>
    <xf numFmtId="167" fontId="8" fillId="0" borderId="0" xfId="0" applyNumberFormat="1" applyFont="1" applyAlignment="1" applyProtection="1">
      <alignment horizontal="left" vertical="center"/>
      <protection locked="0"/>
    </xf>
    <xf numFmtId="0" fontId="9" fillId="5" borderId="24" xfId="0" applyFont="1" applyFill="1" applyBorder="1" applyAlignment="1">
      <alignment horizontal="left"/>
    </xf>
    <xf numFmtId="0" fontId="9" fillId="0" borderId="9" xfId="0" applyFont="1" applyBorder="1" applyAlignment="1">
      <alignment horizontal="right"/>
    </xf>
    <xf numFmtId="169" fontId="14" fillId="0" borderId="1" xfId="4" applyFont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166" fontId="14" fillId="0" borderId="1" xfId="3" applyNumberFormat="1" applyFont="1" applyBorder="1" applyAlignment="1">
      <alignment horizontal="right"/>
    </xf>
    <xf numFmtId="166" fontId="6" fillId="0" borderId="0" xfId="0" applyNumberFormat="1" applyFont="1">
      <alignment vertical="top"/>
    </xf>
    <xf numFmtId="0" fontId="12" fillId="6" borderId="1" xfId="0" applyFont="1" applyFill="1" applyBorder="1" applyAlignment="1">
      <alignment horizontal="left" wrapText="1"/>
    </xf>
    <xf numFmtId="169" fontId="12" fillId="6" borderId="1" xfId="4" applyFont="1" applyFill="1" applyBorder="1" applyAlignment="1">
      <alignment horizontal="left"/>
    </xf>
    <xf numFmtId="0" fontId="14" fillId="0" borderId="1" xfId="0" applyFont="1" applyFill="1" applyBorder="1" applyAlignment="1">
      <alignment horizontal="left" wrapText="1"/>
    </xf>
    <xf numFmtId="166" fontId="14" fillId="6" borderId="0" xfId="0" applyNumberFormat="1" applyFont="1" applyFill="1" applyAlignment="1">
      <alignment horizontal="left" vertical="top"/>
    </xf>
    <xf numFmtId="0" fontId="12" fillId="0" borderId="1" xfId="0" applyFont="1" applyFill="1" applyBorder="1" applyAlignment="1">
      <alignment horizontal="left" wrapText="1"/>
    </xf>
    <xf numFmtId="166" fontId="8" fillId="2" borderId="1" xfId="1" applyNumberFormat="1" applyFont="1" applyFill="1" applyBorder="1" applyAlignment="1">
      <alignment vertical="center"/>
    </xf>
    <xf numFmtId="44" fontId="6" fillId="0" borderId="0" xfId="0" applyNumberFormat="1" applyFont="1">
      <alignment vertical="top"/>
    </xf>
    <xf numFmtId="0" fontId="13" fillId="4" borderId="0" xfId="0" applyFont="1" applyFill="1" applyAlignment="1">
      <alignment horizontal="right" vertical="top"/>
    </xf>
    <xf numFmtId="166" fontId="13" fillId="4" borderId="0" xfId="0" applyNumberFormat="1" applyFont="1" applyFill="1">
      <alignment vertical="top"/>
    </xf>
    <xf numFmtId="166" fontId="14" fillId="4" borderId="0" xfId="0" applyNumberFormat="1" applyFont="1" applyFill="1">
      <alignment vertical="top"/>
    </xf>
    <xf numFmtId="166" fontId="13" fillId="4" borderId="0" xfId="0" applyNumberFormat="1" applyFont="1" applyFill="1" applyAlignment="1">
      <alignment horizontal="right" vertical="top"/>
    </xf>
    <xf numFmtId="0" fontId="18" fillId="3" borderId="11" xfId="0" applyFont="1" applyFill="1" applyBorder="1" applyAlignment="1">
      <alignment horizontal="left" vertical="center"/>
    </xf>
    <xf numFmtId="0" fontId="15" fillId="3" borderId="14" xfId="0" applyFont="1" applyFill="1" applyBorder="1" applyAlignment="1">
      <alignment horizontal="left" vertical="center"/>
    </xf>
    <xf numFmtId="0" fontId="15" fillId="3" borderId="12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1" fontId="8" fillId="0" borderId="14" xfId="0" applyNumberFormat="1" applyFont="1" applyBorder="1" applyAlignment="1" applyProtection="1">
      <alignment horizontal="center" vertical="center"/>
      <protection locked="0"/>
    </xf>
    <xf numFmtId="1" fontId="8" fillId="0" borderId="0" xfId="0" applyNumberFormat="1" applyFont="1" applyAlignment="1" applyProtection="1">
      <alignment horizontal="center" vertical="center"/>
      <protection locked="0"/>
    </xf>
    <xf numFmtId="0" fontId="6" fillId="0" borderId="1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10" fillId="0" borderId="28" xfId="0" applyFont="1" applyBorder="1" applyAlignment="1">
      <alignment horizontal="center"/>
    </xf>
    <xf numFmtId="0" fontId="8" fillId="0" borderId="24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11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9" fillId="3" borderId="18" xfId="0" applyFont="1" applyFill="1" applyBorder="1" applyAlignment="1">
      <alignment horizontal="center" vertical="center"/>
    </xf>
    <xf numFmtId="0" fontId="19" fillId="3" borderId="19" xfId="0" applyFont="1" applyFill="1" applyBorder="1" applyAlignment="1">
      <alignment horizontal="center" vertical="center"/>
    </xf>
    <xf numFmtId="0" fontId="19" fillId="3" borderId="23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15" xfId="0" applyFont="1" applyFill="1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11" fillId="3" borderId="12" xfId="0" applyFont="1" applyFill="1" applyBorder="1" applyAlignment="1">
      <alignment horizontal="center" wrapText="1"/>
    </xf>
    <xf numFmtId="0" fontId="11" fillId="3" borderId="15" xfId="0" applyFont="1" applyFill="1" applyBorder="1" applyAlignment="1">
      <alignment horizontal="center" wrapText="1"/>
    </xf>
    <xf numFmtId="0" fontId="11" fillId="3" borderId="25" xfId="0" applyFont="1" applyFill="1" applyBorder="1" applyAlignment="1">
      <alignment horizontal="center" wrapText="1"/>
    </xf>
    <xf numFmtId="0" fontId="11" fillId="3" borderId="26" xfId="0" applyFont="1" applyFill="1" applyBorder="1" applyAlignment="1">
      <alignment horizontal="center" wrapText="1"/>
    </xf>
    <xf numFmtId="0" fontId="11" fillId="3" borderId="17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49" fontId="11" fillId="3" borderId="17" xfId="0" applyNumberFormat="1" applyFont="1" applyFill="1" applyBorder="1" applyAlignment="1">
      <alignment horizontal="center" vertical="center" wrapText="1"/>
    </xf>
    <xf numFmtId="49" fontId="11" fillId="3" borderId="4" xfId="0" applyNumberFormat="1" applyFont="1" applyFill="1" applyBorder="1" applyAlignment="1">
      <alignment horizontal="center" vertical="center" wrapText="1"/>
    </xf>
    <xf numFmtId="0" fontId="7" fillId="5" borderId="24" xfId="0" applyFont="1" applyFill="1" applyBorder="1" applyAlignment="1">
      <alignment horizontal="center"/>
    </xf>
    <xf numFmtId="0" fontId="7" fillId="5" borderId="27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9" fillId="0" borderId="1" xfId="0" applyFont="1" applyBorder="1" applyAlignment="1">
      <alignment horizontal="right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  <xf numFmtId="49" fontId="11" fillId="3" borderId="2" xfId="0" applyNumberFormat="1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25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166" fontId="9" fillId="0" borderId="9" xfId="1" applyNumberFormat="1" applyFont="1" applyBorder="1"/>
    <xf numFmtId="166" fontId="20" fillId="0" borderId="1" xfId="3" applyNumberFormat="1" applyFont="1" applyBorder="1" applyAlignment="1">
      <alignment horizontal="right"/>
    </xf>
  </cellXfs>
  <cellStyles count="5">
    <cellStyle name="Currency" xfId="1" builtinId="4"/>
    <cellStyle name="Currency 2" xfId="2" xr:uid="{00000000-0005-0000-0000-000001000000}"/>
    <cellStyle name="Normal" xfId="0" builtinId="0"/>
    <cellStyle name="Normal 2" xfId="3" xr:uid="{00000000-0005-0000-0000-000003000000}"/>
    <cellStyle name="Normal_ROXCHARG" xfId="4" xr:uid="{00000000-0005-0000-0000-000004000000}"/>
  </cellStyles>
  <dxfs count="112"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AAAAAA"/>
      <rgbColor rgb="00C0C0C0"/>
      <rgbColor rgb="00FFFF99"/>
      <rgbColor rgb="00333399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200025</xdr:colOff>
      <xdr:row>2</xdr:row>
      <xdr:rowOff>9525</xdr:rowOff>
    </xdr:from>
    <xdr:to>
      <xdr:col>4</xdr:col>
      <xdr:colOff>695325</xdr:colOff>
      <xdr:row>4</xdr:row>
      <xdr:rowOff>133350</xdr:rowOff>
    </xdr:to>
    <xdr:pic>
      <xdr:nvPicPr>
        <xdr:cNvPr id="1294" name="Picture 1">
          <a:extLst>
            <a:ext uri="{FF2B5EF4-FFF2-40B4-BE49-F238E27FC236}">
              <a16:creationId xmlns:a16="http://schemas.microsoft.com/office/drawing/2014/main" id="{6FD61FE9-290C-41BC-95B3-56A1E247C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50" y="314325"/>
          <a:ext cx="4953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866775</xdr:colOff>
      <xdr:row>2</xdr:row>
      <xdr:rowOff>38100</xdr:rowOff>
    </xdr:from>
    <xdr:to>
      <xdr:col>4</xdr:col>
      <xdr:colOff>561975</xdr:colOff>
      <xdr:row>6</xdr:row>
      <xdr:rowOff>161925</xdr:rowOff>
    </xdr:to>
    <xdr:pic>
      <xdr:nvPicPr>
        <xdr:cNvPr id="2315" name="Picture 1">
          <a:extLst>
            <a:ext uri="{FF2B5EF4-FFF2-40B4-BE49-F238E27FC236}">
              <a16:creationId xmlns:a16="http://schemas.microsoft.com/office/drawing/2014/main" id="{71FD8F61-29F6-4DF4-870A-48D2FC897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447675"/>
          <a:ext cx="8667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847725</xdr:colOff>
      <xdr:row>2</xdr:row>
      <xdr:rowOff>38100</xdr:rowOff>
    </xdr:from>
    <xdr:to>
      <xdr:col>4</xdr:col>
      <xdr:colOff>704850</xdr:colOff>
      <xdr:row>6</xdr:row>
      <xdr:rowOff>161925</xdr:rowOff>
    </xdr:to>
    <xdr:pic>
      <xdr:nvPicPr>
        <xdr:cNvPr id="3339" name="Picture 2">
          <a:extLst>
            <a:ext uri="{FF2B5EF4-FFF2-40B4-BE49-F238E27FC236}">
              <a16:creationId xmlns:a16="http://schemas.microsoft.com/office/drawing/2014/main" id="{DE95DC8E-B749-4246-94F7-8DD829074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175" y="438150"/>
          <a:ext cx="8667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838200</xdr:colOff>
      <xdr:row>2</xdr:row>
      <xdr:rowOff>28575</xdr:rowOff>
    </xdr:from>
    <xdr:to>
      <xdr:col>4</xdr:col>
      <xdr:colOff>695325</xdr:colOff>
      <xdr:row>6</xdr:row>
      <xdr:rowOff>152400</xdr:rowOff>
    </xdr:to>
    <xdr:pic>
      <xdr:nvPicPr>
        <xdr:cNvPr id="4368" name="Picture 2">
          <a:extLst>
            <a:ext uri="{FF2B5EF4-FFF2-40B4-BE49-F238E27FC236}">
              <a16:creationId xmlns:a16="http://schemas.microsoft.com/office/drawing/2014/main" id="{F33636DE-1006-4E76-AC10-E3098705B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28625"/>
          <a:ext cx="8667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866775</xdr:colOff>
      <xdr:row>2</xdr:row>
      <xdr:rowOff>28575</xdr:rowOff>
    </xdr:from>
    <xdr:to>
      <xdr:col>4</xdr:col>
      <xdr:colOff>723900</xdr:colOff>
      <xdr:row>6</xdr:row>
      <xdr:rowOff>152400</xdr:rowOff>
    </xdr:to>
    <xdr:pic>
      <xdr:nvPicPr>
        <xdr:cNvPr id="5381" name="Picture 2">
          <a:extLst>
            <a:ext uri="{FF2B5EF4-FFF2-40B4-BE49-F238E27FC236}">
              <a16:creationId xmlns:a16="http://schemas.microsoft.com/office/drawing/2014/main" id="{0113D304-7576-428C-AD56-F591CB2D5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225" y="428625"/>
          <a:ext cx="8667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2</xdr:row>
      <xdr:rowOff>19050</xdr:rowOff>
    </xdr:from>
    <xdr:to>
      <xdr:col>4</xdr:col>
      <xdr:colOff>714375</xdr:colOff>
      <xdr:row>6</xdr:row>
      <xdr:rowOff>133350</xdr:rowOff>
    </xdr:to>
    <xdr:pic>
      <xdr:nvPicPr>
        <xdr:cNvPr id="6405" name="Picture 2">
          <a:extLst>
            <a:ext uri="{FF2B5EF4-FFF2-40B4-BE49-F238E27FC236}">
              <a16:creationId xmlns:a16="http://schemas.microsoft.com/office/drawing/2014/main" id="{1F7F21B0-3576-4999-B4AD-629284B09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419100"/>
          <a:ext cx="86677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2</xdr:row>
      <xdr:rowOff>38100</xdr:rowOff>
    </xdr:from>
    <xdr:to>
      <xdr:col>4</xdr:col>
      <xdr:colOff>714375</xdr:colOff>
      <xdr:row>6</xdr:row>
      <xdr:rowOff>161925</xdr:rowOff>
    </xdr:to>
    <xdr:pic>
      <xdr:nvPicPr>
        <xdr:cNvPr id="7429" name="Picture 2">
          <a:extLst>
            <a:ext uri="{FF2B5EF4-FFF2-40B4-BE49-F238E27FC236}">
              <a16:creationId xmlns:a16="http://schemas.microsoft.com/office/drawing/2014/main" id="{F9E96B29-5145-472E-A1A3-10B368930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438150"/>
          <a:ext cx="8667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847725</xdr:colOff>
      <xdr:row>2</xdr:row>
      <xdr:rowOff>38100</xdr:rowOff>
    </xdr:from>
    <xdr:to>
      <xdr:col>4</xdr:col>
      <xdr:colOff>704850</xdr:colOff>
      <xdr:row>6</xdr:row>
      <xdr:rowOff>161925</xdr:rowOff>
    </xdr:to>
    <xdr:pic>
      <xdr:nvPicPr>
        <xdr:cNvPr id="8453" name="Picture 2">
          <a:extLst>
            <a:ext uri="{FF2B5EF4-FFF2-40B4-BE49-F238E27FC236}">
              <a16:creationId xmlns:a16="http://schemas.microsoft.com/office/drawing/2014/main" id="{07CB4E94-A587-47D3-B13B-8912519AB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175" y="438150"/>
          <a:ext cx="8667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847725</xdr:colOff>
      <xdr:row>2</xdr:row>
      <xdr:rowOff>19050</xdr:rowOff>
    </xdr:from>
    <xdr:to>
      <xdr:col>4</xdr:col>
      <xdr:colOff>704850</xdr:colOff>
      <xdr:row>6</xdr:row>
      <xdr:rowOff>133350</xdr:rowOff>
    </xdr:to>
    <xdr:pic>
      <xdr:nvPicPr>
        <xdr:cNvPr id="9478" name="Picture 2">
          <a:extLst>
            <a:ext uri="{FF2B5EF4-FFF2-40B4-BE49-F238E27FC236}">
              <a16:creationId xmlns:a16="http://schemas.microsoft.com/office/drawing/2014/main" id="{84E7ABAA-C035-48D0-8231-BA6128B96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175" y="419100"/>
          <a:ext cx="86677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838200</xdr:colOff>
      <xdr:row>2</xdr:row>
      <xdr:rowOff>19050</xdr:rowOff>
    </xdr:from>
    <xdr:to>
      <xdr:col>4</xdr:col>
      <xdr:colOff>695325</xdr:colOff>
      <xdr:row>6</xdr:row>
      <xdr:rowOff>133350</xdr:rowOff>
    </xdr:to>
    <xdr:pic>
      <xdr:nvPicPr>
        <xdr:cNvPr id="10502" name="Picture 2">
          <a:extLst>
            <a:ext uri="{FF2B5EF4-FFF2-40B4-BE49-F238E27FC236}">
              <a16:creationId xmlns:a16="http://schemas.microsoft.com/office/drawing/2014/main" id="{0FCF0FEB-6553-4DDF-9E74-E0AFD1A0E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19100"/>
          <a:ext cx="86677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847725</xdr:colOff>
      <xdr:row>2</xdr:row>
      <xdr:rowOff>38100</xdr:rowOff>
    </xdr:from>
    <xdr:to>
      <xdr:col>4</xdr:col>
      <xdr:colOff>704850</xdr:colOff>
      <xdr:row>6</xdr:row>
      <xdr:rowOff>161925</xdr:rowOff>
    </xdr:to>
    <xdr:pic>
      <xdr:nvPicPr>
        <xdr:cNvPr id="11525" name="Picture 2">
          <a:extLst>
            <a:ext uri="{FF2B5EF4-FFF2-40B4-BE49-F238E27FC236}">
              <a16:creationId xmlns:a16="http://schemas.microsoft.com/office/drawing/2014/main" id="{F308D17D-F77D-4761-A7E3-0664C8B6F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175" y="438150"/>
          <a:ext cx="8667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2</xdr:row>
      <xdr:rowOff>28575</xdr:rowOff>
    </xdr:from>
    <xdr:to>
      <xdr:col>4</xdr:col>
      <xdr:colOff>714375</xdr:colOff>
      <xdr:row>6</xdr:row>
      <xdr:rowOff>152400</xdr:rowOff>
    </xdr:to>
    <xdr:pic>
      <xdr:nvPicPr>
        <xdr:cNvPr id="12549" name="Picture 2">
          <a:extLst>
            <a:ext uri="{FF2B5EF4-FFF2-40B4-BE49-F238E27FC236}">
              <a16:creationId xmlns:a16="http://schemas.microsoft.com/office/drawing/2014/main" id="{DA4D5592-96D6-4293-91A9-B7C2DE74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428625"/>
          <a:ext cx="8667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866775</xdr:colOff>
      <xdr:row>2</xdr:row>
      <xdr:rowOff>38100</xdr:rowOff>
    </xdr:from>
    <xdr:to>
      <xdr:col>4</xdr:col>
      <xdr:colOff>723900</xdr:colOff>
      <xdr:row>6</xdr:row>
      <xdr:rowOff>161925</xdr:rowOff>
    </xdr:to>
    <xdr:pic>
      <xdr:nvPicPr>
        <xdr:cNvPr id="13573" name="Picture 2">
          <a:extLst>
            <a:ext uri="{FF2B5EF4-FFF2-40B4-BE49-F238E27FC236}">
              <a16:creationId xmlns:a16="http://schemas.microsoft.com/office/drawing/2014/main" id="{E9E7D497-4911-4327-829D-DE5571803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225" y="438150"/>
          <a:ext cx="8667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2</xdr:row>
      <xdr:rowOff>28575</xdr:rowOff>
    </xdr:from>
    <xdr:to>
      <xdr:col>4</xdr:col>
      <xdr:colOff>714375</xdr:colOff>
      <xdr:row>6</xdr:row>
      <xdr:rowOff>152400</xdr:rowOff>
    </xdr:to>
    <xdr:pic>
      <xdr:nvPicPr>
        <xdr:cNvPr id="14597" name="Picture 2">
          <a:extLst>
            <a:ext uri="{FF2B5EF4-FFF2-40B4-BE49-F238E27FC236}">
              <a16:creationId xmlns:a16="http://schemas.microsoft.com/office/drawing/2014/main" id="{863CB4AF-8E48-4A0C-8C57-F7AEA62BE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428625"/>
          <a:ext cx="8667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2</xdr:row>
      <xdr:rowOff>9525</xdr:rowOff>
    </xdr:from>
    <xdr:to>
      <xdr:col>4</xdr:col>
      <xdr:colOff>714375</xdr:colOff>
      <xdr:row>6</xdr:row>
      <xdr:rowOff>123825</xdr:rowOff>
    </xdr:to>
    <xdr:pic>
      <xdr:nvPicPr>
        <xdr:cNvPr id="15622" name="Picture 2">
          <a:extLst>
            <a:ext uri="{FF2B5EF4-FFF2-40B4-BE49-F238E27FC236}">
              <a16:creationId xmlns:a16="http://schemas.microsoft.com/office/drawing/2014/main" id="{FA16475B-38F4-43ED-92BF-84C9037AC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409575"/>
          <a:ext cx="86677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838200</xdr:colOff>
      <xdr:row>2</xdr:row>
      <xdr:rowOff>28575</xdr:rowOff>
    </xdr:from>
    <xdr:to>
      <xdr:col>4</xdr:col>
      <xdr:colOff>695325</xdr:colOff>
      <xdr:row>6</xdr:row>
      <xdr:rowOff>152400</xdr:rowOff>
    </xdr:to>
    <xdr:pic>
      <xdr:nvPicPr>
        <xdr:cNvPr id="16646" name="Picture 2">
          <a:extLst>
            <a:ext uri="{FF2B5EF4-FFF2-40B4-BE49-F238E27FC236}">
              <a16:creationId xmlns:a16="http://schemas.microsoft.com/office/drawing/2014/main" id="{F74FDBD1-FE91-40FA-B929-74EC57A3E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28625"/>
          <a:ext cx="8667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866775</xdr:colOff>
      <xdr:row>2</xdr:row>
      <xdr:rowOff>28575</xdr:rowOff>
    </xdr:from>
    <xdr:to>
      <xdr:col>4</xdr:col>
      <xdr:colOff>723900</xdr:colOff>
      <xdr:row>6</xdr:row>
      <xdr:rowOff>152400</xdr:rowOff>
    </xdr:to>
    <xdr:pic>
      <xdr:nvPicPr>
        <xdr:cNvPr id="17669" name="Picture 2">
          <a:extLst>
            <a:ext uri="{FF2B5EF4-FFF2-40B4-BE49-F238E27FC236}">
              <a16:creationId xmlns:a16="http://schemas.microsoft.com/office/drawing/2014/main" id="{611D65AC-8F9A-4E38-9610-97CC14A30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225" y="428625"/>
          <a:ext cx="8667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866775</xdr:colOff>
      <xdr:row>2</xdr:row>
      <xdr:rowOff>19050</xdr:rowOff>
    </xdr:from>
    <xdr:to>
      <xdr:col>4</xdr:col>
      <xdr:colOff>723900</xdr:colOff>
      <xdr:row>6</xdr:row>
      <xdr:rowOff>133350</xdr:rowOff>
    </xdr:to>
    <xdr:pic>
      <xdr:nvPicPr>
        <xdr:cNvPr id="18693" name="Picture 2">
          <a:extLst>
            <a:ext uri="{FF2B5EF4-FFF2-40B4-BE49-F238E27FC236}">
              <a16:creationId xmlns:a16="http://schemas.microsoft.com/office/drawing/2014/main" id="{80A947F3-29CC-4244-AEC2-0938A18E1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225" y="419100"/>
          <a:ext cx="86677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2</xdr:row>
      <xdr:rowOff>0</xdr:rowOff>
    </xdr:from>
    <xdr:to>
      <xdr:col>4</xdr:col>
      <xdr:colOff>714375</xdr:colOff>
      <xdr:row>6</xdr:row>
      <xdr:rowOff>114300</xdr:rowOff>
    </xdr:to>
    <xdr:pic>
      <xdr:nvPicPr>
        <xdr:cNvPr id="19717" name="Picture 2">
          <a:extLst>
            <a:ext uri="{FF2B5EF4-FFF2-40B4-BE49-F238E27FC236}">
              <a16:creationId xmlns:a16="http://schemas.microsoft.com/office/drawing/2014/main" id="{7434CE10-8396-41CB-B600-EF853025D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400050"/>
          <a:ext cx="86677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2</xdr:row>
      <xdr:rowOff>19050</xdr:rowOff>
    </xdr:from>
    <xdr:to>
      <xdr:col>4</xdr:col>
      <xdr:colOff>714375</xdr:colOff>
      <xdr:row>6</xdr:row>
      <xdr:rowOff>133350</xdr:rowOff>
    </xdr:to>
    <xdr:pic>
      <xdr:nvPicPr>
        <xdr:cNvPr id="20742" name="Picture 2">
          <a:extLst>
            <a:ext uri="{FF2B5EF4-FFF2-40B4-BE49-F238E27FC236}">
              <a16:creationId xmlns:a16="http://schemas.microsoft.com/office/drawing/2014/main" id="{AFE141C0-B075-411B-87DD-C1FFA804C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419100"/>
          <a:ext cx="86677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838200</xdr:colOff>
      <xdr:row>2</xdr:row>
      <xdr:rowOff>19050</xdr:rowOff>
    </xdr:from>
    <xdr:to>
      <xdr:col>4</xdr:col>
      <xdr:colOff>695325</xdr:colOff>
      <xdr:row>6</xdr:row>
      <xdr:rowOff>133350</xdr:rowOff>
    </xdr:to>
    <xdr:pic>
      <xdr:nvPicPr>
        <xdr:cNvPr id="21765" name="Picture 2">
          <a:extLst>
            <a:ext uri="{FF2B5EF4-FFF2-40B4-BE49-F238E27FC236}">
              <a16:creationId xmlns:a16="http://schemas.microsoft.com/office/drawing/2014/main" id="{8B42E96A-0A3E-40AC-AF3E-32D010B81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19100"/>
          <a:ext cx="86677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0" cap="rnd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0" cap="rnd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21"/>
  <sheetViews>
    <sheetView showGridLines="0" tabSelected="1" topLeftCell="A65" zoomScaleNormal="100" zoomScaleSheetLayoutView="70" workbookViewId="0">
      <selection activeCell="D106" sqref="D106:E106"/>
    </sheetView>
  </sheetViews>
  <sheetFormatPr defaultColWidth="6.59765625" defaultRowHeight="12.95" customHeight="1"/>
  <cols>
    <col min="1" max="1" width="7.5" style="1" customWidth="1"/>
    <col min="2" max="2" width="23.19921875" style="1" customWidth="1"/>
    <col min="3" max="5" width="10.69921875" style="1" customWidth="1"/>
    <col min="6" max="6" width="12" style="1" customWidth="1"/>
    <col min="7" max="7" width="8.59765625" style="1" bestFit="1" customWidth="1"/>
    <col min="8" max="8" width="9.8984375" style="1" bestFit="1" customWidth="1"/>
    <col min="9" max="9" width="6.59765625" style="1"/>
    <col min="10" max="10" width="8.69921875" style="1" customWidth="1"/>
    <col min="11" max="11" width="7.59765625" style="1" bestFit="1" customWidth="1"/>
    <col min="12" max="12" width="6.59765625" style="1"/>
    <col min="13" max="13" width="9.3984375" style="1" bestFit="1" customWidth="1"/>
    <col min="14" max="14" width="6.59765625" style="1"/>
    <col min="15" max="15" width="9.3984375" style="1" bestFit="1" customWidth="1"/>
    <col min="16" max="16384" width="6.59765625" style="1"/>
  </cols>
  <sheetData>
    <row r="1" spans="1:14" ht="12.95" customHeight="1">
      <c r="A1" s="133" t="s">
        <v>16</v>
      </c>
      <c r="B1" s="134"/>
      <c r="C1" s="134"/>
      <c r="D1" s="65"/>
      <c r="E1" s="66"/>
    </row>
    <row r="2" spans="1:14" ht="11.45" customHeight="1">
      <c r="A2" s="135"/>
      <c r="B2" s="136"/>
      <c r="C2" s="136"/>
      <c r="D2" s="49"/>
      <c r="E2" s="67"/>
    </row>
    <row r="3" spans="1:14" ht="18" customHeight="1">
      <c r="A3" s="61" t="s">
        <v>7</v>
      </c>
      <c r="B3" s="114" t="s">
        <v>108</v>
      </c>
      <c r="C3" s="137"/>
      <c r="D3" s="139"/>
      <c r="E3" s="63"/>
    </row>
    <row r="4" spans="1:14" ht="14.1" customHeight="1">
      <c r="A4" s="62" t="s">
        <v>0</v>
      </c>
      <c r="B4" s="115" t="s">
        <v>115</v>
      </c>
      <c r="C4" s="138"/>
      <c r="D4" s="140"/>
      <c r="E4" s="64"/>
    </row>
    <row r="5" spans="1:14" ht="15.75">
      <c r="A5" s="62" t="s">
        <v>6</v>
      </c>
      <c r="B5" s="113" t="s">
        <v>28</v>
      </c>
      <c r="C5" s="14"/>
      <c r="E5" s="64"/>
    </row>
    <row r="6" spans="1:14" ht="41.45" customHeight="1">
      <c r="A6" s="68"/>
      <c r="B6" s="112" t="s">
        <v>1</v>
      </c>
      <c r="C6" s="69" t="s">
        <v>19</v>
      </c>
      <c r="D6" s="69" t="s">
        <v>23</v>
      </c>
      <c r="E6" s="70" t="s">
        <v>8</v>
      </c>
      <c r="F6" s="43"/>
      <c r="G6" s="141" t="s">
        <v>112</v>
      </c>
      <c r="H6" s="141"/>
      <c r="J6" s="141" t="s">
        <v>113</v>
      </c>
      <c r="K6" s="141"/>
      <c r="N6" s="60"/>
    </row>
    <row r="7" spans="1:14" ht="14.1" customHeight="1">
      <c r="A7" s="50">
        <v>1</v>
      </c>
      <c r="B7" s="123" t="s">
        <v>48</v>
      </c>
      <c r="C7" s="120"/>
      <c r="D7" s="110"/>
      <c r="E7" s="47"/>
      <c r="G7" s="129" t="s">
        <v>110</v>
      </c>
      <c r="H7" s="132" t="s">
        <v>111</v>
      </c>
      <c r="J7" s="129" t="s">
        <v>110</v>
      </c>
      <c r="K7" s="132" t="s">
        <v>111</v>
      </c>
      <c r="N7" s="60"/>
    </row>
    <row r="8" spans="1:14" ht="14.1" customHeight="1">
      <c r="A8" s="50">
        <v>2</v>
      </c>
      <c r="B8" s="118" t="s">
        <v>49</v>
      </c>
      <c r="C8" s="120">
        <v>20000</v>
      </c>
      <c r="D8" s="110">
        <v>9419.3700000000008</v>
      </c>
      <c r="E8" s="127">
        <f>SUM(C8-D8)</f>
        <v>10580.63</v>
      </c>
      <c r="G8" s="130">
        <v>20000</v>
      </c>
      <c r="H8" s="130">
        <f>C8-G8</f>
        <v>0</v>
      </c>
      <c r="J8" s="130">
        <v>8669.369999999999</v>
      </c>
      <c r="K8" s="130">
        <f>D8-J8</f>
        <v>750.00000000000182</v>
      </c>
      <c r="N8" s="60"/>
    </row>
    <row r="9" spans="1:14" ht="14.1" customHeight="1">
      <c r="A9" s="50">
        <v>3</v>
      </c>
      <c r="B9" s="118" t="s">
        <v>50</v>
      </c>
      <c r="C9" s="120">
        <v>4800</v>
      </c>
      <c r="D9" s="110">
        <v>4800</v>
      </c>
      <c r="E9" s="127">
        <f t="shared" ref="E9:E72" si="0">SUM(C9-D9)</f>
        <v>0</v>
      </c>
      <c r="G9" s="130">
        <v>4800</v>
      </c>
      <c r="H9" s="130">
        <f t="shared" ref="H9:H47" si="1">C9-G9</f>
        <v>0</v>
      </c>
      <c r="J9" s="130">
        <v>4800</v>
      </c>
      <c r="K9" s="130">
        <f t="shared" ref="K9:K46" si="2">D9-J9</f>
        <v>0</v>
      </c>
    </row>
    <row r="10" spans="1:14" ht="14.1" customHeight="1">
      <c r="A10" s="50">
        <f>A9+1</f>
        <v>4</v>
      </c>
      <c r="B10" s="118" t="s">
        <v>51</v>
      </c>
      <c r="C10" s="120">
        <v>20000</v>
      </c>
      <c r="D10" s="110">
        <v>0</v>
      </c>
      <c r="E10" s="127">
        <f t="shared" si="0"/>
        <v>20000</v>
      </c>
      <c r="G10" s="130">
        <v>20000</v>
      </c>
      <c r="H10" s="130">
        <f t="shared" si="1"/>
        <v>0</v>
      </c>
      <c r="J10" s="130">
        <v>0</v>
      </c>
      <c r="K10" s="130">
        <f t="shared" si="2"/>
        <v>0</v>
      </c>
    </row>
    <row r="11" spans="1:14" ht="14.1" customHeight="1">
      <c r="A11" s="50">
        <f t="shared" ref="A11:A73" si="3">A10+1</f>
        <v>5</v>
      </c>
      <c r="B11" s="118" t="s">
        <v>52</v>
      </c>
      <c r="C11" s="120">
        <v>15000</v>
      </c>
      <c r="D11" s="110">
        <v>15000</v>
      </c>
      <c r="E11" s="127">
        <f t="shared" si="0"/>
        <v>0</v>
      </c>
      <c r="G11" s="130">
        <v>15000</v>
      </c>
      <c r="H11" s="130">
        <f t="shared" si="1"/>
        <v>0</v>
      </c>
      <c r="J11" s="130">
        <v>12665.22</v>
      </c>
      <c r="K11" s="130">
        <f t="shared" si="2"/>
        <v>2334.7800000000007</v>
      </c>
    </row>
    <row r="12" spans="1:14" ht="14.1" customHeight="1">
      <c r="A12" s="50">
        <f t="shared" si="3"/>
        <v>6</v>
      </c>
      <c r="B12" s="118" t="s">
        <v>53</v>
      </c>
      <c r="C12" s="120">
        <f>121785.82+61767.91</f>
        <v>183553.73</v>
      </c>
      <c r="D12" s="110">
        <v>183553.73</v>
      </c>
      <c r="E12" s="127">
        <f t="shared" si="0"/>
        <v>0</v>
      </c>
      <c r="G12" s="130">
        <v>121785.82</v>
      </c>
      <c r="H12" s="130">
        <f t="shared" si="1"/>
        <v>61767.91</v>
      </c>
      <c r="J12" s="130">
        <v>73183.5</v>
      </c>
      <c r="K12" s="130">
        <f t="shared" si="2"/>
        <v>110370.23000000001</v>
      </c>
    </row>
    <row r="13" spans="1:14" ht="14.1" customHeight="1">
      <c r="A13" s="50">
        <f t="shared" si="3"/>
        <v>7</v>
      </c>
      <c r="B13" s="118" t="s">
        <v>54</v>
      </c>
      <c r="C13" s="120">
        <v>3805.23</v>
      </c>
      <c r="D13" s="110">
        <v>3805.23</v>
      </c>
      <c r="E13" s="127">
        <f t="shared" si="0"/>
        <v>0</v>
      </c>
      <c r="G13" s="130">
        <v>3805.23</v>
      </c>
      <c r="H13" s="130">
        <f t="shared" si="1"/>
        <v>0</v>
      </c>
      <c r="J13" s="130">
        <v>0</v>
      </c>
      <c r="K13" s="130">
        <f t="shared" si="2"/>
        <v>3805.23</v>
      </c>
    </row>
    <row r="14" spans="1:14" ht="14.1" customHeight="1">
      <c r="A14" s="50">
        <f t="shared" si="3"/>
        <v>8</v>
      </c>
      <c r="B14" s="118" t="s">
        <v>55</v>
      </c>
      <c r="C14" s="120">
        <v>6800</v>
      </c>
      <c r="D14" s="110">
        <v>6800</v>
      </c>
      <c r="E14" s="127">
        <f t="shared" si="0"/>
        <v>0</v>
      </c>
      <c r="G14" s="130">
        <v>6800</v>
      </c>
      <c r="H14" s="130">
        <f t="shared" si="1"/>
        <v>0</v>
      </c>
      <c r="J14" s="130">
        <v>3400</v>
      </c>
      <c r="K14" s="130">
        <f t="shared" si="2"/>
        <v>3400</v>
      </c>
    </row>
    <row r="15" spans="1:14" ht="14.1" customHeight="1">
      <c r="A15" s="50">
        <f t="shared" si="3"/>
        <v>9</v>
      </c>
      <c r="B15" s="118" t="s">
        <v>56</v>
      </c>
      <c r="C15" s="120">
        <v>2500</v>
      </c>
      <c r="D15" s="110">
        <v>0</v>
      </c>
      <c r="E15" s="127">
        <f t="shared" si="0"/>
        <v>2500</v>
      </c>
      <c r="G15" s="130">
        <v>2500</v>
      </c>
      <c r="H15" s="130">
        <f t="shared" si="1"/>
        <v>0</v>
      </c>
      <c r="J15" s="130">
        <v>0</v>
      </c>
      <c r="K15" s="130">
        <f t="shared" si="2"/>
        <v>0</v>
      </c>
    </row>
    <row r="16" spans="1:14" ht="14.1" customHeight="1">
      <c r="A16" s="50">
        <f t="shared" si="3"/>
        <v>10</v>
      </c>
      <c r="B16" s="118" t="s">
        <v>57</v>
      </c>
      <c r="C16" s="120">
        <v>15000</v>
      </c>
      <c r="D16" s="110">
        <v>0</v>
      </c>
      <c r="E16" s="127">
        <f t="shared" si="0"/>
        <v>15000</v>
      </c>
      <c r="G16" s="130">
        <v>15000</v>
      </c>
      <c r="H16" s="130">
        <f t="shared" si="1"/>
        <v>0</v>
      </c>
      <c r="J16" s="130">
        <v>0</v>
      </c>
      <c r="K16" s="130">
        <f t="shared" si="2"/>
        <v>0</v>
      </c>
    </row>
    <row r="17" spans="1:11" ht="14.1" customHeight="1">
      <c r="A17" s="50">
        <f t="shared" si="3"/>
        <v>11</v>
      </c>
      <c r="B17" s="118" t="s">
        <v>58</v>
      </c>
      <c r="C17" s="120">
        <v>122917</v>
      </c>
      <c r="D17" s="110">
        <v>122917</v>
      </c>
      <c r="E17" s="127">
        <f t="shared" si="0"/>
        <v>0</v>
      </c>
      <c r="G17" s="130">
        <v>113100</v>
      </c>
      <c r="H17" s="130">
        <f t="shared" si="1"/>
        <v>9817</v>
      </c>
      <c r="J17" s="130">
        <v>109989.75</v>
      </c>
      <c r="K17" s="130">
        <f t="shared" si="2"/>
        <v>12927.25</v>
      </c>
    </row>
    <row r="18" spans="1:11" ht="14.1" customHeight="1">
      <c r="A18" s="50">
        <f t="shared" si="3"/>
        <v>12</v>
      </c>
      <c r="B18" s="118" t="s">
        <v>59</v>
      </c>
      <c r="C18" s="120">
        <v>36600</v>
      </c>
      <c r="D18" s="110">
        <v>36600</v>
      </c>
      <c r="E18" s="127">
        <f t="shared" si="0"/>
        <v>0</v>
      </c>
      <c r="G18" s="130">
        <v>31600</v>
      </c>
      <c r="H18" s="130">
        <f t="shared" si="1"/>
        <v>5000</v>
      </c>
      <c r="J18" s="130">
        <v>31600</v>
      </c>
      <c r="K18" s="130">
        <f t="shared" si="2"/>
        <v>5000</v>
      </c>
    </row>
    <row r="19" spans="1:11" ht="14.1" customHeight="1">
      <c r="A19" s="50">
        <f t="shared" si="3"/>
        <v>13</v>
      </c>
      <c r="B19" s="118" t="s">
        <v>60</v>
      </c>
      <c r="C19" s="120">
        <v>8000</v>
      </c>
      <c r="D19" s="110">
        <v>0</v>
      </c>
      <c r="E19" s="127">
        <f t="shared" si="0"/>
        <v>8000</v>
      </c>
      <c r="G19" s="130">
        <v>8000</v>
      </c>
      <c r="H19" s="130">
        <f t="shared" si="1"/>
        <v>0</v>
      </c>
      <c r="J19" s="130">
        <v>0</v>
      </c>
      <c r="K19" s="130">
        <f t="shared" si="2"/>
        <v>0</v>
      </c>
    </row>
    <row r="20" spans="1:11" ht="14.1" customHeight="1">
      <c r="A20" s="50">
        <f t="shared" si="3"/>
        <v>14</v>
      </c>
      <c r="B20" s="118" t="s">
        <v>61</v>
      </c>
      <c r="C20" s="120">
        <v>20000</v>
      </c>
      <c r="D20" s="110">
        <v>20000</v>
      </c>
      <c r="E20" s="127">
        <f t="shared" si="0"/>
        <v>0</v>
      </c>
      <c r="G20" s="131">
        <v>20000</v>
      </c>
      <c r="H20" s="130">
        <f t="shared" si="1"/>
        <v>0</v>
      </c>
      <c r="J20" s="131">
        <v>18000</v>
      </c>
      <c r="K20" s="130">
        <f t="shared" si="2"/>
        <v>2000</v>
      </c>
    </row>
    <row r="21" spans="1:11" ht="14.1" customHeight="1">
      <c r="A21" s="50">
        <f t="shared" si="3"/>
        <v>15</v>
      </c>
      <c r="B21" s="118" t="s">
        <v>62</v>
      </c>
      <c r="C21" s="120">
        <v>2313.4</v>
      </c>
      <c r="D21" s="110">
        <v>2313.4</v>
      </c>
      <c r="E21" s="127">
        <f t="shared" si="0"/>
        <v>0</v>
      </c>
      <c r="G21" s="131">
        <v>2313.4</v>
      </c>
      <c r="H21" s="130">
        <f t="shared" si="1"/>
        <v>0</v>
      </c>
      <c r="J21" s="131">
        <v>2313.4</v>
      </c>
      <c r="K21" s="130">
        <f t="shared" si="2"/>
        <v>0</v>
      </c>
    </row>
    <row r="22" spans="1:11" ht="14.1" customHeight="1">
      <c r="A22" s="50">
        <f t="shared" si="3"/>
        <v>16</v>
      </c>
      <c r="B22" s="118" t="s">
        <v>63</v>
      </c>
      <c r="C22" s="120">
        <v>4200</v>
      </c>
      <c r="D22" s="110">
        <v>4200</v>
      </c>
      <c r="E22" s="127">
        <f t="shared" si="0"/>
        <v>0</v>
      </c>
      <c r="G22" s="131">
        <v>4200</v>
      </c>
      <c r="H22" s="130">
        <f t="shared" si="1"/>
        <v>0</v>
      </c>
      <c r="J22" s="131">
        <v>2700</v>
      </c>
      <c r="K22" s="130">
        <f t="shared" si="2"/>
        <v>1500</v>
      </c>
    </row>
    <row r="23" spans="1:11" ht="14.1" customHeight="1">
      <c r="A23" s="50">
        <f t="shared" si="3"/>
        <v>17</v>
      </c>
      <c r="B23" s="118" t="s">
        <v>64</v>
      </c>
      <c r="C23" s="120">
        <v>2500</v>
      </c>
      <c r="D23" s="110">
        <v>0</v>
      </c>
      <c r="E23" s="127">
        <f t="shared" si="0"/>
        <v>2500</v>
      </c>
      <c r="G23" s="131">
        <v>2500</v>
      </c>
      <c r="H23" s="130">
        <f t="shared" si="1"/>
        <v>0</v>
      </c>
      <c r="J23" s="131">
        <v>0</v>
      </c>
      <c r="K23" s="130">
        <f t="shared" si="2"/>
        <v>0</v>
      </c>
    </row>
    <row r="24" spans="1:11" ht="14.1" customHeight="1">
      <c r="A24" s="50">
        <f t="shared" si="3"/>
        <v>18</v>
      </c>
      <c r="B24" s="118" t="s">
        <v>65</v>
      </c>
      <c r="C24" s="120">
        <v>21962.77</v>
      </c>
      <c r="D24" s="110">
        <v>0</v>
      </c>
      <c r="E24" s="127">
        <f t="shared" si="0"/>
        <v>21962.77</v>
      </c>
      <c r="G24" s="131">
        <v>21983</v>
      </c>
      <c r="H24" s="130">
        <f t="shared" si="1"/>
        <v>-20.229999999999563</v>
      </c>
      <c r="J24" s="131">
        <v>0</v>
      </c>
      <c r="K24" s="130">
        <f t="shared" si="2"/>
        <v>0</v>
      </c>
    </row>
    <row r="25" spans="1:11" ht="14.1" customHeight="1">
      <c r="A25" s="50">
        <f t="shared" si="3"/>
        <v>19</v>
      </c>
      <c r="B25" s="118" t="s">
        <v>66</v>
      </c>
      <c r="C25" s="120">
        <v>23320.080000000002</v>
      </c>
      <c r="D25" s="110">
        <v>23320.080000000002</v>
      </c>
      <c r="E25" s="127">
        <f t="shared" si="0"/>
        <v>0</v>
      </c>
      <c r="G25" s="131">
        <v>23320.080000000002</v>
      </c>
      <c r="H25" s="130">
        <f t="shared" si="1"/>
        <v>0</v>
      </c>
      <c r="J25" s="131">
        <v>23320.080000000002</v>
      </c>
      <c r="K25" s="130">
        <f t="shared" si="2"/>
        <v>0</v>
      </c>
    </row>
    <row r="26" spans="1:11" ht="14.1" customHeight="1">
      <c r="A26" s="50">
        <f t="shared" si="3"/>
        <v>20</v>
      </c>
      <c r="B26" s="118" t="s">
        <v>67</v>
      </c>
      <c r="C26" s="120">
        <v>20000</v>
      </c>
      <c r="D26" s="110">
        <v>7005.99</v>
      </c>
      <c r="E26" s="127">
        <f t="shared" si="0"/>
        <v>12994.01</v>
      </c>
      <c r="G26" s="131">
        <v>20000</v>
      </c>
      <c r="H26" s="130">
        <f t="shared" si="1"/>
        <v>0</v>
      </c>
      <c r="J26" s="131">
        <v>4205.99</v>
      </c>
      <c r="K26" s="130">
        <f t="shared" si="2"/>
        <v>2800</v>
      </c>
    </row>
    <row r="27" spans="1:11" ht="14.1" customHeight="1">
      <c r="A27" s="50">
        <f t="shared" si="3"/>
        <v>21</v>
      </c>
      <c r="B27" s="118" t="s">
        <v>109</v>
      </c>
      <c r="C27" s="120">
        <v>20000</v>
      </c>
      <c r="D27" s="110">
        <v>19126.61</v>
      </c>
      <c r="E27" s="127">
        <f t="shared" si="0"/>
        <v>873.38999999999942</v>
      </c>
      <c r="G27" s="131">
        <v>10000</v>
      </c>
      <c r="H27" s="130">
        <f t="shared" si="1"/>
        <v>10000</v>
      </c>
      <c r="J27" s="131">
        <v>9126.61</v>
      </c>
      <c r="K27" s="130">
        <f t="shared" si="2"/>
        <v>10000</v>
      </c>
    </row>
    <row r="28" spans="1:11" ht="14.1" customHeight="1">
      <c r="A28" s="50">
        <f t="shared" si="3"/>
        <v>22</v>
      </c>
      <c r="B28" s="118" t="s">
        <v>68</v>
      </c>
      <c r="C28" s="120">
        <v>325</v>
      </c>
      <c r="D28" s="110">
        <v>325</v>
      </c>
      <c r="E28" s="127">
        <f t="shared" si="0"/>
        <v>0</v>
      </c>
      <c r="G28" s="131">
        <v>325</v>
      </c>
      <c r="H28" s="130">
        <f t="shared" si="1"/>
        <v>0</v>
      </c>
      <c r="J28" s="131">
        <v>0</v>
      </c>
      <c r="K28" s="130">
        <f t="shared" si="2"/>
        <v>325</v>
      </c>
    </row>
    <row r="29" spans="1:11" ht="14.1" customHeight="1">
      <c r="A29" s="50">
        <f t="shared" si="3"/>
        <v>23</v>
      </c>
      <c r="B29" s="118" t="s">
        <v>29</v>
      </c>
      <c r="C29" s="120">
        <v>3000</v>
      </c>
      <c r="D29" s="110">
        <v>3000</v>
      </c>
      <c r="E29" s="127">
        <f t="shared" si="0"/>
        <v>0</v>
      </c>
      <c r="G29" s="131">
        <v>3000</v>
      </c>
      <c r="H29" s="130">
        <f t="shared" si="1"/>
        <v>0</v>
      </c>
      <c r="J29" s="131">
        <v>0</v>
      </c>
      <c r="K29" s="130">
        <f t="shared" si="2"/>
        <v>3000</v>
      </c>
    </row>
    <row r="30" spans="1:11" ht="14.1" customHeight="1">
      <c r="A30" s="50">
        <f t="shared" si="3"/>
        <v>24</v>
      </c>
      <c r="B30" s="118" t="s">
        <v>30</v>
      </c>
      <c r="C30" s="120">
        <v>17000</v>
      </c>
      <c r="D30" s="110">
        <v>17000</v>
      </c>
      <c r="E30" s="127">
        <f t="shared" si="0"/>
        <v>0</v>
      </c>
      <c r="G30" s="131">
        <v>17000</v>
      </c>
      <c r="H30" s="130">
        <f t="shared" si="1"/>
        <v>0</v>
      </c>
      <c r="J30" s="131">
        <v>13000</v>
      </c>
      <c r="K30" s="130">
        <f t="shared" si="2"/>
        <v>4000</v>
      </c>
    </row>
    <row r="31" spans="1:11" ht="14.1" customHeight="1">
      <c r="A31" s="50">
        <f t="shared" si="3"/>
        <v>25</v>
      </c>
      <c r="B31" s="118" t="s">
        <v>31</v>
      </c>
      <c r="C31" s="120">
        <v>5000</v>
      </c>
      <c r="D31" s="110">
        <v>0</v>
      </c>
      <c r="E31" s="127">
        <f t="shared" si="0"/>
        <v>5000</v>
      </c>
      <c r="G31" s="131">
        <v>5000</v>
      </c>
      <c r="H31" s="130">
        <f t="shared" si="1"/>
        <v>0</v>
      </c>
      <c r="J31" s="131">
        <v>0</v>
      </c>
      <c r="K31" s="130">
        <f t="shared" si="2"/>
        <v>0</v>
      </c>
    </row>
    <row r="32" spans="1:11" ht="14.1" customHeight="1">
      <c r="A32" s="50">
        <f t="shared" si="3"/>
        <v>26</v>
      </c>
      <c r="B32" s="118" t="s">
        <v>32</v>
      </c>
      <c r="C32" s="120">
        <v>51000</v>
      </c>
      <c r="D32" s="110">
        <v>51000</v>
      </c>
      <c r="E32" s="127">
        <f t="shared" si="0"/>
        <v>0</v>
      </c>
      <c r="G32" s="131">
        <v>46400</v>
      </c>
      <c r="H32" s="130">
        <f t="shared" si="1"/>
        <v>4600</v>
      </c>
      <c r="J32" s="131">
        <v>46400</v>
      </c>
      <c r="K32" s="130">
        <f t="shared" si="2"/>
        <v>4600</v>
      </c>
    </row>
    <row r="33" spans="1:13" ht="14.1" customHeight="1">
      <c r="A33" s="50">
        <f t="shared" si="3"/>
        <v>27</v>
      </c>
      <c r="B33" s="118" t="s">
        <v>33</v>
      </c>
      <c r="C33" s="120">
        <v>5000</v>
      </c>
      <c r="D33" s="110">
        <v>0</v>
      </c>
      <c r="E33" s="127">
        <f t="shared" si="0"/>
        <v>5000</v>
      </c>
      <c r="G33" s="131">
        <v>5000</v>
      </c>
      <c r="H33" s="130">
        <f t="shared" si="1"/>
        <v>0</v>
      </c>
      <c r="J33" s="131">
        <v>0</v>
      </c>
      <c r="K33" s="130">
        <f t="shared" si="2"/>
        <v>0</v>
      </c>
    </row>
    <row r="34" spans="1:13" ht="14.1" customHeight="1">
      <c r="A34" s="50">
        <f t="shared" si="3"/>
        <v>28</v>
      </c>
      <c r="B34" s="118" t="s">
        <v>34</v>
      </c>
      <c r="C34" s="120">
        <v>40000</v>
      </c>
      <c r="D34" s="110">
        <v>40000</v>
      </c>
      <c r="E34" s="127">
        <f t="shared" si="0"/>
        <v>0</v>
      </c>
      <c r="G34" s="131">
        <v>40000</v>
      </c>
      <c r="H34" s="130">
        <f t="shared" si="1"/>
        <v>0</v>
      </c>
      <c r="J34" s="131">
        <v>0</v>
      </c>
      <c r="K34" s="130">
        <f t="shared" si="2"/>
        <v>40000</v>
      </c>
    </row>
    <row r="35" spans="1:13" ht="14.1" customHeight="1">
      <c r="A35" s="50">
        <f t="shared" si="3"/>
        <v>29</v>
      </c>
      <c r="B35" s="118" t="s">
        <v>35</v>
      </c>
      <c r="C35" s="120">
        <v>500</v>
      </c>
      <c r="D35" s="110">
        <v>0</v>
      </c>
      <c r="E35" s="127">
        <f t="shared" si="0"/>
        <v>500</v>
      </c>
      <c r="G35" s="131">
        <v>500</v>
      </c>
      <c r="H35" s="130">
        <f t="shared" si="1"/>
        <v>0</v>
      </c>
      <c r="J35" s="131">
        <v>0</v>
      </c>
      <c r="K35" s="130">
        <f t="shared" si="2"/>
        <v>0</v>
      </c>
    </row>
    <row r="36" spans="1:13" ht="14.1" customHeight="1">
      <c r="A36" s="50">
        <f t="shared" si="3"/>
        <v>30</v>
      </c>
      <c r="B36" s="118" t="s">
        <v>36</v>
      </c>
      <c r="C36" s="120">
        <v>4600</v>
      </c>
      <c r="D36" s="110">
        <v>4600</v>
      </c>
      <c r="E36" s="127">
        <f t="shared" si="0"/>
        <v>0</v>
      </c>
      <c r="G36" s="131">
        <v>4600</v>
      </c>
      <c r="H36" s="130">
        <f t="shared" si="1"/>
        <v>0</v>
      </c>
      <c r="J36" s="131">
        <v>4600</v>
      </c>
      <c r="K36" s="130">
        <f t="shared" si="2"/>
        <v>0</v>
      </c>
    </row>
    <row r="37" spans="1:13" ht="14.1" customHeight="1">
      <c r="A37" s="50">
        <f t="shared" si="3"/>
        <v>31</v>
      </c>
      <c r="B37" s="118" t="s">
        <v>37</v>
      </c>
      <c r="C37" s="120">
        <v>7000</v>
      </c>
      <c r="D37" s="110">
        <v>7000</v>
      </c>
      <c r="E37" s="127">
        <f t="shared" si="0"/>
        <v>0</v>
      </c>
      <c r="G37" s="131">
        <v>7000</v>
      </c>
      <c r="H37" s="130">
        <f t="shared" si="1"/>
        <v>0</v>
      </c>
      <c r="J37" s="131">
        <v>2500</v>
      </c>
      <c r="K37" s="130">
        <f t="shared" si="2"/>
        <v>4500</v>
      </c>
    </row>
    <row r="38" spans="1:13" ht="14.1" customHeight="1">
      <c r="A38" s="50">
        <f t="shared" si="3"/>
        <v>32</v>
      </c>
      <c r="B38" s="118" t="s">
        <v>38</v>
      </c>
      <c r="C38" s="120">
        <v>2000</v>
      </c>
      <c r="D38" s="110">
        <v>0</v>
      </c>
      <c r="E38" s="127">
        <f t="shared" si="0"/>
        <v>2000</v>
      </c>
      <c r="G38" s="131">
        <v>2000</v>
      </c>
      <c r="H38" s="130">
        <f t="shared" si="1"/>
        <v>0</v>
      </c>
      <c r="J38" s="131">
        <v>0</v>
      </c>
      <c r="K38" s="130">
        <f t="shared" si="2"/>
        <v>0</v>
      </c>
    </row>
    <row r="39" spans="1:13" ht="14.1" customHeight="1">
      <c r="A39" s="50">
        <f t="shared" si="3"/>
        <v>33</v>
      </c>
      <c r="B39" s="118" t="s">
        <v>39</v>
      </c>
      <c r="C39" s="120">
        <v>3500</v>
      </c>
      <c r="D39" s="110">
        <v>3500</v>
      </c>
      <c r="E39" s="127">
        <f t="shared" si="0"/>
        <v>0</v>
      </c>
      <c r="G39" s="131">
        <v>3500</v>
      </c>
      <c r="H39" s="130">
        <f t="shared" si="1"/>
        <v>0</v>
      </c>
      <c r="J39" s="131">
        <v>3500</v>
      </c>
      <c r="K39" s="130">
        <f t="shared" si="2"/>
        <v>0</v>
      </c>
    </row>
    <row r="40" spans="1:13" ht="14.1" customHeight="1">
      <c r="A40" s="50">
        <f t="shared" si="3"/>
        <v>34</v>
      </c>
      <c r="B40" s="118" t="s">
        <v>40</v>
      </c>
      <c r="C40" s="120">
        <v>15524</v>
      </c>
      <c r="D40" s="110">
        <v>0</v>
      </c>
      <c r="E40" s="127">
        <f t="shared" si="0"/>
        <v>15524</v>
      </c>
      <c r="G40" s="131">
        <v>15000</v>
      </c>
      <c r="H40" s="130">
        <f t="shared" si="1"/>
        <v>524</v>
      </c>
      <c r="J40" s="131">
        <v>0</v>
      </c>
      <c r="K40" s="130">
        <f t="shared" si="2"/>
        <v>0</v>
      </c>
      <c r="M40" s="128"/>
    </row>
    <row r="41" spans="1:13" ht="14.1" customHeight="1">
      <c r="A41" s="50">
        <f t="shared" si="3"/>
        <v>35</v>
      </c>
      <c r="B41" s="118" t="s">
        <v>41</v>
      </c>
      <c r="C41" s="120">
        <v>5000</v>
      </c>
      <c r="D41" s="110">
        <v>0</v>
      </c>
      <c r="E41" s="127">
        <f t="shared" si="0"/>
        <v>5000</v>
      </c>
      <c r="G41" s="131">
        <v>5000</v>
      </c>
      <c r="H41" s="130">
        <f t="shared" si="1"/>
        <v>0</v>
      </c>
      <c r="J41" s="131">
        <v>0</v>
      </c>
      <c r="K41" s="130">
        <f t="shared" si="2"/>
        <v>0</v>
      </c>
    </row>
    <row r="42" spans="1:13" ht="14.1" customHeight="1">
      <c r="A42" s="50">
        <f t="shared" si="3"/>
        <v>36</v>
      </c>
      <c r="B42" s="118" t="s">
        <v>42</v>
      </c>
      <c r="C42" s="120">
        <v>55000</v>
      </c>
      <c r="D42" s="110">
        <v>5572.1</v>
      </c>
      <c r="E42" s="127">
        <f t="shared" si="0"/>
        <v>49427.9</v>
      </c>
      <c r="G42" s="131">
        <v>55000</v>
      </c>
      <c r="H42" s="130">
        <f t="shared" si="1"/>
        <v>0</v>
      </c>
      <c r="J42" s="131">
        <v>0</v>
      </c>
      <c r="K42" s="130">
        <f t="shared" si="2"/>
        <v>5572.1</v>
      </c>
      <c r="M42" s="128"/>
    </row>
    <row r="43" spans="1:13" ht="14.1" customHeight="1">
      <c r="A43" s="50">
        <v>37</v>
      </c>
      <c r="B43" s="118" t="s">
        <v>43</v>
      </c>
      <c r="C43" s="120">
        <v>22800</v>
      </c>
      <c r="D43" s="110">
        <v>0</v>
      </c>
      <c r="E43" s="127">
        <f t="shared" si="0"/>
        <v>22800</v>
      </c>
      <c r="G43" s="131">
        <v>22800</v>
      </c>
      <c r="H43" s="130">
        <f t="shared" si="1"/>
        <v>0</v>
      </c>
      <c r="J43" s="131">
        <v>0</v>
      </c>
      <c r="K43" s="130">
        <f t="shared" si="2"/>
        <v>0</v>
      </c>
    </row>
    <row r="44" spans="1:13" ht="14.1" customHeight="1">
      <c r="A44" s="50">
        <v>38</v>
      </c>
      <c r="B44" s="119" t="s">
        <v>44</v>
      </c>
      <c r="C44" s="120">
        <v>25000</v>
      </c>
      <c r="D44" s="110">
        <v>0</v>
      </c>
      <c r="E44" s="127">
        <f t="shared" si="0"/>
        <v>25000</v>
      </c>
      <c r="G44" s="131">
        <v>25000</v>
      </c>
      <c r="H44" s="130">
        <f t="shared" si="1"/>
        <v>0</v>
      </c>
      <c r="J44" s="131">
        <v>0</v>
      </c>
      <c r="K44" s="130">
        <f t="shared" si="2"/>
        <v>0</v>
      </c>
    </row>
    <row r="45" spans="1:13" ht="14.1" customHeight="1">
      <c r="A45" s="50">
        <f t="shared" si="3"/>
        <v>39</v>
      </c>
      <c r="B45" s="119" t="s">
        <v>45</v>
      </c>
      <c r="C45" s="120">
        <v>12000</v>
      </c>
      <c r="D45" s="110">
        <v>0</v>
      </c>
      <c r="E45" s="127">
        <f t="shared" si="0"/>
        <v>12000</v>
      </c>
      <c r="G45" s="131">
        <v>12000</v>
      </c>
      <c r="H45" s="130">
        <f t="shared" si="1"/>
        <v>0</v>
      </c>
      <c r="J45" s="131">
        <v>0</v>
      </c>
      <c r="K45" s="130">
        <f t="shared" si="2"/>
        <v>0</v>
      </c>
    </row>
    <row r="46" spans="1:13" ht="14.1" customHeight="1">
      <c r="A46" s="50">
        <f t="shared" si="3"/>
        <v>40</v>
      </c>
      <c r="B46" s="119" t="s">
        <v>46</v>
      </c>
      <c r="C46" s="120">
        <v>10000</v>
      </c>
      <c r="D46" s="110">
        <v>0</v>
      </c>
      <c r="E46" s="127">
        <f t="shared" si="0"/>
        <v>10000</v>
      </c>
      <c r="G46" s="131">
        <v>10000</v>
      </c>
      <c r="H46" s="130">
        <f t="shared" si="1"/>
        <v>0</v>
      </c>
      <c r="J46" s="131">
        <v>0</v>
      </c>
      <c r="K46" s="130">
        <f t="shared" si="2"/>
        <v>0</v>
      </c>
    </row>
    <row r="47" spans="1:13" ht="14.1" customHeight="1">
      <c r="A47" s="50">
        <f t="shared" si="3"/>
        <v>41</v>
      </c>
      <c r="B47" s="119" t="s">
        <v>47</v>
      </c>
      <c r="C47" s="120">
        <v>20000</v>
      </c>
      <c r="D47" s="110">
        <v>0</v>
      </c>
      <c r="E47" s="127">
        <f t="shared" si="0"/>
        <v>20000</v>
      </c>
      <c r="F47" s="125">
        <f>SUM(C8:C47)</f>
        <v>857521.21000000008</v>
      </c>
      <c r="G47" s="131">
        <v>20000</v>
      </c>
      <c r="H47" s="130">
        <f t="shared" si="1"/>
        <v>0</v>
      </c>
      <c r="J47" s="131">
        <v>0</v>
      </c>
      <c r="K47" s="130">
        <f>D47-J47</f>
        <v>0</v>
      </c>
    </row>
    <row r="48" spans="1:13" ht="14.1" customHeight="1">
      <c r="A48" s="50">
        <v>42</v>
      </c>
      <c r="B48" s="122" t="s">
        <v>107</v>
      </c>
      <c r="C48" s="120"/>
      <c r="D48" s="110"/>
      <c r="E48" s="127">
        <f t="shared" si="0"/>
        <v>0</v>
      </c>
      <c r="F48" s="44"/>
      <c r="J48" s="130"/>
    </row>
    <row r="49" spans="1:11" ht="14.1" customHeight="1">
      <c r="A49" s="50">
        <v>43</v>
      </c>
      <c r="B49" s="119" t="s">
        <v>69</v>
      </c>
      <c r="C49" s="120">
        <v>565545</v>
      </c>
      <c r="D49" s="110">
        <v>203429.75999999998</v>
      </c>
      <c r="E49" s="127">
        <f t="shared" si="0"/>
        <v>362115.24</v>
      </c>
      <c r="F49" s="44"/>
      <c r="G49" s="131">
        <v>565545</v>
      </c>
      <c r="H49" s="130">
        <f>C49-G49</f>
        <v>0</v>
      </c>
      <c r="J49" s="131">
        <v>197892.71</v>
      </c>
      <c r="K49" s="130">
        <f>D49-J49</f>
        <v>5537.0499999999884</v>
      </c>
    </row>
    <row r="50" spans="1:11" ht="14.1" customHeight="1">
      <c r="A50" s="50">
        <f t="shared" si="3"/>
        <v>44</v>
      </c>
      <c r="B50" s="119" t="s">
        <v>70</v>
      </c>
      <c r="C50" s="120">
        <v>135922</v>
      </c>
      <c r="D50" s="110">
        <v>11264.12</v>
      </c>
      <c r="E50" s="127">
        <f t="shared" si="0"/>
        <v>124657.88</v>
      </c>
      <c r="F50" s="44"/>
      <c r="G50" s="131">
        <v>135922</v>
      </c>
      <c r="H50" s="130">
        <f t="shared" ref="H50:H85" si="4">C50-G50</f>
        <v>0</v>
      </c>
      <c r="J50" s="131">
        <v>11264.12</v>
      </c>
      <c r="K50" s="130">
        <f t="shared" ref="K50:K85" si="5">D50-J50</f>
        <v>0</v>
      </c>
    </row>
    <row r="51" spans="1:11" ht="14.1" customHeight="1">
      <c r="A51" s="50">
        <f t="shared" si="3"/>
        <v>45</v>
      </c>
      <c r="B51" s="119" t="s">
        <v>71</v>
      </c>
      <c r="C51" s="120">
        <v>139049.51</v>
      </c>
      <c r="D51" s="110">
        <v>0</v>
      </c>
      <c r="E51" s="127">
        <f t="shared" si="0"/>
        <v>139049.51</v>
      </c>
      <c r="F51" s="44"/>
      <c r="G51" s="131">
        <v>139049.51</v>
      </c>
      <c r="H51" s="130">
        <f t="shared" si="4"/>
        <v>0</v>
      </c>
      <c r="J51" s="131">
        <v>0</v>
      </c>
      <c r="K51" s="130">
        <f t="shared" si="5"/>
        <v>0</v>
      </c>
    </row>
    <row r="52" spans="1:11" ht="14.1" customHeight="1">
      <c r="A52" s="50">
        <f t="shared" si="3"/>
        <v>46</v>
      </c>
      <c r="B52" s="119" t="s">
        <v>72</v>
      </c>
      <c r="C52" s="120">
        <v>253182</v>
      </c>
      <c r="D52" s="110">
        <v>0</v>
      </c>
      <c r="E52" s="127">
        <f t="shared" si="0"/>
        <v>253182</v>
      </c>
      <c r="F52" s="44"/>
      <c r="G52" s="131">
        <v>253182</v>
      </c>
      <c r="H52" s="130">
        <f t="shared" si="4"/>
        <v>0</v>
      </c>
      <c r="J52" s="131">
        <v>0</v>
      </c>
      <c r="K52" s="130">
        <f t="shared" si="5"/>
        <v>0</v>
      </c>
    </row>
    <row r="53" spans="1:11" ht="14.1" customHeight="1">
      <c r="A53" s="50">
        <f t="shared" si="3"/>
        <v>47</v>
      </c>
      <c r="B53" s="119" t="s">
        <v>73</v>
      </c>
      <c r="C53" s="120">
        <v>3562.64</v>
      </c>
      <c r="D53" s="110">
        <v>0</v>
      </c>
      <c r="E53" s="127">
        <f t="shared" si="0"/>
        <v>3562.64</v>
      </c>
      <c r="F53" s="44"/>
      <c r="G53" s="131">
        <v>3562.64</v>
      </c>
      <c r="H53" s="130">
        <f t="shared" si="4"/>
        <v>0</v>
      </c>
      <c r="J53" s="131">
        <v>0</v>
      </c>
      <c r="K53" s="130">
        <f t="shared" si="5"/>
        <v>0</v>
      </c>
    </row>
    <row r="54" spans="1:11" ht="14.1" customHeight="1">
      <c r="A54" s="50">
        <f t="shared" si="3"/>
        <v>48</v>
      </c>
      <c r="B54" s="119" t="s">
        <v>74</v>
      </c>
      <c r="C54" s="120">
        <v>324100</v>
      </c>
      <c r="D54" s="110">
        <v>0</v>
      </c>
      <c r="E54" s="127">
        <f t="shared" si="0"/>
        <v>324100</v>
      </c>
      <c r="F54" s="44"/>
      <c r="G54" s="131">
        <v>324100</v>
      </c>
      <c r="H54" s="130">
        <f t="shared" si="4"/>
        <v>0</v>
      </c>
      <c r="J54" s="131">
        <v>0</v>
      </c>
      <c r="K54" s="130">
        <f t="shared" si="5"/>
        <v>0</v>
      </c>
    </row>
    <row r="55" spans="1:11" ht="14.1" customHeight="1">
      <c r="A55" s="50">
        <f t="shared" si="3"/>
        <v>49</v>
      </c>
      <c r="B55" s="119" t="s">
        <v>75</v>
      </c>
      <c r="C55" s="120">
        <v>818554</v>
      </c>
      <c r="D55" s="110">
        <v>0</v>
      </c>
      <c r="E55" s="127">
        <f t="shared" si="0"/>
        <v>818554</v>
      </c>
      <c r="F55" s="44"/>
      <c r="G55" s="131">
        <v>818554</v>
      </c>
      <c r="H55" s="130">
        <f t="shared" si="4"/>
        <v>0</v>
      </c>
      <c r="J55" s="131">
        <v>0</v>
      </c>
      <c r="K55" s="130">
        <f t="shared" si="5"/>
        <v>0</v>
      </c>
    </row>
    <row r="56" spans="1:11" ht="14.1" customHeight="1">
      <c r="A56" s="50">
        <f t="shared" si="3"/>
        <v>50</v>
      </c>
      <c r="B56" s="119" t="s">
        <v>76</v>
      </c>
      <c r="C56" s="120">
        <v>56930</v>
      </c>
      <c r="D56" s="110">
        <v>0</v>
      </c>
      <c r="E56" s="127">
        <f t="shared" si="0"/>
        <v>56930</v>
      </c>
      <c r="F56" s="44"/>
      <c r="G56" s="131">
        <v>56930</v>
      </c>
      <c r="H56" s="130">
        <f t="shared" si="4"/>
        <v>0</v>
      </c>
      <c r="J56" s="131">
        <v>0</v>
      </c>
      <c r="K56" s="130">
        <f t="shared" si="5"/>
        <v>0</v>
      </c>
    </row>
    <row r="57" spans="1:11" ht="14.1" customHeight="1">
      <c r="A57" s="50">
        <f t="shared" si="3"/>
        <v>51</v>
      </c>
      <c r="B57" s="119" t="s">
        <v>77</v>
      </c>
      <c r="C57" s="120">
        <v>56930</v>
      </c>
      <c r="D57" s="110">
        <v>0</v>
      </c>
      <c r="E57" s="127">
        <f t="shared" si="0"/>
        <v>56930</v>
      </c>
      <c r="F57" s="44"/>
      <c r="G57" s="131">
        <v>56930</v>
      </c>
      <c r="H57" s="130">
        <f t="shared" si="4"/>
        <v>0</v>
      </c>
      <c r="J57" s="131">
        <v>0</v>
      </c>
      <c r="K57" s="130">
        <f t="shared" si="5"/>
        <v>0</v>
      </c>
    </row>
    <row r="58" spans="1:11" ht="14.1" customHeight="1">
      <c r="A58" s="50">
        <f t="shared" si="3"/>
        <v>52</v>
      </c>
      <c r="B58" s="124" t="s">
        <v>78</v>
      </c>
      <c r="C58" s="120">
        <v>173148</v>
      </c>
      <c r="D58" s="110">
        <v>0</v>
      </c>
      <c r="E58" s="127">
        <f t="shared" si="0"/>
        <v>173148</v>
      </c>
      <c r="F58" s="44"/>
      <c r="G58" s="131">
        <v>173148</v>
      </c>
      <c r="H58" s="130">
        <f t="shared" si="4"/>
        <v>0</v>
      </c>
      <c r="J58" s="131">
        <v>0</v>
      </c>
      <c r="K58" s="130">
        <f t="shared" si="5"/>
        <v>0</v>
      </c>
    </row>
    <row r="59" spans="1:11" ht="14.1" customHeight="1">
      <c r="A59" s="50">
        <f t="shared" si="3"/>
        <v>53</v>
      </c>
      <c r="B59" s="124" t="s">
        <v>79</v>
      </c>
      <c r="C59" s="120">
        <v>204087.33</v>
      </c>
      <c r="D59" s="110">
        <v>0</v>
      </c>
      <c r="E59" s="127">
        <f t="shared" si="0"/>
        <v>204087.33</v>
      </c>
      <c r="F59" s="44"/>
      <c r="G59" s="131">
        <v>204087.33</v>
      </c>
      <c r="H59" s="130">
        <f t="shared" si="4"/>
        <v>0</v>
      </c>
      <c r="J59" s="131">
        <v>0</v>
      </c>
      <c r="K59" s="130">
        <f t="shared" si="5"/>
        <v>0</v>
      </c>
    </row>
    <row r="60" spans="1:11" ht="14.1" customHeight="1">
      <c r="A60" s="50">
        <f t="shared" si="3"/>
        <v>54</v>
      </c>
      <c r="B60" s="119" t="s">
        <v>80</v>
      </c>
      <c r="C60" s="120">
        <v>106274.25</v>
      </c>
      <c r="D60" s="110">
        <v>0</v>
      </c>
      <c r="E60" s="127">
        <f t="shared" si="0"/>
        <v>106274.25</v>
      </c>
      <c r="F60" s="44"/>
      <c r="G60" s="131">
        <v>106274.25</v>
      </c>
      <c r="H60" s="130">
        <f t="shared" si="4"/>
        <v>0</v>
      </c>
      <c r="J60" s="131">
        <v>0</v>
      </c>
      <c r="K60" s="130">
        <f t="shared" si="5"/>
        <v>0</v>
      </c>
    </row>
    <row r="61" spans="1:11" ht="14.1" customHeight="1">
      <c r="A61" s="50">
        <f t="shared" si="3"/>
        <v>55</v>
      </c>
      <c r="B61" s="119" t="s">
        <v>81</v>
      </c>
      <c r="C61" s="120">
        <v>208002</v>
      </c>
      <c r="D61" s="110">
        <v>0</v>
      </c>
      <c r="E61" s="127">
        <f t="shared" si="0"/>
        <v>208002</v>
      </c>
      <c r="F61" s="44"/>
      <c r="G61" s="131">
        <v>208002</v>
      </c>
      <c r="H61" s="130">
        <f t="shared" si="4"/>
        <v>0</v>
      </c>
      <c r="J61" s="131">
        <v>0</v>
      </c>
      <c r="K61" s="130">
        <f t="shared" si="5"/>
        <v>0</v>
      </c>
    </row>
    <row r="62" spans="1:11" ht="14.1" customHeight="1">
      <c r="A62" s="50">
        <f t="shared" si="3"/>
        <v>56</v>
      </c>
      <c r="B62" s="119" t="s">
        <v>82</v>
      </c>
      <c r="C62" s="120">
        <v>416355</v>
      </c>
      <c r="D62" s="110">
        <v>0</v>
      </c>
      <c r="E62" s="127">
        <f t="shared" si="0"/>
        <v>416355</v>
      </c>
      <c r="F62" s="44"/>
      <c r="G62" s="131">
        <v>416355</v>
      </c>
      <c r="H62" s="130">
        <f t="shared" si="4"/>
        <v>0</v>
      </c>
      <c r="J62" s="131">
        <v>0</v>
      </c>
      <c r="K62" s="130">
        <f t="shared" si="5"/>
        <v>0</v>
      </c>
    </row>
    <row r="63" spans="1:11" ht="14.1" customHeight="1">
      <c r="A63" s="50">
        <f t="shared" si="3"/>
        <v>57</v>
      </c>
      <c r="B63" s="119" t="s">
        <v>83</v>
      </c>
      <c r="C63" s="120">
        <v>120700</v>
      </c>
      <c r="D63" s="110">
        <v>0</v>
      </c>
      <c r="E63" s="127">
        <f t="shared" si="0"/>
        <v>120700</v>
      </c>
      <c r="F63" s="44"/>
      <c r="G63" s="131">
        <v>120700</v>
      </c>
      <c r="H63" s="130">
        <f t="shared" si="4"/>
        <v>0</v>
      </c>
      <c r="J63" s="131">
        <v>0</v>
      </c>
      <c r="K63" s="130">
        <f t="shared" si="5"/>
        <v>0</v>
      </c>
    </row>
    <row r="64" spans="1:11" ht="14.1" customHeight="1">
      <c r="A64" s="50">
        <f t="shared" si="3"/>
        <v>58</v>
      </c>
      <c r="B64" s="119" t="s">
        <v>84</v>
      </c>
      <c r="C64" s="120">
        <v>45150</v>
      </c>
      <c r="D64" s="110">
        <v>0</v>
      </c>
      <c r="E64" s="127">
        <f t="shared" si="0"/>
        <v>45150</v>
      </c>
      <c r="F64" s="44"/>
      <c r="G64" s="131">
        <v>45150</v>
      </c>
      <c r="H64" s="130">
        <f t="shared" si="4"/>
        <v>0</v>
      </c>
      <c r="J64" s="131">
        <v>0</v>
      </c>
      <c r="K64" s="130">
        <f t="shared" si="5"/>
        <v>0</v>
      </c>
    </row>
    <row r="65" spans="1:15" ht="14.1" customHeight="1">
      <c r="A65" s="50">
        <f t="shared" si="3"/>
        <v>59</v>
      </c>
      <c r="B65" s="119" t="s">
        <v>85</v>
      </c>
      <c r="C65" s="120">
        <v>93335</v>
      </c>
      <c r="D65" s="110">
        <v>0</v>
      </c>
      <c r="E65" s="127">
        <f t="shared" si="0"/>
        <v>93335</v>
      </c>
      <c r="F65" s="44"/>
      <c r="G65" s="131">
        <v>93335</v>
      </c>
      <c r="H65" s="130">
        <f t="shared" si="4"/>
        <v>0</v>
      </c>
      <c r="J65" s="131">
        <v>0</v>
      </c>
      <c r="K65" s="130">
        <f t="shared" si="5"/>
        <v>0</v>
      </c>
    </row>
    <row r="66" spans="1:15" ht="14.1" customHeight="1">
      <c r="A66" s="50">
        <f t="shared" si="3"/>
        <v>60</v>
      </c>
      <c r="B66" s="119" t="s">
        <v>86</v>
      </c>
      <c r="C66" s="120">
        <v>25109.21</v>
      </c>
      <c r="D66" s="110">
        <v>0</v>
      </c>
      <c r="E66" s="127">
        <f t="shared" si="0"/>
        <v>25109.21</v>
      </c>
      <c r="F66" s="44"/>
      <c r="G66" s="131">
        <v>25109.21</v>
      </c>
      <c r="H66" s="130">
        <f t="shared" si="4"/>
        <v>0</v>
      </c>
      <c r="J66" s="131">
        <v>0</v>
      </c>
      <c r="K66" s="130">
        <f t="shared" si="5"/>
        <v>0</v>
      </c>
    </row>
    <row r="67" spans="1:15" ht="14.1" customHeight="1">
      <c r="A67" s="50">
        <f t="shared" si="3"/>
        <v>61</v>
      </c>
      <c r="B67" s="119" t="s">
        <v>87</v>
      </c>
      <c r="C67" s="120">
        <v>153636</v>
      </c>
      <c r="D67" s="110">
        <v>0</v>
      </c>
      <c r="E67" s="127">
        <f t="shared" si="0"/>
        <v>153636</v>
      </c>
      <c r="F67" s="44"/>
      <c r="G67" s="131">
        <v>153636</v>
      </c>
      <c r="H67" s="130">
        <f t="shared" si="4"/>
        <v>0</v>
      </c>
      <c r="J67" s="131">
        <v>0</v>
      </c>
      <c r="K67" s="130">
        <f t="shared" si="5"/>
        <v>0</v>
      </c>
    </row>
    <row r="68" spans="1:15" ht="14.1" customHeight="1">
      <c r="A68" s="50">
        <f t="shared" si="3"/>
        <v>62</v>
      </c>
      <c r="B68" s="119" t="s">
        <v>88</v>
      </c>
      <c r="C68" s="183"/>
      <c r="D68" s="110">
        <v>0</v>
      </c>
      <c r="E68" s="127">
        <f t="shared" si="0"/>
        <v>0</v>
      </c>
      <c r="F68" s="44"/>
      <c r="G68" s="131"/>
      <c r="H68" s="130"/>
      <c r="J68" s="131"/>
      <c r="K68" s="130"/>
    </row>
    <row r="69" spans="1:15" ht="14.1" customHeight="1">
      <c r="A69" s="50">
        <f t="shared" si="3"/>
        <v>63</v>
      </c>
      <c r="B69" s="119" t="s">
        <v>89</v>
      </c>
      <c r="C69" s="120">
        <v>108500</v>
      </c>
      <c r="D69" s="110">
        <v>0</v>
      </c>
      <c r="E69" s="127">
        <f t="shared" si="0"/>
        <v>108500</v>
      </c>
      <c r="F69" s="44"/>
      <c r="G69" s="131">
        <v>108500</v>
      </c>
      <c r="H69" s="130">
        <f t="shared" si="4"/>
        <v>0</v>
      </c>
      <c r="J69" s="131">
        <v>0</v>
      </c>
      <c r="K69" s="130">
        <f t="shared" si="5"/>
        <v>0</v>
      </c>
    </row>
    <row r="70" spans="1:15" ht="14.1" customHeight="1">
      <c r="A70" s="50">
        <f t="shared" si="3"/>
        <v>64</v>
      </c>
      <c r="B70" s="119" t="s">
        <v>90</v>
      </c>
      <c r="C70" s="120">
        <v>68401</v>
      </c>
      <c r="D70" s="110">
        <v>0</v>
      </c>
      <c r="E70" s="127">
        <f t="shared" si="0"/>
        <v>68401</v>
      </c>
      <c r="F70" s="44"/>
      <c r="G70" s="131">
        <v>68401</v>
      </c>
      <c r="H70" s="130">
        <f t="shared" si="4"/>
        <v>0</v>
      </c>
      <c r="J70" s="131">
        <v>0</v>
      </c>
      <c r="K70" s="130">
        <f t="shared" si="5"/>
        <v>0</v>
      </c>
    </row>
    <row r="71" spans="1:15" ht="14.1" customHeight="1">
      <c r="A71" s="50">
        <f t="shared" si="3"/>
        <v>65</v>
      </c>
      <c r="B71" s="119" t="s">
        <v>91</v>
      </c>
      <c r="C71" s="120">
        <v>97000</v>
      </c>
      <c r="D71" s="110">
        <v>0</v>
      </c>
      <c r="E71" s="127">
        <f t="shared" si="0"/>
        <v>97000</v>
      </c>
      <c r="F71" s="44"/>
      <c r="G71" s="131">
        <v>97000</v>
      </c>
      <c r="H71" s="130">
        <f t="shared" si="4"/>
        <v>0</v>
      </c>
      <c r="J71" s="131">
        <v>0</v>
      </c>
      <c r="K71" s="130">
        <f t="shared" si="5"/>
        <v>0</v>
      </c>
      <c r="O71" s="128"/>
    </row>
    <row r="72" spans="1:15" ht="14.1" customHeight="1">
      <c r="A72" s="50">
        <f t="shared" si="3"/>
        <v>66</v>
      </c>
      <c r="B72" s="119" t="s">
        <v>92</v>
      </c>
      <c r="C72" s="120">
        <v>136430</v>
      </c>
      <c r="D72" s="110">
        <v>0</v>
      </c>
      <c r="E72" s="127">
        <f t="shared" si="0"/>
        <v>136430</v>
      </c>
      <c r="F72" s="44"/>
      <c r="G72" s="131">
        <v>136430</v>
      </c>
      <c r="H72" s="130">
        <f t="shared" si="4"/>
        <v>0</v>
      </c>
      <c r="J72" s="131">
        <v>0</v>
      </c>
      <c r="K72" s="130">
        <f t="shared" si="5"/>
        <v>0</v>
      </c>
    </row>
    <row r="73" spans="1:15" ht="14.1" customHeight="1">
      <c r="A73" s="50">
        <f t="shared" si="3"/>
        <v>67</v>
      </c>
      <c r="B73" s="119" t="s">
        <v>93</v>
      </c>
      <c r="C73" s="120">
        <v>174882</v>
      </c>
      <c r="D73" s="110">
        <v>0</v>
      </c>
      <c r="E73" s="127">
        <f t="shared" ref="E73:E104" si="6">SUM(C73-D73)</f>
        <v>174882</v>
      </c>
      <c r="F73" s="44"/>
      <c r="G73" s="131">
        <v>174882</v>
      </c>
      <c r="H73" s="130">
        <f t="shared" si="4"/>
        <v>0</v>
      </c>
      <c r="J73" s="131">
        <v>0</v>
      </c>
      <c r="K73" s="130">
        <f t="shared" si="5"/>
        <v>0</v>
      </c>
      <c r="O73" s="128"/>
    </row>
    <row r="74" spans="1:15" ht="14.1" customHeight="1">
      <c r="A74" s="50">
        <f t="shared" ref="A74:A104" si="7">A73+1</f>
        <v>68</v>
      </c>
      <c r="B74" s="119" t="s">
        <v>94</v>
      </c>
      <c r="C74" s="120">
        <v>12273</v>
      </c>
      <c r="D74" s="110"/>
      <c r="E74" s="127">
        <f t="shared" si="6"/>
        <v>12273</v>
      </c>
      <c r="F74" s="44"/>
      <c r="G74" s="131">
        <v>12273</v>
      </c>
      <c r="H74" s="130">
        <f t="shared" si="4"/>
        <v>0</v>
      </c>
      <c r="J74" s="131"/>
      <c r="K74" s="130"/>
    </row>
    <row r="75" spans="1:15" ht="14.1" customHeight="1">
      <c r="A75" s="50">
        <f t="shared" si="7"/>
        <v>69</v>
      </c>
      <c r="B75" s="119" t="s">
        <v>95</v>
      </c>
      <c r="C75" s="120">
        <v>0</v>
      </c>
      <c r="D75" s="110">
        <v>0</v>
      </c>
      <c r="E75" s="127">
        <f t="shared" si="6"/>
        <v>0</v>
      </c>
      <c r="F75" s="44"/>
      <c r="G75" s="131"/>
      <c r="H75" s="130"/>
      <c r="J75" s="131"/>
      <c r="K75" s="130"/>
    </row>
    <row r="76" spans="1:15" ht="14.1" customHeight="1">
      <c r="A76" s="50">
        <f t="shared" si="7"/>
        <v>70</v>
      </c>
      <c r="B76" s="119" t="s">
        <v>96</v>
      </c>
      <c r="C76" s="120">
        <v>751927</v>
      </c>
      <c r="D76" s="110">
        <v>0</v>
      </c>
      <c r="E76" s="127">
        <f t="shared" si="6"/>
        <v>751927</v>
      </c>
      <c r="F76" s="44"/>
      <c r="G76" s="131">
        <v>751927</v>
      </c>
      <c r="H76" s="130">
        <f t="shared" si="4"/>
        <v>0</v>
      </c>
      <c r="J76" s="131">
        <v>0</v>
      </c>
      <c r="K76" s="130">
        <f t="shared" si="5"/>
        <v>0</v>
      </c>
    </row>
    <row r="77" spans="1:15" ht="14.1" customHeight="1">
      <c r="A77" s="50">
        <f t="shared" si="7"/>
        <v>71</v>
      </c>
      <c r="B77" s="119" t="s">
        <v>97</v>
      </c>
      <c r="C77" s="120">
        <v>90000</v>
      </c>
      <c r="D77" s="110">
        <v>0</v>
      </c>
      <c r="E77" s="127">
        <f t="shared" si="6"/>
        <v>90000</v>
      </c>
      <c r="F77" s="44"/>
      <c r="G77" s="131">
        <v>90000</v>
      </c>
      <c r="H77" s="130">
        <f t="shared" si="4"/>
        <v>0</v>
      </c>
      <c r="J77" s="131">
        <v>0</v>
      </c>
      <c r="K77" s="130">
        <f t="shared" si="5"/>
        <v>0</v>
      </c>
    </row>
    <row r="78" spans="1:15" ht="14.1" customHeight="1">
      <c r="A78" s="50">
        <f t="shared" si="7"/>
        <v>72</v>
      </c>
      <c r="B78" s="119" t="s">
        <v>98</v>
      </c>
      <c r="C78" s="120">
        <v>259000</v>
      </c>
      <c r="D78" s="110">
        <v>0</v>
      </c>
      <c r="E78" s="127">
        <f t="shared" si="6"/>
        <v>259000</v>
      </c>
      <c r="G78" s="131">
        <v>259000</v>
      </c>
      <c r="H78" s="130">
        <f t="shared" si="4"/>
        <v>0</v>
      </c>
      <c r="J78" s="131">
        <v>0</v>
      </c>
      <c r="K78" s="130">
        <f t="shared" si="5"/>
        <v>0</v>
      </c>
    </row>
    <row r="79" spans="1:15" ht="14.1" customHeight="1">
      <c r="A79" s="50">
        <f t="shared" si="7"/>
        <v>73</v>
      </c>
      <c r="B79" s="119" t="s">
        <v>99</v>
      </c>
      <c r="C79" s="120">
        <v>880486.32</v>
      </c>
      <c r="D79" s="110">
        <v>0</v>
      </c>
      <c r="E79" s="127">
        <f t="shared" si="6"/>
        <v>880486.32</v>
      </c>
      <c r="F79" s="125">
        <f>SUM(C49:C79)</f>
        <v>6478471.2599999998</v>
      </c>
      <c r="G79" s="131">
        <v>880486.32</v>
      </c>
      <c r="H79" s="130">
        <f t="shared" si="4"/>
        <v>0</v>
      </c>
      <c r="J79" s="131">
        <v>0</v>
      </c>
      <c r="K79" s="130">
        <f t="shared" si="5"/>
        <v>0</v>
      </c>
    </row>
    <row r="80" spans="1:15" ht="14.1" customHeight="1">
      <c r="A80" s="50">
        <f t="shared" si="7"/>
        <v>74</v>
      </c>
      <c r="B80" s="122" t="s">
        <v>100</v>
      </c>
      <c r="C80" s="120">
        <v>546491.43000000005</v>
      </c>
      <c r="D80" s="110">
        <v>17276.23</v>
      </c>
      <c r="E80" s="127">
        <f t="shared" si="6"/>
        <v>529215.20000000007</v>
      </c>
      <c r="G80" s="131">
        <v>537822.68000000005</v>
      </c>
      <c r="H80" s="130">
        <f t="shared" si="4"/>
        <v>8668.75</v>
      </c>
      <c r="J80" s="131">
        <v>17276.23</v>
      </c>
      <c r="K80" s="130">
        <f t="shared" si="5"/>
        <v>0</v>
      </c>
    </row>
    <row r="81" spans="1:11" ht="14.1" customHeight="1">
      <c r="A81" s="50">
        <f t="shared" si="7"/>
        <v>75</v>
      </c>
      <c r="B81" s="126" t="s">
        <v>101</v>
      </c>
      <c r="C81" s="120">
        <v>97177.07</v>
      </c>
      <c r="D81" s="110">
        <v>0</v>
      </c>
      <c r="E81" s="127">
        <f t="shared" si="6"/>
        <v>97177.07</v>
      </c>
      <c r="F81" s="44"/>
      <c r="G81" s="131">
        <v>97177.07</v>
      </c>
      <c r="H81" s="130">
        <f t="shared" si="4"/>
        <v>0</v>
      </c>
      <c r="J81" s="131">
        <v>0</v>
      </c>
      <c r="K81" s="130">
        <f t="shared" si="5"/>
        <v>0</v>
      </c>
    </row>
    <row r="82" spans="1:11" ht="14.1" customHeight="1">
      <c r="A82" s="50">
        <f t="shared" si="7"/>
        <v>76</v>
      </c>
      <c r="B82" s="126" t="s">
        <v>102</v>
      </c>
      <c r="C82" s="120">
        <v>6543.26</v>
      </c>
      <c r="D82" s="110">
        <v>0</v>
      </c>
      <c r="E82" s="127">
        <f t="shared" si="6"/>
        <v>6543.26</v>
      </c>
      <c r="F82" s="44"/>
      <c r="G82" s="131">
        <v>6543.26</v>
      </c>
      <c r="H82" s="130">
        <f t="shared" si="4"/>
        <v>0</v>
      </c>
      <c r="J82" s="131">
        <v>0</v>
      </c>
      <c r="K82" s="130">
        <f t="shared" si="5"/>
        <v>0</v>
      </c>
    </row>
    <row r="83" spans="1:11" ht="14.1" customHeight="1">
      <c r="A83" s="50">
        <f t="shared" si="7"/>
        <v>77</v>
      </c>
      <c r="B83" s="126" t="s">
        <v>103</v>
      </c>
      <c r="C83" s="120">
        <v>388708.28</v>
      </c>
      <c r="D83" s="110">
        <v>0</v>
      </c>
      <c r="E83" s="127">
        <f t="shared" si="6"/>
        <v>388708.28</v>
      </c>
      <c r="G83" s="131">
        <v>388708.28</v>
      </c>
      <c r="H83" s="130">
        <f t="shared" si="4"/>
        <v>0</v>
      </c>
      <c r="J83" s="131">
        <v>0</v>
      </c>
      <c r="K83" s="130">
        <f t="shared" si="5"/>
        <v>0</v>
      </c>
    </row>
    <row r="84" spans="1:11" ht="14.1" customHeight="1">
      <c r="A84" s="50">
        <f t="shared" si="7"/>
        <v>78</v>
      </c>
      <c r="B84" s="126" t="s">
        <v>104</v>
      </c>
      <c r="C84" s="120">
        <v>340285</v>
      </c>
      <c r="D84" s="110">
        <v>159761.5</v>
      </c>
      <c r="E84" s="127">
        <f t="shared" si="6"/>
        <v>180523.5</v>
      </c>
      <c r="F84" s="44"/>
      <c r="G84" s="131">
        <v>335434</v>
      </c>
      <c r="H84" s="130">
        <f t="shared" si="4"/>
        <v>4851</v>
      </c>
      <c r="J84" s="131">
        <v>134536</v>
      </c>
      <c r="K84" s="130">
        <f t="shared" si="5"/>
        <v>25225.5</v>
      </c>
    </row>
    <row r="85" spans="1:11" ht="14.1" customHeight="1">
      <c r="A85" s="50">
        <f t="shared" si="7"/>
        <v>79</v>
      </c>
      <c r="B85" s="126" t="s">
        <v>105</v>
      </c>
      <c r="C85" s="120">
        <v>122215</v>
      </c>
      <c r="D85" s="110">
        <v>29329.47</v>
      </c>
      <c r="E85" s="127">
        <f t="shared" si="6"/>
        <v>92885.53</v>
      </c>
      <c r="F85" s="44"/>
      <c r="G85" s="131">
        <v>122215</v>
      </c>
      <c r="H85" s="130">
        <f t="shared" si="4"/>
        <v>0</v>
      </c>
      <c r="J85" s="131">
        <v>26862.19</v>
      </c>
      <c r="K85" s="130">
        <f t="shared" si="5"/>
        <v>2467.2800000000025</v>
      </c>
    </row>
    <row r="86" spans="1:11" ht="14.1" hidden="1" customHeight="1">
      <c r="A86" s="50">
        <f t="shared" si="7"/>
        <v>80</v>
      </c>
      <c r="B86" s="126" t="s">
        <v>106</v>
      </c>
      <c r="C86" s="120">
        <v>0</v>
      </c>
      <c r="D86" s="110"/>
      <c r="E86" s="127">
        <f t="shared" si="6"/>
        <v>0</v>
      </c>
      <c r="F86" s="44"/>
      <c r="H86" s="121"/>
    </row>
    <row r="87" spans="1:11" ht="14.1" hidden="1" customHeight="1">
      <c r="A87" s="50">
        <v>82</v>
      </c>
      <c r="B87" s="111" t="s">
        <v>27</v>
      </c>
      <c r="C87" s="120">
        <v>0</v>
      </c>
      <c r="D87" s="110">
        <v>0</v>
      </c>
      <c r="E87" s="127">
        <f t="shared" si="6"/>
        <v>0</v>
      </c>
      <c r="F87" s="44"/>
    </row>
    <row r="88" spans="1:11" ht="14.1" hidden="1" customHeight="1">
      <c r="A88" s="50">
        <f t="shared" si="7"/>
        <v>83</v>
      </c>
      <c r="B88" s="111" t="s">
        <v>27</v>
      </c>
      <c r="C88" s="120">
        <v>0</v>
      </c>
      <c r="D88" s="110">
        <v>0</v>
      </c>
      <c r="E88" s="127">
        <f t="shared" si="6"/>
        <v>0</v>
      </c>
      <c r="F88" s="44"/>
    </row>
    <row r="89" spans="1:11" ht="14.1" hidden="1" customHeight="1">
      <c r="A89" s="50">
        <f t="shared" si="7"/>
        <v>84</v>
      </c>
      <c r="B89" s="111" t="s">
        <v>27</v>
      </c>
      <c r="C89" s="120">
        <v>0</v>
      </c>
      <c r="D89" s="110">
        <v>0</v>
      </c>
      <c r="E89" s="127">
        <f t="shared" si="6"/>
        <v>0</v>
      </c>
      <c r="F89" s="44"/>
    </row>
    <row r="90" spans="1:11" ht="14.1" hidden="1" customHeight="1">
      <c r="A90" s="50">
        <f t="shared" si="7"/>
        <v>85</v>
      </c>
      <c r="B90" s="111" t="s">
        <v>27</v>
      </c>
      <c r="C90" s="120">
        <v>0</v>
      </c>
      <c r="D90" s="110">
        <v>0</v>
      </c>
      <c r="E90" s="127">
        <f t="shared" si="6"/>
        <v>0</v>
      </c>
      <c r="F90" s="44"/>
    </row>
    <row r="91" spans="1:11" ht="14.1" hidden="1" customHeight="1">
      <c r="A91" s="50">
        <f t="shared" si="7"/>
        <v>86</v>
      </c>
      <c r="B91" s="111" t="s">
        <v>27</v>
      </c>
      <c r="C91" s="120">
        <v>0</v>
      </c>
      <c r="D91" s="110">
        <v>0</v>
      </c>
      <c r="E91" s="127">
        <f t="shared" si="6"/>
        <v>0</v>
      </c>
      <c r="F91" s="44"/>
    </row>
    <row r="92" spans="1:11" ht="14.1" hidden="1" customHeight="1">
      <c r="A92" s="50">
        <f t="shared" si="7"/>
        <v>87</v>
      </c>
      <c r="B92" s="111" t="s">
        <v>27</v>
      </c>
      <c r="C92" s="120">
        <v>0</v>
      </c>
      <c r="D92" s="110">
        <v>0</v>
      </c>
      <c r="E92" s="127">
        <f t="shared" si="6"/>
        <v>0</v>
      </c>
      <c r="F92" s="44"/>
    </row>
    <row r="93" spans="1:11" ht="14.1" hidden="1" customHeight="1">
      <c r="A93" s="50">
        <f t="shared" si="7"/>
        <v>88</v>
      </c>
      <c r="B93" s="111" t="s">
        <v>27</v>
      </c>
      <c r="C93" s="120">
        <v>0</v>
      </c>
      <c r="D93" s="110">
        <v>0</v>
      </c>
      <c r="E93" s="127">
        <f t="shared" si="6"/>
        <v>0</v>
      </c>
      <c r="F93" s="44"/>
    </row>
    <row r="94" spans="1:11" ht="14.1" hidden="1" customHeight="1">
      <c r="A94" s="50">
        <f t="shared" si="7"/>
        <v>89</v>
      </c>
      <c r="B94" s="111" t="s">
        <v>27</v>
      </c>
      <c r="C94" s="120">
        <v>0</v>
      </c>
      <c r="D94" s="110">
        <v>0</v>
      </c>
      <c r="E94" s="127">
        <f t="shared" si="6"/>
        <v>0</v>
      </c>
      <c r="F94" s="44"/>
    </row>
    <row r="95" spans="1:11" ht="14.1" hidden="1" customHeight="1">
      <c r="A95" s="50">
        <f t="shared" si="7"/>
        <v>90</v>
      </c>
      <c r="B95" s="111" t="s">
        <v>27</v>
      </c>
      <c r="C95" s="120">
        <v>0</v>
      </c>
      <c r="D95" s="110">
        <v>0</v>
      </c>
      <c r="E95" s="127">
        <f t="shared" si="6"/>
        <v>0</v>
      </c>
      <c r="F95" s="44"/>
    </row>
    <row r="96" spans="1:11" ht="14.1" hidden="1" customHeight="1">
      <c r="A96" s="50">
        <f t="shared" si="7"/>
        <v>91</v>
      </c>
      <c r="B96" s="111" t="s">
        <v>27</v>
      </c>
      <c r="C96" s="120">
        <v>0</v>
      </c>
      <c r="D96" s="110">
        <v>0</v>
      </c>
      <c r="E96" s="127">
        <f t="shared" si="6"/>
        <v>0</v>
      </c>
      <c r="F96" s="44"/>
    </row>
    <row r="97" spans="1:6" ht="14.1" hidden="1" customHeight="1">
      <c r="A97" s="50">
        <f t="shared" si="7"/>
        <v>92</v>
      </c>
      <c r="B97" s="111" t="s">
        <v>27</v>
      </c>
      <c r="C97" s="120">
        <v>0</v>
      </c>
      <c r="D97" s="110">
        <v>0</v>
      </c>
      <c r="E97" s="127">
        <f t="shared" si="6"/>
        <v>0</v>
      </c>
      <c r="F97" s="44"/>
    </row>
    <row r="98" spans="1:6" ht="14.1" hidden="1" customHeight="1">
      <c r="A98" s="50">
        <f t="shared" si="7"/>
        <v>93</v>
      </c>
      <c r="B98" s="111" t="s">
        <v>27</v>
      </c>
      <c r="C98" s="120">
        <v>0</v>
      </c>
      <c r="D98" s="110">
        <v>0</v>
      </c>
      <c r="E98" s="127">
        <f t="shared" si="6"/>
        <v>0</v>
      </c>
      <c r="F98" s="44"/>
    </row>
    <row r="99" spans="1:6" ht="14.1" hidden="1" customHeight="1">
      <c r="A99" s="50">
        <f t="shared" si="7"/>
        <v>94</v>
      </c>
      <c r="B99" s="111" t="s">
        <v>27</v>
      </c>
      <c r="C99" s="120">
        <v>0</v>
      </c>
      <c r="D99" s="110">
        <v>0</v>
      </c>
      <c r="E99" s="127">
        <f t="shared" si="6"/>
        <v>0</v>
      </c>
      <c r="F99" s="44"/>
    </row>
    <row r="100" spans="1:6" ht="14.1" hidden="1" customHeight="1">
      <c r="A100" s="50">
        <f t="shared" si="7"/>
        <v>95</v>
      </c>
      <c r="B100" s="111" t="s">
        <v>27</v>
      </c>
      <c r="C100" s="120">
        <v>0</v>
      </c>
      <c r="D100" s="110">
        <v>0</v>
      </c>
      <c r="E100" s="127">
        <f t="shared" si="6"/>
        <v>0</v>
      </c>
      <c r="F100" s="44"/>
    </row>
    <row r="101" spans="1:6" ht="14.1" hidden="1" customHeight="1">
      <c r="A101" s="50">
        <f t="shared" si="7"/>
        <v>96</v>
      </c>
      <c r="B101" s="111" t="s">
        <v>27</v>
      </c>
      <c r="C101" s="120">
        <v>0</v>
      </c>
      <c r="D101" s="110">
        <v>0</v>
      </c>
      <c r="E101" s="127">
        <f t="shared" si="6"/>
        <v>0</v>
      </c>
      <c r="F101" s="44"/>
    </row>
    <row r="102" spans="1:6" ht="14.1" hidden="1" customHeight="1">
      <c r="A102" s="50">
        <f t="shared" si="7"/>
        <v>97</v>
      </c>
      <c r="B102" s="111" t="s">
        <v>27</v>
      </c>
      <c r="C102" s="120">
        <v>0</v>
      </c>
      <c r="D102" s="110">
        <v>0</v>
      </c>
      <c r="E102" s="127">
        <f t="shared" si="6"/>
        <v>0</v>
      </c>
      <c r="F102" s="44"/>
    </row>
    <row r="103" spans="1:6" ht="14.1" hidden="1" customHeight="1">
      <c r="A103" s="50">
        <f t="shared" si="7"/>
        <v>98</v>
      </c>
      <c r="B103" s="111" t="s">
        <v>27</v>
      </c>
      <c r="C103" s="120">
        <v>0</v>
      </c>
      <c r="D103" s="110">
        <v>0</v>
      </c>
      <c r="E103" s="127">
        <f t="shared" si="6"/>
        <v>0</v>
      </c>
      <c r="F103" s="44"/>
    </row>
    <row r="104" spans="1:6" ht="14.1" hidden="1" customHeight="1">
      <c r="A104" s="50">
        <f t="shared" si="7"/>
        <v>99</v>
      </c>
      <c r="B104" s="111" t="s">
        <v>27</v>
      </c>
      <c r="C104" s="120">
        <v>0</v>
      </c>
      <c r="D104" s="110">
        <v>0</v>
      </c>
      <c r="E104" s="127">
        <f t="shared" si="6"/>
        <v>0</v>
      </c>
      <c r="F104" s="44"/>
    </row>
    <row r="105" spans="1:6" ht="14.1" customHeight="1">
      <c r="A105" s="51"/>
      <c r="B105" s="116"/>
      <c r="C105" s="45"/>
      <c r="D105" s="45"/>
      <c r="E105" s="46"/>
      <c r="F105" s="44"/>
    </row>
    <row r="106" spans="1:6" ht="14.1" customHeight="1" thickBot="1">
      <c r="A106" s="52"/>
      <c r="B106" s="117" t="s">
        <v>2</v>
      </c>
      <c r="C106" s="182">
        <f>SUM(C7:C104)</f>
        <v>8837412.5099999998</v>
      </c>
      <c r="D106" s="53">
        <f>SUM(D7:D104)</f>
        <v>1011919.59</v>
      </c>
      <c r="E106" s="53">
        <f>SUM(E7:E104)</f>
        <v>7825492.9200000009</v>
      </c>
      <c r="F106" s="44"/>
    </row>
    <row r="107" spans="1:6" ht="14.1" customHeight="1">
      <c r="A107" s="2"/>
      <c r="B107" s="2"/>
      <c r="C107" s="2"/>
      <c r="D107" s="2"/>
    </row>
    <row r="108" spans="1:6" ht="18.75" customHeight="1">
      <c r="B108" s="44" t="s">
        <v>114</v>
      </c>
    </row>
    <row r="109" spans="1:6" ht="14.1" customHeight="1"/>
    <row r="110" spans="1:6" ht="14.1" customHeight="1">
      <c r="E110" s="2"/>
    </row>
    <row r="111" spans="1:6" ht="14.1" customHeight="1">
      <c r="E111" s="2"/>
    </row>
    <row r="112" spans="1:6" ht="14.1" customHeight="1">
      <c r="E112" s="2"/>
    </row>
    <row r="113" spans="5:5" ht="14.1" customHeight="1">
      <c r="E113" s="2"/>
    </row>
    <row r="114" spans="5:5" ht="14.1" customHeight="1">
      <c r="E114" s="2"/>
    </row>
    <row r="115" spans="5:5" ht="14.1" customHeight="1">
      <c r="E115" s="2"/>
    </row>
    <row r="116" spans="5:5" ht="14.1" customHeight="1">
      <c r="E116" s="2"/>
    </row>
    <row r="117" spans="5:5" ht="14.1" customHeight="1">
      <c r="E117" s="2"/>
    </row>
    <row r="118" spans="5:5" ht="14.1" customHeight="1">
      <c r="E118" s="2"/>
    </row>
    <row r="119" spans="5:5" ht="14.1" customHeight="1">
      <c r="E119" s="2"/>
    </row>
    <row r="120" spans="5:5" ht="14.1" customHeight="1">
      <c r="E120" s="2"/>
    </row>
    <row r="121" spans="5:5" ht="14.1" customHeight="1">
      <c r="E121" s="3"/>
    </row>
  </sheetData>
  <sheetProtection formatCells="0" selectLockedCells="1"/>
  <mergeCells count="5">
    <mergeCell ref="A1:C2"/>
    <mergeCell ref="C3:C4"/>
    <mergeCell ref="D3:D4"/>
    <mergeCell ref="G6:H6"/>
    <mergeCell ref="J6:K6"/>
  </mergeCells>
  <conditionalFormatting sqref="D7:D46">
    <cfRule type="expression" dxfId="111" priority="140" stopIfTrue="1">
      <formula>$H7&gt;0</formula>
    </cfRule>
    <cfRule type="expression" dxfId="110" priority="141" stopIfTrue="1">
      <formula>$I7=100%</formula>
    </cfRule>
  </conditionalFormatting>
  <conditionalFormatting sqref="D7:D104">
    <cfRule type="expression" dxfId="109" priority="66" stopIfTrue="1">
      <formula>$I7=""</formula>
    </cfRule>
    <cfRule type="expression" dxfId="108" priority="114" stopIfTrue="1">
      <formula>$I7&gt;100%</formula>
    </cfRule>
  </conditionalFormatting>
  <conditionalFormatting sqref="D47:D77 D79:D82 D84:D104">
    <cfRule type="expression" dxfId="107" priority="115" stopIfTrue="1">
      <formula>$G47&gt;0</formula>
    </cfRule>
    <cfRule type="expression" dxfId="106" priority="116" stopIfTrue="1">
      <formula>$I47=100%</formula>
    </cfRule>
  </conditionalFormatting>
  <conditionalFormatting sqref="D78">
    <cfRule type="expression" dxfId="105" priority="132" stopIfTrue="1">
      <formula>#REF!&gt;0</formula>
    </cfRule>
    <cfRule type="expression" dxfId="104" priority="133" stopIfTrue="1">
      <formula>$I78=100%</formula>
    </cfRule>
  </conditionalFormatting>
  <conditionalFormatting sqref="D83">
    <cfRule type="expression" dxfId="103" priority="144" stopIfTrue="1">
      <formula>$H78&gt;0</formula>
    </cfRule>
    <cfRule type="expression" dxfId="102" priority="145" stopIfTrue="1">
      <formula>$I83=100%</formula>
    </cfRule>
  </conditionalFormatting>
  <pageMargins left="0.7" right="0.7" top="0.75" bottom="0.75" header="0.3" footer="0.3"/>
  <pageSetup scale="96" orientation="portrait" r:id="rId1"/>
  <rowBreaks count="1" manualBreakCount="1">
    <brk id="10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48"/>
  <sheetViews>
    <sheetView showGridLines="0" showRuler="0" zoomScale="90" zoomScaleNormal="90" zoomScaleSheetLayoutView="90" workbookViewId="0">
      <selection activeCell="E22" sqref="E22"/>
    </sheetView>
  </sheetViews>
  <sheetFormatPr defaultColWidth="6.59765625" defaultRowHeight="12.95" customHeight="1"/>
  <cols>
    <col min="1" max="1" width="5.19921875" style="1" customWidth="1"/>
    <col min="2" max="2" width="5.69921875" style="1" customWidth="1"/>
    <col min="3" max="3" width="15.19921875" style="1" customWidth="1"/>
    <col min="4" max="4" width="12.19921875" style="1" customWidth="1"/>
    <col min="5" max="5" width="10.69921875" style="1" customWidth="1"/>
    <col min="6" max="6" width="11.69921875" style="1" customWidth="1"/>
    <col min="7" max="7" width="11.59765625" style="1" customWidth="1"/>
    <col min="8" max="9" width="10.69921875" style="1" customWidth="1"/>
    <col min="10" max="10" width="5.5" style="18" customWidth="1"/>
    <col min="11" max="12" width="4.69921875" style="1" customWidth="1"/>
    <col min="13" max="16384" width="6.59765625" style="1"/>
  </cols>
  <sheetData>
    <row r="1" spans="1:12" ht="15.75">
      <c r="A1" s="149" t="s">
        <v>21</v>
      </c>
      <c r="B1" s="150"/>
      <c r="C1" s="150"/>
      <c r="D1" s="150"/>
      <c r="E1" s="150"/>
      <c r="F1" s="150"/>
      <c r="G1" s="150"/>
      <c r="H1" s="150"/>
      <c r="I1" s="150"/>
      <c r="J1" s="151"/>
    </row>
    <row r="2" spans="1:12" ht="16.5" thickBot="1">
      <c r="A2" s="152"/>
      <c r="B2" s="153"/>
      <c r="C2" s="153"/>
      <c r="D2" s="153"/>
      <c r="E2" s="153"/>
      <c r="F2" s="153"/>
      <c r="G2" s="153"/>
      <c r="H2" s="153"/>
      <c r="I2" s="153"/>
      <c r="J2" s="154"/>
    </row>
    <row r="3" spans="1:12" ht="15.75">
      <c r="A3" s="84"/>
      <c r="B3" s="85" t="s">
        <v>7</v>
      </c>
      <c r="C3" s="86" t="str">
        <f>'SCHEDULE OF VALUE WORKSHEET'!$B$3</f>
        <v>Angeleno Investments</v>
      </c>
      <c r="D3" s="87"/>
      <c r="E3" s="155"/>
      <c r="F3" s="88"/>
      <c r="G3" s="89"/>
      <c r="H3" s="90" t="s">
        <v>5</v>
      </c>
      <c r="I3" s="91">
        <f>SUM(I137)</f>
        <v>0</v>
      </c>
      <c r="J3" s="100" t="str">
        <f>IF(I3=0,"",I3/I7)</f>
        <v/>
      </c>
    </row>
    <row r="4" spans="1:12" ht="16.350000000000001" customHeight="1">
      <c r="A4" s="54"/>
      <c r="B4" s="34" t="s">
        <v>6</v>
      </c>
      <c r="C4" s="37" t="str">
        <f>'SCHEDULE OF VALUE WORKSHEET'!B5</f>
        <v>10910 Huston Street</v>
      </c>
      <c r="D4" s="36"/>
      <c r="E4" s="156"/>
      <c r="F4" s="3"/>
      <c r="G4" s="55"/>
      <c r="H4" s="41" t="s">
        <v>13</v>
      </c>
      <c r="I4" s="40" t="e">
        <f>SUM(G137)</f>
        <v>#REF!</v>
      </c>
      <c r="J4" s="73"/>
    </row>
    <row r="5" spans="1:12" ht="15.75">
      <c r="A5" s="54"/>
      <c r="B5" s="34" t="s">
        <v>0</v>
      </c>
      <c r="C5" s="36">
        <f ca="1">TODAY()</f>
        <v>45978</v>
      </c>
      <c r="E5" s="156"/>
      <c r="F5" s="57"/>
      <c r="G5" s="55"/>
      <c r="H5" s="41" t="s">
        <v>14</v>
      </c>
      <c r="I5" s="40" t="e">
        <f>SUM(D137)</f>
        <v>#REF!</v>
      </c>
      <c r="J5" s="73"/>
    </row>
    <row r="6" spans="1:12" ht="15.75">
      <c r="A6" s="54"/>
      <c r="B6" s="34" t="s">
        <v>20</v>
      </c>
      <c r="C6" s="48">
        <f>SUM(H137)</f>
        <v>0</v>
      </c>
      <c r="D6" s="6"/>
      <c r="E6" s="156"/>
      <c r="F6" s="57"/>
      <c r="G6" s="55"/>
      <c r="H6" s="42" t="s">
        <v>17</v>
      </c>
      <c r="I6" s="40">
        <f>SUM(E137)</f>
        <v>0</v>
      </c>
      <c r="J6" s="73"/>
    </row>
    <row r="7" spans="1:12" ht="15.75">
      <c r="A7" s="54"/>
      <c r="B7" s="34"/>
      <c r="E7" s="156"/>
      <c r="F7" s="28"/>
      <c r="G7" s="39"/>
      <c r="H7" s="34" t="s">
        <v>15</v>
      </c>
      <c r="I7" s="59" t="e">
        <f>SUM(F137)</f>
        <v>#REF!</v>
      </c>
      <c r="J7" s="73"/>
    </row>
    <row r="8" spans="1:12" ht="4.3499999999999996" customHeight="1" thickBot="1">
      <c r="A8" s="92"/>
      <c r="B8" s="93"/>
      <c r="C8" s="93"/>
      <c r="D8" s="93"/>
      <c r="E8" s="94"/>
      <c r="F8" s="95"/>
      <c r="G8" s="96"/>
      <c r="H8" s="97"/>
      <c r="I8" s="97"/>
      <c r="J8" s="98"/>
    </row>
    <row r="9" spans="1:12" ht="15.75">
      <c r="A9" s="81"/>
      <c r="B9" s="144" t="s">
        <v>1</v>
      </c>
      <c r="C9" s="145"/>
      <c r="D9" s="161" t="s">
        <v>8</v>
      </c>
      <c r="E9" s="163" t="s">
        <v>26</v>
      </c>
      <c r="F9" s="161" t="s">
        <v>9</v>
      </c>
      <c r="G9" s="82" t="s">
        <v>10</v>
      </c>
      <c r="H9" s="83" t="s">
        <v>12</v>
      </c>
      <c r="I9" s="157" t="s">
        <v>3</v>
      </c>
      <c r="J9" s="158"/>
      <c r="K9" s="12"/>
      <c r="L9" s="12"/>
    </row>
    <row r="10" spans="1:12" ht="18" customHeight="1">
      <c r="A10" s="58"/>
      <c r="B10" s="146"/>
      <c r="C10" s="147"/>
      <c r="D10" s="162"/>
      <c r="E10" s="164"/>
      <c r="F10" s="162"/>
      <c r="G10" s="71" t="s">
        <v>11</v>
      </c>
      <c r="H10" s="72">
        <v>1</v>
      </c>
      <c r="I10" s="159" t="s">
        <v>4</v>
      </c>
      <c r="J10" s="160"/>
      <c r="K10" s="12"/>
      <c r="L10" s="12"/>
    </row>
    <row r="11" spans="1:12" ht="14.1" customHeight="1">
      <c r="A11" s="4">
        <f>'SCHEDULE OF VALUE WORKSHEET'!A7</f>
        <v>1</v>
      </c>
      <c r="B11" s="142" t="str">
        <f>'SCHEDULE OF VALUE WORKSHEET'!B7</f>
        <v>SOFT COSTS</v>
      </c>
      <c r="C11" s="143"/>
      <c r="D11" s="104">
        <f>SUM('SCHEDULE OF VALUE WORKSHEET'!E7)</f>
        <v>0</v>
      </c>
      <c r="E11" s="105">
        <v>0</v>
      </c>
      <c r="F11" s="104">
        <f t="shared" ref="F11" si="0">SUM(D11)+E11</f>
        <v>0</v>
      </c>
      <c r="G11" s="109">
        <f>SUM(F11-I11)</f>
        <v>0</v>
      </c>
      <c r="H11" s="110">
        <v>0</v>
      </c>
      <c r="I11" s="109">
        <f>SUM(H11)</f>
        <v>0</v>
      </c>
      <c r="J11" s="108" t="str">
        <f>IF(I11=0,"",I11/F11)</f>
        <v/>
      </c>
      <c r="K11" s="9"/>
      <c r="L11" s="9"/>
    </row>
    <row r="12" spans="1:12" ht="14.1" customHeight="1">
      <c r="A12" s="4">
        <f>'SCHEDULE OF VALUE WORKSHEET'!A8</f>
        <v>2</v>
      </c>
      <c r="B12" s="142" t="str">
        <f>'SCHEDULE OF VALUE WORKSHEET'!B8</f>
        <v>Site Security</v>
      </c>
      <c r="C12" s="143"/>
      <c r="D12" s="104">
        <f>SUM('SCHEDULE OF VALUE WORKSHEET'!E8)</f>
        <v>10580.63</v>
      </c>
      <c r="E12" s="105">
        <v>0</v>
      </c>
      <c r="F12" s="104">
        <f t="shared" ref="F12:F75" si="1">SUM(D12)+E12</f>
        <v>10580.63</v>
      </c>
      <c r="G12" s="109">
        <f t="shared" ref="G12:G75" si="2">SUM(F12-I12)</f>
        <v>10580.63</v>
      </c>
      <c r="H12" s="110">
        <v>0</v>
      </c>
      <c r="I12" s="109">
        <f t="shared" ref="I12:I75" si="3">SUM(H12)</f>
        <v>0</v>
      </c>
      <c r="J12" s="108" t="str">
        <f t="shared" ref="J12:J75" si="4">IF(I12=0,"",I12/F12)</f>
        <v/>
      </c>
      <c r="K12" s="9"/>
      <c r="L12" s="9"/>
    </row>
    <row r="13" spans="1:12" ht="14.1" customHeight="1">
      <c r="A13" s="4">
        <f>'SCHEDULE OF VALUE WORKSHEET'!A9</f>
        <v>3</v>
      </c>
      <c r="B13" s="142" t="str">
        <f>'SCHEDULE OF VALUE WORKSHEET'!B9</f>
        <v>Soils Inspection</v>
      </c>
      <c r="C13" s="143"/>
      <c r="D13" s="104">
        <f>SUM('SCHEDULE OF VALUE WORKSHEET'!E9)</f>
        <v>0</v>
      </c>
      <c r="E13" s="105">
        <v>0</v>
      </c>
      <c r="F13" s="104">
        <f t="shared" si="1"/>
        <v>0</v>
      </c>
      <c r="G13" s="109">
        <f t="shared" si="2"/>
        <v>0</v>
      </c>
      <c r="H13" s="110">
        <v>0</v>
      </c>
      <c r="I13" s="109">
        <f t="shared" si="3"/>
        <v>0</v>
      </c>
      <c r="J13" s="108" t="str">
        <f t="shared" si="4"/>
        <v/>
      </c>
      <c r="K13" s="9"/>
      <c r="L13" s="9"/>
    </row>
    <row r="14" spans="1:12" ht="14.1" customHeight="1">
      <c r="A14" s="4">
        <f>'SCHEDULE OF VALUE WORKSHEET'!A10</f>
        <v>4</v>
      </c>
      <c r="B14" s="142" t="str">
        <f>'SCHEDULE OF VALUE WORKSHEET'!B10</f>
        <v>Offsites (Transformer)</v>
      </c>
      <c r="C14" s="143"/>
      <c r="D14" s="104">
        <f>SUM('SCHEDULE OF VALUE WORKSHEET'!E10)</f>
        <v>20000</v>
      </c>
      <c r="E14" s="105">
        <v>0</v>
      </c>
      <c r="F14" s="104">
        <f t="shared" si="1"/>
        <v>20000</v>
      </c>
      <c r="G14" s="109">
        <f t="shared" si="2"/>
        <v>20000</v>
      </c>
      <c r="H14" s="110">
        <v>0</v>
      </c>
      <c r="I14" s="109">
        <f t="shared" si="3"/>
        <v>0</v>
      </c>
      <c r="J14" s="108" t="str">
        <f t="shared" si="4"/>
        <v/>
      </c>
      <c r="K14" s="9"/>
      <c r="L14" s="9"/>
    </row>
    <row r="15" spans="1:12" s="27" customFormat="1" ht="14.1" customHeight="1">
      <c r="A15" s="4">
        <f>'SCHEDULE OF VALUE WORKSHEET'!A11</f>
        <v>5</v>
      </c>
      <c r="B15" s="142" t="str">
        <f>'SCHEDULE OF VALUE WORKSHEET'!B11</f>
        <v>Plan Check Fees</v>
      </c>
      <c r="C15" s="143"/>
      <c r="D15" s="104">
        <f>SUM('SCHEDULE OF VALUE WORKSHEET'!E11)</f>
        <v>0</v>
      </c>
      <c r="E15" s="105">
        <v>0</v>
      </c>
      <c r="F15" s="104">
        <f t="shared" si="1"/>
        <v>0</v>
      </c>
      <c r="G15" s="109">
        <f t="shared" si="2"/>
        <v>0</v>
      </c>
      <c r="H15" s="110">
        <v>0</v>
      </c>
      <c r="I15" s="109">
        <f t="shared" si="3"/>
        <v>0</v>
      </c>
      <c r="J15" s="108" t="str">
        <f t="shared" si="4"/>
        <v/>
      </c>
      <c r="K15" s="99"/>
      <c r="L15" s="99"/>
    </row>
    <row r="16" spans="1:12" ht="14.1" customHeight="1">
      <c r="A16" s="4">
        <f>'SCHEDULE OF VALUE WORKSHEET'!A12</f>
        <v>6</v>
      </c>
      <c r="B16" s="142" t="str">
        <f>'SCHEDULE OF VALUE WORKSHEET'!B12</f>
        <v>Permits</v>
      </c>
      <c r="C16" s="143"/>
      <c r="D16" s="104">
        <f>SUM('SCHEDULE OF VALUE WORKSHEET'!E12)</f>
        <v>0</v>
      </c>
      <c r="E16" s="105">
        <v>0</v>
      </c>
      <c r="F16" s="104">
        <f t="shared" si="1"/>
        <v>0</v>
      </c>
      <c r="G16" s="109">
        <f t="shared" si="2"/>
        <v>0</v>
      </c>
      <c r="H16" s="110">
        <v>0</v>
      </c>
      <c r="I16" s="109">
        <f t="shared" si="3"/>
        <v>0</v>
      </c>
      <c r="J16" s="108" t="str">
        <f t="shared" si="4"/>
        <v/>
      </c>
      <c r="K16" s="9"/>
      <c r="L16" s="9"/>
    </row>
    <row r="17" spans="1:12" ht="14.1" customHeight="1">
      <c r="A17" s="4">
        <f>'SCHEDULE OF VALUE WORKSHEET'!A13</f>
        <v>7</v>
      </c>
      <c r="B17" s="142" t="str">
        <f>'SCHEDULE OF VALUE WORKSHEET'!B13</f>
        <v>Survey</v>
      </c>
      <c r="C17" s="143"/>
      <c r="D17" s="104">
        <f>SUM('SCHEDULE OF VALUE WORKSHEET'!E13)</f>
        <v>0</v>
      </c>
      <c r="E17" s="105">
        <v>0</v>
      </c>
      <c r="F17" s="104">
        <f t="shared" si="1"/>
        <v>0</v>
      </c>
      <c r="G17" s="109">
        <f t="shared" si="2"/>
        <v>0</v>
      </c>
      <c r="H17" s="110">
        <v>0</v>
      </c>
      <c r="I17" s="109">
        <f t="shared" si="3"/>
        <v>0</v>
      </c>
      <c r="J17" s="108" t="str">
        <f t="shared" si="4"/>
        <v/>
      </c>
      <c r="K17" s="9"/>
      <c r="L17" s="9"/>
    </row>
    <row r="18" spans="1:12" ht="14.1" customHeight="1">
      <c r="A18" s="4">
        <f>'SCHEDULE OF VALUE WORKSHEET'!A14</f>
        <v>8</v>
      </c>
      <c r="B18" s="142" t="str">
        <f>'SCHEDULE OF VALUE WORKSHEET'!B14</f>
        <v>Soils Engineer</v>
      </c>
      <c r="C18" s="143"/>
      <c r="D18" s="104">
        <f>SUM('SCHEDULE OF VALUE WORKSHEET'!E14)</f>
        <v>0</v>
      </c>
      <c r="E18" s="105">
        <v>0</v>
      </c>
      <c r="F18" s="104">
        <f t="shared" si="1"/>
        <v>0</v>
      </c>
      <c r="G18" s="109">
        <f t="shared" si="2"/>
        <v>0</v>
      </c>
      <c r="H18" s="110">
        <v>0</v>
      </c>
      <c r="I18" s="109">
        <f t="shared" si="3"/>
        <v>0</v>
      </c>
      <c r="J18" s="108" t="str">
        <f t="shared" si="4"/>
        <v/>
      </c>
      <c r="K18" s="9"/>
      <c r="L18" s="9"/>
    </row>
    <row r="19" spans="1:12" ht="14.1" customHeight="1">
      <c r="A19" s="4">
        <f>'SCHEDULE OF VALUE WORKSHEET'!A15</f>
        <v>9</v>
      </c>
      <c r="B19" s="142" t="str">
        <f>'SCHEDULE OF VALUE WORKSHEET'!B15</f>
        <v>Soils Permit + T24</v>
      </c>
      <c r="C19" s="143"/>
      <c r="D19" s="104">
        <f>SUM('SCHEDULE OF VALUE WORKSHEET'!E15)</f>
        <v>2500</v>
      </c>
      <c r="E19" s="105">
        <v>0</v>
      </c>
      <c r="F19" s="104">
        <f t="shared" si="1"/>
        <v>2500</v>
      </c>
      <c r="G19" s="109">
        <f t="shared" si="2"/>
        <v>2500</v>
      </c>
      <c r="H19" s="110">
        <v>0</v>
      </c>
      <c r="I19" s="109">
        <f t="shared" si="3"/>
        <v>0</v>
      </c>
      <c r="J19" s="108" t="str">
        <f t="shared" si="4"/>
        <v/>
      </c>
      <c r="K19" s="9"/>
      <c r="L19" s="9"/>
    </row>
    <row r="20" spans="1:12" ht="14.1" customHeight="1">
      <c r="A20" s="4">
        <f>'SCHEDULE OF VALUE WORKSHEET'!A16</f>
        <v>10</v>
      </c>
      <c r="B20" s="142" t="str">
        <f>'SCHEDULE OF VALUE WORKSHEET'!B16</f>
        <v>Special Inspections - Deputy</v>
      </c>
      <c r="C20" s="143"/>
      <c r="D20" s="104">
        <f>SUM('SCHEDULE OF VALUE WORKSHEET'!E16)</f>
        <v>15000</v>
      </c>
      <c r="E20" s="105">
        <v>0</v>
      </c>
      <c r="F20" s="104">
        <f t="shared" si="1"/>
        <v>15000</v>
      </c>
      <c r="G20" s="109">
        <f t="shared" si="2"/>
        <v>15000</v>
      </c>
      <c r="H20" s="110">
        <v>0</v>
      </c>
      <c r="I20" s="109">
        <f t="shared" si="3"/>
        <v>0</v>
      </c>
      <c r="J20" s="108" t="str">
        <f t="shared" si="4"/>
        <v/>
      </c>
      <c r="K20" s="9"/>
      <c r="L20" s="9"/>
    </row>
    <row r="21" spans="1:12" ht="14.1" customHeight="1">
      <c r="A21" s="4">
        <f>'SCHEDULE OF VALUE WORKSHEET'!A17</f>
        <v>11</v>
      </c>
      <c r="B21" s="142" t="str">
        <f>'SCHEDULE OF VALUE WORKSHEET'!B17</f>
        <v>Architect</v>
      </c>
      <c r="C21" s="143"/>
      <c r="D21" s="104">
        <f>SUM('SCHEDULE OF VALUE WORKSHEET'!E17)</f>
        <v>0</v>
      </c>
      <c r="E21" s="105">
        <v>0</v>
      </c>
      <c r="F21" s="104">
        <f t="shared" si="1"/>
        <v>0</v>
      </c>
      <c r="G21" s="109">
        <f t="shared" si="2"/>
        <v>0</v>
      </c>
      <c r="H21" s="110">
        <v>0</v>
      </c>
      <c r="I21" s="109">
        <f t="shared" si="3"/>
        <v>0</v>
      </c>
      <c r="J21" s="108" t="str">
        <f t="shared" si="4"/>
        <v/>
      </c>
      <c r="K21" s="9"/>
      <c r="L21" s="9"/>
    </row>
    <row r="22" spans="1:12" ht="14.1" customHeight="1">
      <c r="A22" s="4">
        <f>'SCHEDULE OF VALUE WORKSHEET'!A18</f>
        <v>12</v>
      </c>
      <c r="B22" s="142" t="str">
        <f>'SCHEDULE OF VALUE WORKSHEET'!B18</f>
        <v>Structural Engineer</v>
      </c>
      <c r="C22" s="143"/>
      <c r="D22" s="104">
        <f>SUM('SCHEDULE OF VALUE WORKSHEET'!E18)</f>
        <v>0</v>
      </c>
      <c r="E22" s="105">
        <v>0</v>
      </c>
      <c r="F22" s="104">
        <f t="shared" si="1"/>
        <v>0</v>
      </c>
      <c r="G22" s="109">
        <f t="shared" si="2"/>
        <v>0</v>
      </c>
      <c r="H22" s="110">
        <v>0</v>
      </c>
      <c r="I22" s="109">
        <f t="shared" si="3"/>
        <v>0</v>
      </c>
      <c r="J22" s="108" t="str">
        <f t="shared" si="4"/>
        <v/>
      </c>
      <c r="K22" s="9"/>
      <c r="L22" s="9"/>
    </row>
    <row r="23" spans="1:12" ht="14.1" customHeight="1">
      <c r="A23" s="4">
        <f>'SCHEDULE OF VALUE WORKSHEET'!A19</f>
        <v>13</v>
      </c>
      <c r="B23" s="142" t="str">
        <f>'SCHEDULE OF VALUE WORKSHEET'!B19</f>
        <v>Structural Observation</v>
      </c>
      <c r="C23" s="143"/>
      <c r="D23" s="104">
        <f>SUM('SCHEDULE OF VALUE WORKSHEET'!E19)</f>
        <v>8000</v>
      </c>
      <c r="E23" s="105">
        <v>0</v>
      </c>
      <c r="F23" s="104">
        <f t="shared" si="1"/>
        <v>8000</v>
      </c>
      <c r="G23" s="109">
        <f t="shared" si="2"/>
        <v>8000</v>
      </c>
      <c r="H23" s="110">
        <v>0</v>
      </c>
      <c r="I23" s="109">
        <f t="shared" si="3"/>
        <v>0</v>
      </c>
      <c r="J23" s="108" t="str">
        <f t="shared" si="4"/>
        <v/>
      </c>
      <c r="K23" s="9"/>
      <c r="L23" s="9"/>
    </row>
    <row r="24" spans="1:12" ht="14.1" customHeight="1">
      <c r="A24" s="4">
        <f>'SCHEDULE OF VALUE WORKSHEET'!A20</f>
        <v>14</v>
      </c>
      <c r="B24" s="142" t="str">
        <f>'SCHEDULE OF VALUE WORKSHEET'!B20</f>
        <v>Civil Engineering</v>
      </c>
      <c r="C24" s="143"/>
      <c r="D24" s="104">
        <f>SUM('SCHEDULE OF VALUE WORKSHEET'!E20)</f>
        <v>0</v>
      </c>
      <c r="E24" s="105">
        <v>0</v>
      </c>
      <c r="F24" s="104">
        <f t="shared" si="1"/>
        <v>0</v>
      </c>
      <c r="G24" s="109">
        <f t="shared" si="2"/>
        <v>0</v>
      </c>
      <c r="H24" s="110">
        <v>0</v>
      </c>
      <c r="I24" s="109">
        <f t="shared" si="3"/>
        <v>0</v>
      </c>
      <c r="J24" s="108" t="str">
        <f t="shared" si="4"/>
        <v/>
      </c>
      <c r="K24" s="9"/>
      <c r="L24" s="9"/>
    </row>
    <row r="25" spans="1:12" ht="14.1" customHeight="1">
      <c r="A25" s="4">
        <f>'SCHEDULE OF VALUE WORKSHEET'!A21</f>
        <v>15</v>
      </c>
      <c r="B25" s="142" t="str">
        <f>'SCHEDULE OF VALUE WORKSHEET'!B21</f>
        <v>Grading Permit</v>
      </c>
      <c r="C25" s="143"/>
      <c r="D25" s="104">
        <f>SUM('SCHEDULE OF VALUE WORKSHEET'!E21)</f>
        <v>0</v>
      </c>
      <c r="E25" s="105">
        <v>0</v>
      </c>
      <c r="F25" s="104">
        <f t="shared" si="1"/>
        <v>0</v>
      </c>
      <c r="G25" s="109">
        <f t="shared" si="2"/>
        <v>0</v>
      </c>
      <c r="H25" s="110">
        <v>0</v>
      </c>
      <c r="I25" s="109">
        <f t="shared" si="3"/>
        <v>0</v>
      </c>
      <c r="J25" s="108" t="str">
        <f t="shared" si="4"/>
        <v/>
      </c>
      <c r="K25" s="9"/>
      <c r="L25" s="9"/>
    </row>
    <row r="26" spans="1:12" ht="14.1" customHeight="1">
      <c r="A26" s="4">
        <f>'SCHEDULE OF VALUE WORKSHEET'!A22</f>
        <v>16</v>
      </c>
      <c r="B26" s="142" t="str">
        <f>'SCHEDULE OF VALUE WORKSHEET'!B22</f>
        <v>Landscape Architect/Designer</v>
      </c>
      <c r="C26" s="143"/>
      <c r="D26" s="104">
        <f>SUM('SCHEDULE OF VALUE WORKSHEET'!E22)</f>
        <v>0</v>
      </c>
      <c r="E26" s="105">
        <v>0</v>
      </c>
      <c r="F26" s="104">
        <f t="shared" si="1"/>
        <v>0</v>
      </c>
      <c r="G26" s="109">
        <f t="shared" si="2"/>
        <v>0</v>
      </c>
      <c r="H26" s="110">
        <v>0</v>
      </c>
      <c r="I26" s="109">
        <f t="shared" si="3"/>
        <v>0</v>
      </c>
      <c r="J26" s="108" t="str">
        <f t="shared" si="4"/>
        <v/>
      </c>
      <c r="K26" s="9"/>
      <c r="L26" s="9"/>
    </row>
    <row r="27" spans="1:12" ht="14.1" customHeight="1">
      <c r="A27" s="4">
        <f>'SCHEDULE OF VALUE WORKSHEET'!A23</f>
        <v>17</v>
      </c>
      <c r="B27" s="142" t="str">
        <f>'SCHEDULE OF VALUE WORKSHEET'!B23</f>
        <v>Driveway Apron Permit</v>
      </c>
      <c r="C27" s="143"/>
      <c r="D27" s="104">
        <f>SUM('SCHEDULE OF VALUE WORKSHEET'!E23)</f>
        <v>2500</v>
      </c>
      <c r="E27" s="105">
        <v>0</v>
      </c>
      <c r="F27" s="104">
        <f t="shared" si="1"/>
        <v>2500</v>
      </c>
      <c r="G27" s="109">
        <f t="shared" si="2"/>
        <v>2500</v>
      </c>
      <c r="H27" s="110">
        <v>0</v>
      </c>
      <c r="I27" s="109">
        <f t="shared" si="3"/>
        <v>0</v>
      </c>
      <c r="J27" s="108" t="str">
        <f t="shared" si="4"/>
        <v/>
      </c>
      <c r="K27" s="9"/>
      <c r="L27" s="9"/>
    </row>
    <row r="28" spans="1:12" ht="14.1" customHeight="1">
      <c r="A28" s="4">
        <f>'SCHEDULE OF VALUE WORKSHEET'!A24</f>
        <v>18</v>
      </c>
      <c r="B28" s="142" t="str">
        <f>'SCHEDULE OF VALUE WORKSHEET'!B24</f>
        <v>Punch List - Misc.</v>
      </c>
      <c r="C28" s="143"/>
      <c r="D28" s="104">
        <f>SUM('SCHEDULE OF VALUE WORKSHEET'!E24)</f>
        <v>21962.77</v>
      </c>
      <c r="E28" s="105">
        <v>0</v>
      </c>
      <c r="F28" s="104">
        <f t="shared" si="1"/>
        <v>21962.77</v>
      </c>
      <c r="G28" s="109">
        <f t="shared" si="2"/>
        <v>21962.77</v>
      </c>
      <c r="H28" s="110">
        <v>0</v>
      </c>
      <c r="I28" s="109">
        <f t="shared" si="3"/>
        <v>0</v>
      </c>
      <c r="J28" s="108" t="str">
        <f t="shared" si="4"/>
        <v/>
      </c>
      <c r="K28" s="9"/>
      <c r="L28" s="9"/>
    </row>
    <row r="29" spans="1:12" ht="14.1" customHeight="1">
      <c r="A29" s="4">
        <f>'SCHEDULE OF VALUE WORKSHEET'!A25</f>
        <v>19</v>
      </c>
      <c r="B29" s="142" t="str">
        <f>'SCHEDULE OF VALUE WORKSHEET'!B25</f>
        <v>EBM, Low Voltage, Landscape, Waterproofing CA</v>
      </c>
      <c r="C29" s="143"/>
      <c r="D29" s="104">
        <f>SUM('SCHEDULE OF VALUE WORKSHEET'!E25)</f>
        <v>0</v>
      </c>
      <c r="E29" s="105">
        <v>0</v>
      </c>
      <c r="F29" s="104">
        <f t="shared" si="1"/>
        <v>0</v>
      </c>
      <c r="G29" s="109">
        <f t="shared" si="2"/>
        <v>0</v>
      </c>
      <c r="H29" s="110">
        <v>0</v>
      </c>
      <c r="I29" s="109">
        <f t="shared" si="3"/>
        <v>0</v>
      </c>
      <c r="J29" s="108" t="str">
        <f t="shared" si="4"/>
        <v/>
      </c>
      <c r="K29" s="9"/>
      <c r="L29" s="9"/>
    </row>
    <row r="30" spans="1:12" ht="14.1" customHeight="1">
      <c r="A30" s="4">
        <f>'SCHEDULE OF VALUE WORKSHEET'!A26</f>
        <v>20</v>
      </c>
      <c r="B30" s="142" t="str">
        <f>'SCHEDULE OF VALUE WORKSHEET'!B26</f>
        <v>Project Accounting/Tax Filing</v>
      </c>
      <c r="C30" s="143"/>
      <c r="D30" s="104">
        <f>SUM('SCHEDULE OF VALUE WORKSHEET'!E26)</f>
        <v>12994.01</v>
      </c>
      <c r="E30" s="105">
        <v>0</v>
      </c>
      <c r="F30" s="104">
        <f t="shared" si="1"/>
        <v>12994.01</v>
      </c>
      <c r="G30" s="109">
        <f t="shared" si="2"/>
        <v>12994.01</v>
      </c>
      <c r="H30" s="110">
        <v>0</v>
      </c>
      <c r="I30" s="109">
        <f t="shared" si="3"/>
        <v>0</v>
      </c>
      <c r="J30" s="108" t="str">
        <f t="shared" si="4"/>
        <v/>
      </c>
      <c r="K30" s="9"/>
      <c r="L30" s="9"/>
    </row>
    <row r="31" spans="1:12" ht="14.1" customHeight="1">
      <c r="A31" s="4">
        <f>'SCHEDULE OF VALUE WORKSHEET'!A27</f>
        <v>21</v>
      </c>
      <c r="B31" s="142" t="str">
        <f>'SCHEDULE OF VALUE WORKSHEET'!B27</f>
        <v>Legal &amp; Professional Fees</v>
      </c>
      <c r="C31" s="143"/>
      <c r="D31" s="104">
        <f>SUM('SCHEDULE OF VALUE WORKSHEET'!E27)</f>
        <v>873.38999999999942</v>
      </c>
      <c r="E31" s="105">
        <v>0</v>
      </c>
      <c r="F31" s="104">
        <f t="shared" si="1"/>
        <v>873.38999999999942</v>
      </c>
      <c r="G31" s="109">
        <f t="shared" si="2"/>
        <v>873.38999999999942</v>
      </c>
      <c r="H31" s="110">
        <v>0</v>
      </c>
      <c r="I31" s="109">
        <f t="shared" si="3"/>
        <v>0</v>
      </c>
      <c r="J31" s="108" t="str">
        <f t="shared" si="4"/>
        <v/>
      </c>
      <c r="K31" s="9"/>
      <c r="L31" s="9"/>
    </row>
    <row r="32" spans="1:12" ht="14.1" customHeight="1">
      <c r="A32" s="4">
        <f>'SCHEDULE OF VALUE WORKSHEET'!A28</f>
        <v>22</v>
      </c>
      <c r="B32" s="142" t="str">
        <f>'SCHEDULE OF VALUE WORKSHEET'!B28</f>
        <v>Sewer CCTV and inspection</v>
      </c>
      <c r="C32" s="143"/>
      <c r="D32" s="104">
        <f>SUM('SCHEDULE OF VALUE WORKSHEET'!E28)</f>
        <v>0</v>
      </c>
      <c r="E32" s="105">
        <v>0</v>
      </c>
      <c r="F32" s="104">
        <f t="shared" si="1"/>
        <v>0</v>
      </c>
      <c r="G32" s="109">
        <f t="shared" si="2"/>
        <v>0</v>
      </c>
      <c r="H32" s="110">
        <v>0</v>
      </c>
      <c r="I32" s="109">
        <f t="shared" si="3"/>
        <v>0</v>
      </c>
      <c r="J32" s="108" t="str">
        <f t="shared" si="4"/>
        <v/>
      </c>
      <c r="K32" s="9"/>
      <c r="L32" s="9"/>
    </row>
    <row r="33" spans="1:12" ht="14.1" customHeight="1">
      <c r="A33" s="4">
        <f>'SCHEDULE OF VALUE WORKSHEET'!A29</f>
        <v>23</v>
      </c>
      <c r="B33" s="142" t="str">
        <f>'SCHEDULE OF VALUE WORKSHEET'!B29</f>
        <v>Environmental Phase I</v>
      </c>
      <c r="C33" s="143"/>
      <c r="D33" s="104">
        <f>SUM('SCHEDULE OF VALUE WORKSHEET'!E29)</f>
        <v>0</v>
      </c>
      <c r="E33" s="105">
        <v>0</v>
      </c>
      <c r="F33" s="104">
        <f t="shared" si="1"/>
        <v>0</v>
      </c>
      <c r="G33" s="109">
        <f t="shared" si="2"/>
        <v>0</v>
      </c>
      <c r="H33" s="110">
        <v>0</v>
      </c>
      <c r="I33" s="109">
        <f t="shared" si="3"/>
        <v>0</v>
      </c>
      <c r="J33" s="108" t="str">
        <f t="shared" si="4"/>
        <v/>
      </c>
      <c r="K33" s="9"/>
      <c r="L33" s="9"/>
    </row>
    <row r="34" spans="1:12" ht="14.1" customHeight="1">
      <c r="A34" s="4">
        <f>'SCHEDULE OF VALUE WORKSHEET'!A30</f>
        <v>24</v>
      </c>
      <c r="B34" s="142" t="str">
        <f>'SCHEDULE OF VALUE WORKSHEET'!B30</f>
        <v>Dry Utility Consultant</v>
      </c>
      <c r="C34" s="143"/>
      <c r="D34" s="104">
        <f>SUM('SCHEDULE OF VALUE WORKSHEET'!E30)</f>
        <v>0</v>
      </c>
      <c r="E34" s="105">
        <v>0</v>
      </c>
      <c r="F34" s="104">
        <f t="shared" si="1"/>
        <v>0</v>
      </c>
      <c r="G34" s="109">
        <f t="shared" si="2"/>
        <v>0</v>
      </c>
      <c r="H34" s="110">
        <v>0</v>
      </c>
      <c r="I34" s="109">
        <f t="shared" si="3"/>
        <v>0</v>
      </c>
      <c r="J34" s="108" t="str">
        <f t="shared" si="4"/>
        <v/>
      </c>
      <c r="K34" s="9"/>
      <c r="L34" s="9"/>
    </row>
    <row r="35" spans="1:12" ht="14.1" customHeight="1">
      <c r="A35" s="4">
        <f>'SCHEDULE OF VALUE WORKSHEET'!A31</f>
        <v>25</v>
      </c>
      <c r="B35" s="142" t="str">
        <f>'SCHEDULE OF VALUE WORKSHEET'!B31</f>
        <v>Dry Utility Survey</v>
      </c>
      <c r="C35" s="143"/>
      <c r="D35" s="104">
        <f>SUM('SCHEDULE OF VALUE WORKSHEET'!E31)</f>
        <v>5000</v>
      </c>
      <c r="E35" s="105">
        <v>0</v>
      </c>
      <c r="F35" s="104">
        <f t="shared" si="1"/>
        <v>5000</v>
      </c>
      <c r="G35" s="109">
        <f t="shared" si="2"/>
        <v>5000</v>
      </c>
      <c r="H35" s="110">
        <v>0</v>
      </c>
      <c r="I35" s="109">
        <f t="shared" si="3"/>
        <v>0</v>
      </c>
      <c r="J35" s="108" t="str">
        <f t="shared" si="4"/>
        <v/>
      </c>
      <c r="K35" s="9"/>
      <c r="L35" s="9"/>
    </row>
    <row r="36" spans="1:12" ht="14.1" customHeight="1">
      <c r="A36" s="4">
        <f>'SCHEDULE OF VALUE WORKSHEET'!A32</f>
        <v>26</v>
      </c>
      <c r="B36" s="142" t="str">
        <f>'SCHEDULE OF VALUE WORKSHEET'!B32</f>
        <v>MEP</v>
      </c>
      <c r="C36" s="143"/>
      <c r="D36" s="104">
        <f>SUM('SCHEDULE OF VALUE WORKSHEET'!E32)</f>
        <v>0</v>
      </c>
      <c r="E36" s="105">
        <v>0</v>
      </c>
      <c r="F36" s="104">
        <f t="shared" si="1"/>
        <v>0</v>
      </c>
      <c r="G36" s="109">
        <f t="shared" si="2"/>
        <v>0</v>
      </c>
      <c r="H36" s="110">
        <v>0</v>
      </c>
      <c r="I36" s="109">
        <f t="shared" si="3"/>
        <v>0</v>
      </c>
      <c r="J36" s="108" t="str">
        <f t="shared" si="4"/>
        <v/>
      </c>
      <c r="K36" s="9"/>
      <c r="L36" s="9"/>
    </row>
    <row r="37" spans="1:12" ht="14.1" customHeight="1">
      <c r="A37" s="4">
        <f>'SCHEDULE OF VALUE WORKSHEET'!A33</f>
        <v>27</v>
      </c>
      <c r="B37" s="142" t="str">
        <f>'SCHEDULE OF VALUE WORKSHEET'!B33</f>
        <v>Civil Construction Administration</v>
      </c>
      <c r="C37" s="143"/>
      <c r="D37" s="104">
        <f>SUM('SCHEDULE OF VALUE WORKSHEET'!E33)</f>
        <v>5000</v>
      </c>
      <c r="E37" s="105">
        <v>0</v>
      </c>
      <c r="F37" s="104">
        <f t="shared" si="1"/>
        <v>5000</v>
      </c>
      <c r="G37" s="109">
        <f t="shared" si="2"/>
        <v>5000</v>
      </c>
      <c r="H37" s="110">
        <v>0</v>
      </c>
      <c r="I37" s="109">
        <f t="shared" si="3"/>
        <v>0</v>
      </c>
      <c r="J37" s="108" t="str">
        <f t="shared" si="4"/>
        <v/>
      </c>
      <c r="K37" s="9"/>
      <c r="L37" s="9"/>
    </row>
    <row r="38" spans="1:12" ht="14.1" customHeight="1">
      <c r="A38" s="4">
        <f>'SCHEDULE OF VALUE WORKSHEET'!A34</f>
        <v>28</v>
      </c>
      <c r="B38" s="142" t="str">
        <f>'SCHEDULE OF VALUE WORKSHEET'!B34</f>
        <v>Permit Clearances &amp; Agency Reviews</v>
      </c>
      <c r="C38" s="143"/>
      <c r="D38" s="104">
        <f>SUM('SCHEDULE OF VALUE WORKSHEET'!E34)</f>
        <v>0</v>
      </c>
      <c r="E38" s="105">
        <v>0</v>
      </c>
      <c r="F38" s="104">
        <f t="shared" si="1"/>
        <v>0</v>
      </c>
      <c r="G38" s="109">
        <f t="shared" si="2"/>
        <v>0</v>
      </c>
      <c r="H38" s="110">
        <v>0</v>
      </c>
      <c r="I38" s="109">
        <f t="shared" si="3"/>
        <v>0</v>
      </c>
      <c r="J38" s="108" t="str">
        <f t="shared" si="4"/>
        <v/>
      </c>
      <c r="K38" s="9"/>
      <c r="L38" s="9"/>
    </row>
    <row r="39" spans="1:12" ht="14.1" customHeight="1">
      <c r="A39" s="4">
        <f>'SCHEDULE OF VALUE WORKSHEET'!A35</f>
        <v>29</v>
      </c>
      <c r="B39" s="142" t="str">
        <f>'SCHEDULE OF VALUE WORKSHEET'!B35</f>
        <v>Demo Permit Fees</v>
      </c>
      <c r="C39" s="143"/>
      <c r="D39" s="104">
        <f>SUM('SCHEDULE OF VALUE WORKSHEET'!E35)</f>
        <v>500</v>
      </c>
      <c r="E39" s="105">
        <v>0</v>
      </c>
      <c r="F39" s="104">
        <f t="shared" si="1"/>
        <v>500</v>
      </c>
      <c r="G39" s="109">
        <f t="shared" si="2"/>
        <v>500</v>
      </c>
      <c r="H39" s="110">
        <v>0</v>
      </c>
      <c r="I39" s="109">
        <f t="shared" si="3"/>
        <v>0</v>
      </c>
      <c r="J39" s="108" t="str">
        <f t="shared" si="4"/>
        <v/>
      </c>
      <c r="K39" s="9"/>
      <c r="L39" s="9"/>
    </row>
    <row r="40" spans="1:12" ht="14.1" customHeight="1">
      <c r="A40" s="4">
        <f>'SCHEDULE OF VALUE WORKSHEET'!A36</f>
        <v>30</v>
      </c>
      <c r="B40" s="142" t="str">
        <f>'SCHEDULE OF VALUE WORKSHEET'!B36</f>
        <v>MEP Fees</v>
      </c>
      <c r="C40" s="143"/>
      <c r="D40" s="104">
        <f>SUM('SCHEDULE OF VALUE WORKSHEET'!E36)</f>
        <v>0</v>
      </c>
      <c r="E40" s="105">
        <v>0</v>
      </c>
      <c r="F40" s="104">
        <f t="shared" si="1"/>
        <v>0</v>
      </c>
      <c r="G40" s="109">
        <f t="shared" si="2"/>
        <v>0</v>
      </c>
      <c r="H40" s="110">
        <v>0</v>
      </c>
      <c r="I40" s="109">
        <f t="shared" si="3"/>
        <v>0</v>
      </c>
      <c r="J40" s="108" t="str">
        <f t="shared" si="4"/>
        <v/>
      </c>
      <c r="K40" s="9"/>
      <c r="L40" s="9"/>
    </row>
    <row r="41" spans="1:12" ht="14.1" customHeight="1">
      <c r="A41" s="4">
        <f>'SCHEDULE OF VALUE WORKSHEET'!A37</f>
        <v>31</v>
      </c>
      <c r="B41" s="142" t="str">
        <f>'SCHEDULE OF VALUE WORKSHEET'!B37</f>
        <v>Agency Signoffs</v>
      </c>
      <c r="C41" s="143"/>
      <c r="D41" s="104">
        <f>SUM('SCHEDULE OF VALUE WORKSHEET'!E37)</f>
        <v>0</v>
      </c>
      <c r="E41" s="105">
        <v>0</v>
      </c>
      <c r="F41" s="104">
        <f t="shared" si="1"/>
        <v>0</v>
      </c>
      <c r="G41" s="109">
        <f t="shared" si="2"/>
        <v>0</v>
      </c>
      <c r="H41" s="110">
        <v>0</v>
      </c>
      <c r="I41" s="109">
        <f t="shared" si="3"/>
        <v>0</v>
      </c>
      <c r="J41" s="108" t="str">
        <f t="shared" si="4"/>
        <v/>
      </c>
      <c r="K41" s="9"/>
      <c r="L41" s="9"/>
    </row>
    <row r="42" spans="1:12" ht="14.1" customHeight="1">
      <c r="A42" s="4">
        <f>'SCHEDULE OF VALUE WORKSHEET'!A38</f>
        <v>32</v>
      </c>
      <c r="B42" s="142" t="str">
        <f>'SCHEDULE OF VALUE WORKSHEET'!B38</f>
        <v>Specifications Writer Consultant</v>
      </c>
      <c r="C42" s="143"/>
      <c r="D42" s="104">
        <f>SUM('SCHEDULE OF VALUE WORKSHEET'!E38)</f>
        <v>2000</v>
      </c>
      <c r="E42" s="105">
        <v>0</v>
      </c>
      <c r="F42" s="104">
        <f t="shared" si="1"/>
        <v>2000</v>
      </c>
      <c r="G42" s="109">
        <f t="shared" si="2"/>
        <v>2000</v>
      </c>
      <c r="H42" s="110">
        <v>0</v>
      </c>
      <c r="I42" s="109">
        <f t="shared" si="3"/>
        <v>0</v>
      </c>
      <c r="J42" s="108" t="str">
        <f t="shared" si="4"/>
        <v/>
      </c>
      <c r="K42" s="9"/>
      <c r="L42" s="9"/>
    </row>
    <row r="43" spans="1:12" ht="14.1" customHeight="1">
      <c r="A43" s="4">
        <f>'SCHEDULE OF VALUE WORKSHEET'!A39</f>
        <v>33</v>
      </c>
      <c r="B43" s="142" t="str">
        <f>'SCHEDULE OF VALUE WORKSHEET'!B39</f>
        <v>Construction Consultant</v>
      </c>
      <c r="C43" s="143"/>
      <c r="D43" s="104">
        <f>SUM('SCHEDULE OF VALUE WORKSHEET'!E39)</f>
        <v>0</v>
      </c>
      <c r="E43" s="105">
        <v>0</v>
      </c>
      <c r="F43" s="104">
        <f t="shared" si="1"/>
        <v>0</v>
      </c>
      <c r="G43" s="109">
        <f t="shared" si="2"/>
        <v>0</v>
      </c>
      <c r="H43" s="110">
        <v>0</v>
      </c>
      <c r="I43" s="109">
        <f t="shared" si="3"/>
        <v>0</v>
      </c>
      <c r="J43" s="108" t="str">
        <f t="shared" si="4"/>
        <v/>
      </c>
      <c r="K43" s="9"/>
      <c r="L43" s="9"/>
    </row>
    <row r="44" spans="1:12" ht="14.1" customHeight="1">
      <c r="A44" s="4">
        <f>'SCHEDULE OF VALUE WORKSHEET'!A40</f>
        <v>34</v>
      </c>
      <c r="B44" s="142" t="str">
        <f>'SCHEDULE OF VALUE WORKSHEET'!B40</f>
        <v>Low Voltage Consultant</v>
      </c>
      <c r="C44" s="143"/>
      <c r="D44" s="104">
        <f>SUM('SCHEDULE OF VALUE WORKSHEET'!E40)</f>
        <v>15524</v>
      </c>
      <c r="E44" s="105">
        <v>0</v>
      </c>
      <c r="F44" s="104">
        <f t="shared" si="1"/>
        <v>15524</v>
      </c>
      <c r="G44" s="109">
        <f t="shared" si="2"/>
        <v>15524</v>
      </c>
      <c r="H44" s="110">
        <v>0</v>
      </c>
      <c r="I44" s="109">
        <f t="shared" si="3"/>
        <v>0</v>
      </c>
      <c r="J44" s="108" t="str">
        <f t="shared" si="4"/>
        <v/>
      </c>
      <c r="K44" s="9"/>
      <c r="L44" s="9"/>
    </row>
    <row r="45" spans="1:12" ht="14.1" customHeight="1">
      <c r="A45" s="4">
        <f>'SCHEDULE OF VALUE WORKSHEET'!A41</f>
        <v>35</v>
      </c>
      <c r="B45" s="142" t="str">
        <f>'SCHEDULE OF VALUE WORKSHEET'!B41</f>
        <v>Photovoltaic Consultant</v>
      </c>
      <c r="C45" s="143"/>
      <c r="D45" s="104">
        <f>SUM('SCHEDULE OF VALUE WORKSHEET'!E41)</f>
        <v>5000</v>
      </c>
      <c r="E45" s="105">
        <v>0</v>
      </c>
      <c r="F45" s="104">
        <f t="shared" si="1"/>
        <v>5000</v>
      </c>
      <c r="G45" s="109">
        <f t="shared" si="2"/>
        <v>5000</v>
      </c>
      <c r="H45" s="110">
        <v>0</v>
      </c>
      <c r="I45" s="109">
        <f t="shared" si="3"/>
        <v>0</v>
      </c>
      <c r="J45" s="108" t="str">
        <f t="shared" si="4"/>
        <v/>
      </c>
      <c r="K45" s="9"/>
      <c r="L45" s="9"/>
    </row>
    <row r="46" spans="1:12" ht="14.1" customHeight="1">
      <c r="A46" s="4">
        <f>'SCHEDULE OF VALUE WORKSHEET'!A42</f>
        <v>36</v>
      </c>
      <c r="B46" s="142" t="str">
        <f>'SCHEDULE OF VALUE WORKSHEET'!B42</f>
        <v>Construction Management / Observation (OO)</v>
      </c>
      <c r="C46" s="143"/>
      <c r="D46" s="104">
        <f>SUM('SCHEDULE OF VALUE WORKSHEET'!E42)</f>
        <v>49427.9</v>
      </c>
      <c r="E46" s="105">
        <v>0</v>
      </c>
      <c r="F46" s="104">
        <f t="shared" si="1"/>
        <v>49427.9</v>
      </c>
      <c r="G46" s="109">
        <f t="shared" si="2"/>
        <v>49427.9</v>
      </c>
      <c r="H46" s="110">
        <v>0</v>
      </c>
      <c r="I46" s="109">
        <f t="shared" si="3"/>
        <v>0</v>
      </c>
      <c r="J46" s="108" t="str">
        <f t="shared" si="4"/>
        <v/>
      </c>
      <c r="K46" s="9"/>
      <c r="L46" s="9"/>
    </row>
    <row r="47" spans="1:12" ht="14.1" customHeight="1">
      <c r="A47" s="4" t="e">
        <f>'SCHEDULE OF VALUE WORKSHEET'!#REF!</f>
        <v>#REF!</v>
      </c>
      <c r="B47" s="142" t="e">
        <f>'SCHEDULE OF VALUE WORKSHEET'!#REF!</f>
        <v>#REF!</v>
      </c>
      <c r="C47" s="143"/>
      <c r="D47" s="104" t="e">
        <f>SUM('SCHEDULE OF VALUE WORKSHEET'!#REF!)</f>
        <v>#REF!</v>
      </c>
      <c r="E47" s="105">
        <v>0</v>
      </c>
      <c r="F47" s="104" t="e">
        <f t="shared" si="1"/>
        <v>#REF!</v>
      </c>
      <c r="G47" s="109" t="e">
        <f t="shared" si="2"/>
        <v>#REF!</v>
      </c>
      <c r="H47" s="110">
        <v>0</v>
      </c>
      <c r="I47" s="109">
        <f t="shared" si="3"/>
        <v>0</v>
      </c>
      <c r="J47" s="108" t="str">
        <f t="shared" si="4"/>
        <v/>
      </c>
      <c r="K47" s="9"/>
      <c r="L47" s="9"/>
    </row>
    <row r="48" spans="1:12" ht="14.1" customHeight="1">
      <c r="A48" s="4">
        <f>'SCHEDULE OF VALUE WORKSHEET'!A43</f>
        <v>37</v>
      </c>
      <c r="B48" s="142" t="str">
        <f>'SCHEDULE OF VALUE WORKSHEET'!B43</f>
        <v>CMFA Startup Fee</v>
      </c>
      <c r="C48" s="143"/>
      <c r="D48" s="104">
        <f>SUM('SCHEDULE OF VALUE WORKSHEET'!E43)</f>
        <v>22800</v>
      </c>
      <c r="E48" s="105">
        <v>0</v>
      </c>
      <c r="F48" s="104">
        <f t="shared" si="1"/>
        <v>22800</v>
      </c>
      <c r="G48" s="109">
        <f t="shared" si="2"/>
        <v>22800</v>
      </c>
      <c r="H48" s="110">
        <v>0</v>
      </c>
      <c r="I48" s="109">
        <f t="shared" si="3"/>
        <v>0</v>
      </c>
      <c r="J48" s="108" t="str">
        <f t="shared" si="4"/>
        <v/>
      </c>
      <c r="K48" s="9"/>
      <c r="L48" s="9"/>
    </row>
    <row r="49" spans="1:12" ht="14.1" customHeight="1">
      <c r="A49" s="4">
        <f>'SCHEDULE OF VALUE WORKSHEET'!A44</f>
        <v>38</v>
      </c>
      <c r="B49" s="142" t="str">
        <f>'SCHEDULE OF VALUE WORKSHEET'!B44</f>
        <v>Non-Profit Start Up Fee</v>
      </c>
      <c r="C49" s="143"/>
      <c r="D49" s="104">
        <f>SUM('SCHEDULE OF VALUE WORKSHEET'!E44)</f>
        <v>25000</v>
      </c>
      <c r="E49" s="105">
        <v>0</v>
      </c>
      <c r="F49" s="104">
        <f t="shared" si="1"/>
        <v>25000</v>
      </c>
      <c r="G49" s="109">
        <f t="shared" si="2"/>
        <v>25000</v>
      </c>
      <c r="H49" s="110">
        <v>0</v>
      </c>
      <c r="I49" s="109">
        <f t="shared" si="3"/>
        <v>0</v>
      </c>
      <c r="J49" s="108" t="str">
        <f t="shared" si="4"/>
        <v/>
      </c>
      <c r="K49" s="9"/>
      <c r="L49" s="9"/>
    </row>
    <row r="50" spans="1:12" ht="14.1" customHeight="1">
      <c r="A50" s="4">
        <f>'SCHEDULE OF VALUE WORKSHEET'!A45</f>
        <v>39</v>
      </c>
      <c r="B50" s="142" t="str">
        <f>'SCHEDULE OF VALUE WORKSHEET'!B45</f>
        <v>CMFA Construction Fee</v>
      </c>
      <c r="C50" s="143"/>
      <c r="D50" s="104">
        <f>SUM('SCHEDULE OF VALUE WORKSHEET'!E45)</f>
        <v>12000</v>
      </c>
      <c r="E50" s="105">
        <v>0</v>
      </c>
      <c r="F50" s="104">
        <f t="shared" si="1"/>
        <v>12000</v>
      </c>
      <c r="G50" s="109">
        <f t="shared" si="2"/>
        <v>12000</v>
      </c>
      <c r="H50" s="110">
        <v>0</v>
      </c>
      <c r="I50" s="109">
        <f t="shared" si="3"/>
        <v>0</v>
      </c>
      <c r="J50" s="108" t="str">
        <f t="shared" si="4"/>
        <v/>
      </c>
      <c r="K50" s="9"/>
      <c r="L50" s="9"/>
    </row>
    <row r="51" spans="1:12" ht="14.1" customHeight="1">
      <c r="A51" s="4">
        <f>'SCHEDULE OF VALUE WORKSHEET'!A46</f>
        <v>40</v>
      </c>
      <c r="B51" s="142" t="str">
        <f>'SCHEDULE OF VALUE WORKSHEET'!B46</f>
        <v>Non-Profit Construction Fee</v>
      </c>
      <c r="C51" s="143"/>
      <c r="D51" s="104">
        <f>SUM('SCHEDULE OF VALUE WORKSHEET'!E46)</f>
        <v>10000</v>
      </c>
      <c r="E51" s="105">
        <v>0</v>
      </c>
      <c r="F51" s="104">
        <f t="shared" si="1"/>
        <v>10000</v>
      </c>
      <c r="G51" s="109">
        <f t="shared" si="2"/>
        <v>10000</v>
      </c>
      <c r="H51" s="110">
        <v>0</v>
      </c>
      <c r="I51" s="109">
        <f t="shared" si="3"/>
        <v>0</v>
      </c>
      <c r="J51" s="108" t="str">
        <f t="shared" si="4"/>
        <v/>
      </c>
      <c r="K51" s="9"/>
      <c r="L51" s="9"/>
    </row>
    <row r="52" spans="1:12" ht="14.1" customHeight="1">
      <c r="A52" s="4">
        <f>'SCHEDULE OF VALUE WORKSHEET'!A47</f>
        <v>41</v>
      </c>
      <c r="B52" s="142" t="str">
        <f>'SCHEDULE OF VALUE WORKSHEET'!B47</f>
        <v>WTE Legal Costs for CMFA &amp; Non-Profit Partner</v>
      </c>
      <c r="C52" s="143"/>
      <c r="D52" s="104">
        <f>SUM('SCHEDULE OF VALUE WORKSHEET'!E47)</f>
        <v>20000</v>
      </c>
      <c r="E52" s="105">
        <v>0</v>
      </c>
      <c r="F52" s="104">
        <f t="shared" si="1"/>
        <v>20000</v>
      </c>
      <c r="G52" s="109">
        <f t="shared" si="2"/>
        <v>20000</v>
      </c>
      <c r="H52" s="110">
        <v>0</v>
      </c>
      <c r="I52" s="109">
        <f t="shared" si="3"/>
        <v>0</v>
      </c>
      <c r="J52" s="108" t="str">
        <f t="shared" si="4"/>
        <v/>
      </c>
      <c r="K52" s="9"/>
      <c r="L52" s="9"/>
    </row>
    <row r="53" spans="1:12" ht="14.1" customHeight="1">
      <c r="A53" s="4" t="e">
        <f>'SCHEDULE OF VALUE WORKSHEET'!#REF!</f>
        <v>#REF!</v>
      </c>
      <c r="B53" s="142" t="e">
        <f>'SCHEDULE OF VALUE WORKSHEET'!#REF!</f>
        <v>#REF!</v>
      </c>
      <c r="C53" s="143"/>
      <c r="D53" s="104" t="e">
        <f>SUM('SCHEDULE OF VALUE WORKSHEET'!#REF!)</f>
        <v>#REF!</v>
      </c>
      <c r="E53" s="105">
        <v>0</v>
      </c>
      <c r="F53" s="104" t="e">
        <f t="shared" si="1"/>
        <v>#REF!</v>
      </c>
      <c r="G53" s="109" t="e">
        <f t="shared" si="2"/>
        <v>#REF!</v>
      </c>
      <c r="H53" s="110">
        <v>0</v>
      </c>
      <c r="I53" s="109">
        <f t="shared" si="3"/>
        <v>0</v>
      </c>
      <c r="J53" s="108" t="str">
        <f t="shared" si="4"/>
        <v/>
      </c>
      <c r="K53" s="9"/>
      <c r="L53" s="9"/>
    </row>
    <row r="54" spans="1:12" ht="14.1" customHeight="1">
      <c r="A54" s="4">
        <f>'SCHEDULE OF VALUE WORKSHEET'!A49</f>
        <v>43</v>
      </c>
      <c r="B54" s="142" t="str">
        <f>'SCHEDULE OF VALUE WORKSHEET'!B49</f>
        <v>GENERAL CONDITIONS</v>
      </c>
      <c r="C54" s="143"/>
      <c r="D54" s="104">
        <f>SUM('SCHEDULE OF VALUE WORKSHEET'!E49)</f>
        <v>362115.24</v>
      </c>
      <c r="E54" s="105">
        <v>0</v>
      </c>
      <c r="F54" s="104">
        <f t="shared" si="1"/>
        <v>362115.24</v>
      </c>
      <c r="G54" s="109">
        <f t="shared" si="2"/>
        <v>362115.24</v>
      </c>
      <c r="H54" s="110">
        <v>0</v>
      </c>
      <c r="I54" s="109">
        <f t="shared" si="3"/>
        <v>0</v>
      </c>
      <c r="J54" s="108" t="str">
        <f t="shared" si="4"/>
        <v/>
      </c>
      <c r="K54" s="9"/>
      <c r="L54" s="9"/>
    </row>
    <row r="55" spans="1:12" ht="14.1" customHeight="1">
      <c r="A55" s="4">
        <f>'SCHEDULE OF VALUE WORKSHEET'!A50</f>
        <v>44</v>
      </c>
      <c r="B55" s="142" t="str">
        <f>'SCHEDULE OF VALUE WORKSHEET'!B50</f>
        <v>GENERAL REQUIREMENT</v>
      </c>
      <c r="C55" s="143"/>
      <c r="D55" s="104">
        <f>SUM('SCHEDULE OF VALUE WORKSHEET'!E50)</f>
        <v>124657.88</v>
      </c>
      <c r="E55" s="105">
        <v>0</v>
      </c>
      <c r="F55" s="104">
        <f t="shared" si="1"/>
        <v>124657.88</v>
      </c>
      <c r="G55" s="109">
        <f t="shared" si="2"/>
        <v>124657.88</v>
      </c>
      <c r="H55" s="110">
        <v>0</v>
      </c>
      <c r="I55" s="109">
        <f t="shared" si="3"/>
        <v>0</v>
      </c>
      <c r="J55" s="108" t="str">
        <f t="shared" si="4"/>
        <v/>
      </c>
      <c r="K55" s="9"/>
      <c r="L55" s="9"/>
    </row>
    <row r="56" spans="1:12" ht="14.1" customHeight="1">
      <c r="A56" s="4">
        <f>'SCHEDULE OF VALUE WORKSHEET'!A51</f>
        <v>45</v>
      </c>
      <c r="B56" s="142" t="str">
        <f>'SCHEDULE OF VALUE WORKSHEET'!B51</f>
        <v>SITE WORK</v>
      </c>
      <c r="C56" s="143"/>
      <c r="D56" s="104">
        <f>SUM('SCHEDULE OF VALUE WORKSHEET'!E51)</f>
        <v>139049.51</v>
      </c>
      <c r="E56" s="105">
        <v>0</v>
      </c>
      <c r="F56" s="104">
        <f t="shared" si="1"/>
        <v>139049.51</v>
      </c>
      <c r="G56" s="109">
        <f t="shared" si="2"/>
        <v>139049.51</v>
      </c>
      <c r="H56" s="110">
        <v>0</v>
      </c>
      <c r="I56" s="109">
        <f t="shared" si="3"/>
        <v>0</v>
      </c>
      <c r="J56" s="108" t="str">
        <f t="shared" si="4"/>
        <v/>
      </c>
      <c r="K56" s="9"/>
      <c r="L56" s="9"/>
    </row>
    <row r="57" spans="1:12" ht="14.1" customHeight="1">
      <c r="A57" s="4">
        <f>'SCHEDULE OF VALUE WORKSHEET'!A52</f>
        <v>46</v>
      </c>
      <c r="B57" s="142" t="str">
        <f>'SCHEDULE OF VALUE WORKSHEET'!B52</f>
        <v>CONCRETE</v>
      </c>
      <c r="C57" s="143"/>
      <c r="D57" s="104">
        <f>SUM('SCHEDULE OF VALUE WORKSHEET'!E52)</f>
        <v>253182</v>
      </c>
      <c r="E57" s="105">
        <v>0</v>
      </c>
      <c r="F57" s="104">
        <f t="shared" si="1"/>
        <v>253182</v>
      </c>
      <c r="G57" s="109">
        <f t="shared" si="2"/>
        <v>253182</v>
      </c>
      <c r="H57" s="110">
        <v>0</v>
      </c>
      <c r="I57" s="109">
        <f t="shared" si="3"/>
        <v>0</v>
      </c>
      <c r="J57" s="108" t="str">
        <f t="shared" si="4"/>
        <v/>
      </c>
      <c r="K57" s="9"/>
      <c r="L57" s="9"/>
    </row>
    <row r="58" spans="1:12" ht="14.1" customHeight="1">
      <c r="A58" s="4">
        <f>'SCHEDULE OF VALUE WORKSHEET'!A53</f>
        <v>47</v>
      </c>
      <c r="B58" s="142" t="str">
        <f>'SCHEDULE OF VALUE WORKSHEET'!B53</f>
        <v>MASONRY</v>
      </c>
      <c r="C58" s="143"/>
      <c r="D58" s="104">
        <f>SUM('SCHEDULE OF VALUE WORKSHEET'!E53)</f>
        <v>3562.64</v>
      </c>
      <c r="E58" s="105">
        <v>0</v>
      </c>
      <c r="F58" s="104">
        <f t="shared" si="1"/>
        <v>3562.64</v>
      </c>
      <c r="G58" s="109">
        <f t="shared" si="2"/>
        <v>3562.64</v>
      </c>
      <c r="H58" s="110">
        <v>0</v>
      </c>
      <c r="I58" s="109">
        <f t="shared" si="3"/>
        <v>0</v>
      </c>
      <c r="J58" s="108" t="str">
        <f t="shared" si="4"/>
        <v/>
      </c>
      <c r="K58" s="9"/>
      <c r="L58" s="9"/>
    </row>
    <row r="59" spans="1:12" ht="14.1" customHeight="1">
      <c r="A59" s="4">
        <f>'SCHEDULE OF VALUE WORKSHEET'!A54</f>
        <v>48</v>
      </c>
      <c r="B59" s="142" t="str">
        <f>'SCHEDULE OF VALUE WORKSHEET'!B54</f>
        <v>METALS</v>
      </c>
      <c r="C59" s="143"/>
      <c r="D59" s="104">
        <f>SUM('SCHEDULE OF VALUE WORKSHEET'!E54)</f>
        <v>324100</v>
      </c>
      <c r="E59" s="105">
        <v>0</v>
      </c>
      <c r="F59" s="104">
        <f t="shared" si="1"/>
        <v>324100</v>
      </c>
      <c r="G59" s="109">
        <f t="shared" si="2"/>
        <v>324100</v>
      </c>
      <c r="H59" s="110">
        <v>0</v>
      </c>
      <c r="I59" s="109">
        <f t="shared" si="3"/>
        <v>0</v>
      </c>
      <c r="J59" s="108" t="str">
        <f t="shared" si="4"/>
        <v/>
      </c>
      <c r="K59" s="9"/>
      <c r="L59" s="9"/>
    </row>
    <row r="60" spans="1:12" ht="14.1" customHeight="1">
      <c r="A60" s="4">
        <f>'SCHEDULE OF VALUE WORKSHEET'!A55</f>
        <v>49</v>
      </c>
      <c r="B60" s="142" t="str">
        <f>'SCHEDULE OF VALUE WORKSHEET'!B55</f>
        <v>FRAMING</v>
      </c>
      <c r="C60" s="143"/>
      <c r="D60" s="104">
        <f>SUM('SCHEDULE OF VALUE WORKSHEET'!E55)</f>
        <v>818554</v>
      </c>
      <c r="E60" s="105">
        <v>0</v>
      </c>
      <c r="F60" s="104">
        <f t="shared" si="1"/>
        <v>818554</v>
      </c>
      <c r="G60" s="109">
        <f t="shared" si="2"/>
        <v>818554</v>
      </c>
      <c r="H60" s="110">
        <v>0</v>
      </c>
      <c r="I60" s="109">
        <f t="shared" si="3"/>
        <v>0</v>
      </c>
      <c r="J60" s="108" t="str">
        <f t="shared" si="4"/>
        <v/>
      </c>
      <c r="K60" s="9"/>
      <c r="L60" s="9"/>
    </row>
    <row r="61" spans="1:12" ht="14.1" customHeight="1">
      <c r="A61" s="4">
        <f>'SCHEDULE OF VALUE WORKSHEET'!A56</f>
        <v>50</v>
      </c>
      <c r="B61" s="142" t="str">
        <f>'SCHEDULE OF VALUE WORKSHEET'!B56</f>
        <v>COUNTERTOPS</v>
      </c>
      <c r="C61" s="143"/>
      <c r="D61" s="104">
        <f>SUM('SCHEDULE OF VALUE WORKSHEET'!E56)</f>
        <v>56930</v>
      </c>
      <c r="E61" s="105">
        <v>0</v>
      </c>
      <c r="F61" s="104">
        <f t="shared" si="1"/>
        <v>56930</v>
      </c>
      <c r="G61" s="109">
        <f t="shared" si="2"/>
        <v>56930</v>
      </c>
      <c r="H61" s="110">
        <v>0</v>
      </c>
      <c r="I61" s="109">
        <f t="shared" si="3"/>
        <v>0</v>
      </c>
      <c r="J61" s="108" t="str">
        <f t="shared" si="4"/>
        <v/>
      </c>
      <c r="K61" s="9"/>
      <c r="L61" s="9"/>
    </row>
    <row r="62" spans="1:12" ht="14.1" customHeight="1">
      <c r="A62" s="4">
        <f>'SCHEDULE OF VALUE WORKSHEET'!A57</f>
        <v>51</v>
      </c>
      <c r="B62" s="142" t="str">
        <f>'SCHEDULE OF VALUE WORKSHEET'!B57</f>
        <v>CABINETS</v>
      </c>
      <c r="C62" s="143"/>
      <c r="D62" s="104">
        <f>SUM('SCHEDULE OF VALUE WORKSHEET'!E57)</f>
        <v>56930</v>
      </c>
      <c r="E62" s="105">
        <v>0</v>
      </c>
      <c r="F62" s="104">
        <f t="shared" si="1"/>
        <v>56930</v>
      </c>
      <c r="G62" s="109">
        <f t="shared" si="2"/>
        <v>56930</v>
      </c>
      <c r="H62" s="110">
        <v>0</v>
      </c>
      <c r="I62" s="109">
        <f t="shared" si="3"/>
        <v>0</v>
      </c>
      <c r="J62" s="108" t="str">
        <f t="shared" si="4"/>
        <v/>
      </c>
      <c r="K62" s="9"/>
      <c r="L62" s="9"/>
    </row>
    <row r="63" spans="1:12" ht="14.1" customHeight="1">
      <c r="A63" s="4">
        <f>'SCHEDULE OF VALUE WORKSHEET'!A58</f>
        <v>52</v>
      </c>
      <c r="B63" s="142" t="str">
        <f>'SCHEDULE OF VALUE WORKSHEET'!B58</f>
        <v>THERMAL MOISTURE PROTECTION</v>
      </c>
      <c r="C63" s="143"/>
      <c r="D63" s="104">
        <f>SUM('SCHEDULE OF VALUE WORKSHEET'!E58)</f>
        <v>173148</v>
      </c>
      <c r="E63" s="105">
        <v>0</v>
      </c>
      <c r="F63" s="104">
        <f t="shared" si="1"/>
        <v>173148</v>
      </c>
      <c r="G63" s="109">
        <f t="shared" si="2"/>
        <v>173148</v>
      </c>
      <c r="H63" s="110">
        <v>0</v>
      </c>
      <c r="I63" s="109">
        <f t="shared" si="3"/>
        <v>0</v>
      </c>
      <c r="J63" s="108" t="str">
        <f t="shared" si="4"/>
        <v/>
      </c>
      <c r="K63" s="9"/>
      <c r="L63" s="9"/>
    </row>
    <row r="64" spans="1:12" ht="14.1" customHeight="1">
      <c r="A64" s="4">
        <f>'SCHEDULE OF VALUE WORKSHEET'!A59</f>
        <v>53</v>
      </c>
      <c r="B64" s="142" t="str">
        <f>'SCHEDULE OF VALUE WORKSHEET'!B59</f>
        <v>DOORS</v>
      </c>
      <c r="C64" s="143"/>
      <c r="D64" s="104">
        <f>SUM('SCHEDULE OF VALUE WORKSHEET'!E59)</f>
        <v>204087.33</v>
      </c>
      <c r="E64" s="105">
        <v>0</v>
      </c>
      <c r="F64" s="104">
        <f t="shared" si="1"/>
        <v>204087.33</v>
      </c>
      <c r="G64" s="109">
        <f t="shared" si="2"/>
        <v>204087.33</v>
      </c>
      <c r="H64" s="110">
        <v>0</v>
      </c>
      <c r="I64" s="109">
        <f t="shared" si="3"/>
        <v>0</v>
      </c>
      <c r="J64" s="108" t="str">
        <f t="shared" si="4"/>
        <v/>
      </c>
      <c r="K64" s="9"/>
      <c r="L64" s="9"/>
    </row>
    <row r="65" spans="1:12" ht="14.1" customHeight="1">
      <c r="A65" s="4">
        <f>'SCHEDULE OF VALUE WORKSHEET'!A60</f>
        <v>54</v>
      </c>
      <c r="B65" s="142" t="str">
        <f>'SCHEDULE OF VALUE WORKSHEET'!B60</f>
        <v>WINDOWS</v>
      </c>
      <c r="C65" s="143"/>
      <c r="D65" s="104">
        <f>SUM('SCHEDULE OF VALUE WORKSHEET'!E60)</f>
        <v>106274.25</v>
      </c>
      <c r="E65" s="105">
        <v>0</v>
      </c>
      <c r="F65" s="104">
        <f t="shared" si="1"/>
        <v>106274.25</v>
      </c>
      <c r="G65" s="109">
        <f t="shared" si="2"/>
        <v>106274.25</v>
      </c>
      <c r="H65" s="110">
        <v>0</v>
      </c>
      <c r="I65" s="109">
        <f t="shared" si="3"/>
        <v>0</v>
      </c>
      <c r="J65" s="108" t="str">
        <f t="shared" si="4"/>
        <v/>
      </c>
      <c r="K65" s="9"/>
      <c r="L65" s="9"/>
    </row>
    <row r="66" spans="1:12" ht="14.1" customHeight="1">
      <c r="A66" s="4">
        <f>'SCHEDULE OF VALUE WORKSHEET'!A61</f>
        <v>55</v>
      </c>
      <c r="B66" s="142" t="str">
        <f>'SCHEDULE OF VALUE WORKSHEET'!B61</f>
        <v>STUCCO</v>
      </c>
      <c r="C66" s="143"/>
      <c r="D66" s="104">
        <f>SUM('SCHEDULE OF VALUE WORKSHEET'!E61)</f>
        <v>208002</v>
      </c>
      <c r="E66" s="105">
        <v>0</v>
      </c>
      <c r="F66" s="104">
        <f t="shared" si="1"/>
        <v>208002</v>
      </c>
      <c r="G66" s="109">
        <f t="shared" si="2"/>
        <v>208002</v>
      </c>
      <c r="H66" s="110">
        <v>0</v>
      </c>
      <c r="I66" s="109">
        <f t="shared" si="3"/>
        <v>0</v>
      </c>
      <c r="J66" s="108" t="str">
        <f t="shared" si="4"/>
        <v/>
      </c>
      <c r="K66" s="9"/>
      <c r="L66" s="9"/>
    </row>
    <row r="67" spans="1:12" ht="14.1" customHeight="1">
      <c r="A67" s="4">
        <f>'SCHEDULE OF VALUE WORKSHEET'!A62</f>
        <v>56</v>
      </c>
      <c r="B67" s="142" t="str">
        <f>'SCHEDULE OF VALUE WORKSHEET'!B62</f>
        <v>DRYWALL</v>
      </c>
      <c r="C67" s="143"/>
      <c r="D67" s="104">
        <f>SUM('SCHEDULE OF VALUE WORKSHEET'!E62)</f>
        <v>416355</v>
      </c>
      <c r="E67" s="105">
        <v>0</v>
      </c>
      <c r="F67" s="104">
        <f t="shared" si="1"/>
        <v>416355</v>
      </c>
      <c r="G67" s="109">
        <f t="shared" si="2"/>
        <v>416355</v>
      </c>
      <c r="H67" s="110">
        <v>0</v>
      </c>
      <c r="I67" s="109">
        <f t="shared" si="3"/>
        <v>0</v>
      </c>
      <c r="J67" s="108" t="str">
        <f t="shared" si="4"/>
        <v/>
      </c>
      <c r="K67" s="9"/>
      <c r="L67" s="9"/>
    </row>
    <row r="68" spans="1:12" ht="14.1" customHeight="1">
      <c r="A68" s="4">
        <f>'SCHEDULE OF VALUE WORKSHEET'!A63</f>
        <v>57</v>
      </c>
      <c r="B68" s="142" t="str">
        <f>'SCHEDULE OF VALUE WORKSHEET'!B63</f>
        <v>PAINTING</v>
      </c>
      <c r="C68" s="143"/>
      <c r="D68" s="104">
        <f>SUM('SCHEDULE OF VALUE WORKSHEET'!E63)</f>
        <v>120700</v>
      </c>
      <c r="E68" s="105">
        <v>0</v>
      </c>
      <c r="F68" s="104">
        <f t="shared" si="1"/>
        <v>120700</v>
      </c>
      <c r="G68" s="109">
        <f t="shared" si="2"/>
        <v>120700</v>
      </c>
      <c r="H68" s="110">
        <v>0</v>
      </c>
      <c r="I68" s="109">
        <f t="shared" si="3"/>
        <v>0</v>
      </c>
      <c r="J68" s="108" t="str">
        <f t="shared" si="4"/>
        <v/>
      </c>
      <c r="K68" s="9"/>
      <c r="L68" s="9"/>
    </row>
    <row r="69" spans="1:12" ht="14.1" customHeight="1">
      <c r="A69" s="4">
        <f>'SCHEDULE OF VALUE WORKSHEET'!A64</f>
        <v>58</v>
      </c>
      <c r="B69" s="142" t="str">
        <f>'SCHEDULE OF VALUE WORKSHEET'!B64</f>
        <v>FLOORING - common areas</v>
      </c>
      <c r="C69" s="143"/>
      <c r="D69" s="104">
        <f>SUM('SCHEDULE OF VALUE WORKSHEET'!E64)</f>
        <v>45150</v>
      </c>
      <c r="E69" s="105">
        <v>0</v>
      </c>
      <c r="F69" s="104">
        <f t="shared" si="1"/>
        <v>45150</v>
      </c>
      <c r="G69" s="109">
        <f t="shared" si="2"/>
        <v>45150</v>
      </c>
      <c r="H69" s="110">
        <v>0</v>
      </c>
      <c r="I69" s="109">
        <f t="shared" si="3"/>
        <v>0</v>
      </c>
      <c r="J69" s="108" t="str">
        <f t="shared" si="4"/>
        <v/>
      </c>
      <c r="K69" s="9"/>
      <c r="L69" s="9"/>
    </row>
    <row r="70" spans="1:12" ht="14.1" customHeight="1">
      <c r="A70" s="4">
        <f>'SCHEDULE OF VALUE WORKSHEET'!A65</f>
        <v>59</v>
      </c>
      <c r="B70" s="142" t="str">
        <f>'SCHEDULE OF VALUE WORKSHEET'!B65</f>
        <v>FLOORING - Units with baseboards</v>
      </c>
      <c r="C70" s="143"/>
      <c r="D70" s="104">
        <f>SUM('SCHEDULE OF VALUE WORKSHEET'!E65)</f>
        <v>93335</v>
      </c>
      <c r="E70" s="105">
        <v>0</v>
      </c>
      <c r="F70" s="104">
        <f t="shared" si="1"/>
        <v>93335</v>
      </c>
      <c r="G70" s="109">
        <f t="shared" si="2"/>
        <v>93335</v>
      </c>
      <c r="H70" s="110">
        <v>0</v>
      </c>
      <c r="I70" s="109">
        <f t="shared" si="3"/>
        <v>0</v>
      </c>
      <c r="J70" s="108" t="str">
        <f t="shared" si="4"/>
        <v/>
      </c>
      <c r="K70" s="9"/>
      <c r="L70" s="9"/>
    </row>
    <row r="71" spans="1:12" ht="14.1" customHeight="1">
      <c r="A71" s="4">
        <f>'SCHEDULE OF VALUE WORKSHEET'!A66</f>
        <v>60</v>
      </c>
      <c r="B71" s="142" t="str">
        <f>'SCHEDULE OF VALUE WORKSHEET'!B66</f>
        <v>SPECIALTIES</v>
      </c>
      <c r="C71" s="143"/>
      <c r="D71" s="104">
        <f>SUM('SCHEDULE OF VALUE WORKSHEET'!E66)</f>
        <v>25109.21</v>
      </c>
      <c r="E71" s="105">
        <v>0</v>
      </c>
      <c r="F71" s="104">
        <f t="shared" si="1"/>
        <v>25109.21</v>
      </c>
      <c r="G71" s="109">
        <f t="shared" si="2"/>
        <v>25109.21</v>
      </c>
      <c r="H71" s="110">
        <v>0</v>
      </c>
      <c r="I71" s="109">
        <f t="shared" si="3"/>
        <v>0</v>
      </c>
      <c r="J71" s="108" t="str">
        <f t="shared" si="4"/>
        <v/>
      </c>
      <c r="K71" s="9"/>
      <c r="L71" s="9"/>
    </row>
    <row r="72" spans="1:12" ht="14.1" customHeight="1">
      <c r="A72" s="4">
        <f>'SCHEDULE OF VALUE WORKSHEET'!A67</f>
        <v>61</v>
      </c>
      <c r="B72" s="142" t="str">
        <f>'SCHEDULE OF VALUE WORKSHEET'!B67</f>
        <v>EQUIPMENT</v>
      </c>
      <c r="C72" s="143"/>
      <c r="D72" s="104">
        <f>SUM('SCHEDULE OF VALUE WORKSHEET'!E67)</f>
        <v>153636</v>
      </c>
      <c r="E72" s="105">
        <v>0</v>
      </c>
      <c r="F72" s="104">
        <f t="shared" si="1"/>
        <v>153636</v>
      </c>
      <c r="G72" s="109">
        <f t="shared" si="2"/>
        <v>153636</v>
      </c>
      <c r="H72" s="110">
        <v>0</v>
      </c>
      <c r="I72" s="109">
        <f t="shared" si="3"/>
        <v>0</v>
      </c>
      <c r="J72" s="108" t="str">
        <f t="shared" si="4"/>
        <v/>
      </c>
      <c r="K72" s="9"/>
      <c r="L72" s="9"/>
    </row>
    <row r="73" spans="1:12" ht="14.1" customHeight="1">
      <c r="A73" s="4">
        <f>'SCHEDULE OF VALUE WORKSHEET'!A68</f>
        <v>62</v>
      </c>
      <c r="B73" s="142" t="str">
        <f>'SCHEDULE OF VALUE WORKSHEET'!B68</f>
        <v>FURNISHING</v>
      </c>
      <c r="C73" s="143"/>
      <c r="D73" s="104">
        <f>SUM('SCHEDULE OF VALUE WORKSHEET'!E68)</f>
        <v>0</v>
      </c>
      <c r="E73" s="105">
        <v>0</v>
      </c>
      <c r="F73" s="104">
        <f t="shared" si="1"/>
        <v>0</v>
      </c>
      <c r="G73" s="109">
        <f t="shared" si="2"/>
        <v>0</v>
      </c>
      <c r="H73" s="110">
        <v>0</v>
      </c>
      <c r="I73" s="109">
        <f t="shared" si="3"/>
        <v>0</v>
      </c>
      <c r="J73" s="108" t="str">
        <f t="shared" si="4"/>
        <v/>
      </c>
      <c r="K73" s="9"/>
      <c r="L73" s="9"/>
    </row>
    <row r="74" spans="1:12" ht="14.1" customHeight="1">
      <c r="A74" s="4">
        <f>'SCHEDULE OF VALUE WORKSHEET'!A69</f>
        <v>63</v>
      </c>
      <c r="B74" s="142" t="str">
        <f>'SCHEDULE OF VALUE WORKSHEET'!B69</f>
        <v>FIRE SPRINKLERS</v>
      </c>
      <c r="C74" s="143"/>
      <c r="D74" s="104">
        <f>SUM('SCHEDULE OF VALUE WORKSHEET'!E69)</f>
        <v>108500</v>
      </c>
      <c r="E74" s="105">
        <v>0</v>
      </c>
      <c r="F74" s="104">
        <f t="shared" si="1"/>
        <v>108500</v>
      </c>
      <c r="G74" s="109">
        <f t="shared" si="2"/>
        <v>108500</v>
      </c>
      <c r="H74" s="110">
        <v>0</v>
      </c>
      <c r="I74" s="109">
        <f t="shared" si="3"/>
        <v>0</v>
      </c>
      <c r="J74" s="108" t="str">
        <f t="shared" si="4"/>
        <v/>
      </c>
      <c r="K74" s="9"/>
      <c r="L74" s="9"/>
    </row>
    <row r="75" spans="1:12" ht="14.1" customHeight="1">
      <c r="A75" s="4">
        <f>'SCHEDULE OF VALUE WORKSHEET'!A70</f>
        <v>64</v>
      </c>
      <c r="B75" s="142" t="str">
        <f>'SCHEDULE OF VALUE WORKSHEET'!B70</f>
        <v>FIRE ALARM</v>
      </c>
      <c r="C75" s="143"/>
      <c r="D75" s="104">
        <f>SUM('SCHEDULE OF VALUE WORKSHEET'!E70)</f>
        <v>68401</v>
      </c>
      <c r="E75" s="105">
        <v>0</v>
      </c>
      <c r="F75" s="104">
        <f t="shared" si="1"/>
        <v>68401</v>
      </c>
      <c r="G75" s="109">
        <f t="shared" si="2"/>
        <v>68401</v>
      </c>
      <c r="H75" s="110">
        <v>0</v>
      </c>
      <c r="I75" s="109">
        <f t="shared" si="3"/>
        <v>0</v>
      </c>
      <c r="J75" s="108" t="str">
        <f t="shared" si="4"/>
        <v/>
      </c>
      <c r="K75" s="9"/>
      <c r="L75" s="9"/>
    </row>
    <row r="76" spans="1:12" ht="14.1" customHeight="1">
      <c r="A76" s="4">
        <f>'SCHEDULE OF VALUE WORKSHEET'!A71</f>
        <v>65</v>
      </c>
      <c r="B76" s="142" t="str">
        <f>'SCHEDULE OF VALUE WORKSHEET'!B71</f>
        <v>SOLAR PANELS</v>
      </c>
      <c r="C76" s="143"/>
      <c r="D76" s="104">
        <f>SUM('SCHEDULE OF VALUE WORKSHEET'!E71)</f>
        <v>97000</v>
      </c>
      <c r="E76" s="105">
        <v>0</v>
      </c>
      <c r="F76" s="104">
        <f t="shared" ref="F76:F136" si="5">SUM(D76)+E76</f>
        <v>97000</v>
      </c>
      <c r="G76" s="109">
        <f t="shared" ref="G76:G136" si="6">SUM(F76-I76)</f>
        <v>97000</v>
      </c>
      <c r="H76" s="110">
        <v>0</v>
      </c>
      <c r="I76" s="109">
        <f t="shared" ref="I76:I136" si="7">SUM(H76)</f>
        <v>0</v>
      </c>
      <c r="J76" s="108" t="str">
        <f t="shared" ref="J76:J136" si="8">IF(I76=0,"",I76/F76)</f>
        <v/>
      </c>
      <c r="K76" s="9"/>
      <c r="L76" s="9"/>
    </row>
    <row r="77" spans="1:12" ht="14.1" customHeight="1">
      <c r="A77" s="4">
        <f>'SCHEDULE OF VALUE WORKSHEET'!A72</f>
        <v>66</v>
      </c>
      <c r="B77" s="142" t="str">
        <f>'SCHEDULE OF VALUE WORKSHEET'!B72</f>
        <v>SECURITY ACCESS &amp; SURVEILLANCE</v>
      </c>
      <c r="C77" s="143"/>
      <c r="D77" s="104">
        <f>SUM('SCHEDULE OF VALUE WORKSHEET'!E72)</f>
        <v>136430</v>
      </c>
      <c r="E77" s="105">
        <v>0</v>
      </c>
      <c r="F77" s="104">
        <f t="shared" si="5"/>
        <v>136430</v>
      </c>
      <c r="G77" s="109">
        <f t="shared" si="6"/>
        <v>136430</v>
      </c>
      <c r="H77" s="110">
        <v>0</v>
      </c>
      <c r="I77" s="109">
        <f t="shared" si="7"/>
        <v>0</v>
      </c>
      <c r="J77" s="108" t="str">
        <f t="shared" si="8"/>
        <v/>
      </c>
      <c r="K77" s="9"/>
      <c r="L77" s="9"/>
    </row>
    <row r="78" spans="1:12" ht="14.1" customHeight="1">
      <c r="A78" s="4">
        <f>'SCHEDULE OF VALUE WORKSHEET'!A73</f>
        <v>67</v>
      </c>
      <c r="B78" s="142" t="str">
        <f>'SCHEDULE OF VALUE WORKSHEET'!B73</f>
        <v>ELEVATORS &amp; LIFT</v>
      </c>
      <c r="C78" s="143"/>
      <c r="D78" s="104">
        <f>SUM('SCHEDULE OF VALUE WORKSHEET'!E73)</f>
        <v>174882</v>
      </c>
      <c r="E78" s="105">
        <v>0</v>
      </c>
      <c r="F78" s="104">
        <f t="shared" si="5"/>
        <v>174882</v>
      </c>
      <c r="G78" s="109">
        <f t="shared" si="6"/>
        <v>174882</v>
      </c>
      <c r="H78" s="110">
        <v>0</v>
      </c>
      <c r="I78" s="109">
        <f t="shared" si="7"/>
        <v>0</v>
      </c>
      <c r="J78" s="108" t="str">
        <f t="shared" si="8"/>
        <v/>
      </c>
      <c r="K78" s="9"/>
      <c r="L78" s="9"/>
    </row>
    <row r="79" spans="1:12" ht="14.1" customHeight="1">
      <c r="A79" s="4">
        <f>'SCHEDULE OF VALUE WORKSHEET'!A74</f>
        <v>68</v>
      </c>
      <c r="B79" s="142" t="str">
        <f>'SCHEDULE OF VALUE WORKSHEET'!B74</f>
        <v>WATER SUBMETER (material)</v>
      </c>
      <c r="C79" s="143"/>
      <c r="D79" s="104">
        <f>SUM('SCHEDULE OF VALUE WORKSHEET'!E74)</f>
        <v>12273</v>
      </c>
      <c r="E79" s="105">
        <v>0</v>
      </c>
      <c r="F79" s="104">
        <f t="shared" si="5"/>
        <v>12273</v>
      </c>
      <c r="G79" s="109">
        <f t="shared" si="6"/>
        <v>12273</v>
      </c>
      <c r="H79" s="110">
        <v>0</v>
      </c>
      <c r="I79" s="109">
        <f t="shared" si="7"/>
        <v>0</v>
      </c>
      <c r="J79" s="108" t="str">
        <f t="shared" si="8"/>
        <v/>
      </c>
      <c r="K79" s="9"/>
      <c r="L79" s="9"/>
    </row>
    <row r="80" spans="1:12" ht="14.1" customHeight="1">
      <c r="A80" s="4">
        <f>'SCHEDULE OF VALUE WORKSHEET'!A75</f>
        <v>69</v>
      </c>
      <c r="B80" s="142" t="str">
        <f>'SCHEDULE OF VALUE WORKSHEET'!B75</f>
        <v>WATER SUBMETER (labor)</v>
      </c>
      <c r="C80" s="143"/>
      <c r="D80" s="104">
        <f>SUM('SCHEDULE OF VALUE WORKSHEET'!E75)</f>
        <v>0</v>
      </c>
      <c r="E80" s="105">
        <v>0</v>
      </c>
      <c r="F80" s="104">
        <f t="shared" si="5"/>
        <v>0</v>
      </c>
      <c r="G80" s="109">
        <f t="shared" si="6"/>
        <v>0</v>
      </c>
      <c r="H80" s="110">
        <v>0</v>
      </c>
      <c r="I80" s="109">
        <f t="shared" si="7"/>
        <v>0</v>
      </c>
      <c r="J80" s="108" t="str">
        <f t="shared" si="8"/>
        <v/>
      </c>
      <c r="K80" s="9"/>
      <c r="L80" s="9"/>
    </row>
    <row r="81" spans="1:12" ht="14.1" customHeight="1">
      <c r="A81" s="4">
        <f>'SCHEDULE OF VALUE WORKSHEET'!A76</f>
        <v>70</v>
      </c>
      <c r="B81" s="142" t="str">
        <f>'SCHEDULE OF VALUE WORKSHEET'!B76</f>
        <v>ROUGH PLUMBING</v>
      </c>
      <c r="C81" s="143"/>
      <c r="D81" s="104">
        <f>SUM('SCHEDULE OF VALUE WORKSHEET'!E76)</f>
        <v>751927</v>
      </c>
      <c r="E81" s="105">
        <v>0</v>
      </c>
      <c r="F81" s="104">
        <f t="shared" si="5"/>
        <v>751927</v>
      </c>
      <c r="G81" s="109">
        <f t="shared" si="6"/>
        <v>751927</v>
      </c>
      <c r="H81" s="110">
        <v>0</v>
      </c>
      <c r="I81" s="109">
        <f t="shared" si="7"/>
        <v>0</v>
      </c>
      <c r="J81" s="108" t="str">
        <f t="shared" si="8"/>
        <v/>
      </c>
      <c r="K81" s="9"/>
      <c r="L81" s="9"/>
    </row>
    <row r="82" spans="1:12" ht="14.1" customHeight="1">
      <c r="A82" s="4">
        <f>'SCHEDULE OF VALUE WORKSHEET'!A77</f>
        <v>71</v>
      </c>
      <c r="B82" s="142" t="str">
        <f>'SCHEDULE OF VALUE WORKSHEET'!B77</f>
        <v>FINISH PLUMBING</v>
      </c>
      <c r="C82" s="143"/>
      <c r="D82" s="104">
        <f>SUM('SCHEDULE OF VALUE WORKSHEET'!E77)</f>
        <v>90000</v>
      </c>
      <c r="E82" s="105">
        <v>0</v>
      </c>
      <c r="F82" s="104">
        <f t="shared" si="5"/>
        <v>90000</v>
      </c>
      <c r="G82" s="109">
        <f t="shared" si="6"/>
        <v>90000</v>
      </c>
      <c r="H82" s="110">
        <v>0</v>
      </c>
      <c r="I82" s="109">
        <f t="shared" si="7"/>
        <v>0</v>
      </c>
      <c r="J82" s="108" t="str">
        <f t="shared" si="8"/>
        <v/>
      </c>
      <c r="K82" s="9"/>
      <c r="L82" s="9"/>
    </row>
    <row r="83" spans="1:12" ht="14.1" customHeight="1">
      <c r="A83" s="4">
        <f>'SCHEDULE OF VALUE WORKSHEET'!A78</f>
        <v>72</v>
      </c>
      <c r="B83" s="142" t="str">
        <f>'SCHEDULE OF VALUE WORKSHEET'!B78</f>
        <v>HVAC</v>
      </c>
      <c r="C83" s="143"/>
      <c r="D83" s="104">
        <f>SUM('SCHEDULE OF VALUE WORKSHEET'!E78)</f>
        <v>259000</v>
      </c>
      <c r="E83" s="105">
        <v>0</v>
      </c>
      <c r="F83" s="104">
        <f t="shared" si="5"/>
        <v>259000</v>
      </c>
      <c r="G83" s="109">
        <f t="shared" si="6"/>
        <v>259000</v>
      </c>
      <c r="H83" s="110">
        <v>0</v>
      </c>
      <c r="I83" s="109">
        <f t="shared" si="7"/>
        <v>0</v>
      </c>
      <c r="J83" s="108" t="str">
        <f t="shared" si="8"/>
        <v/>
      </c>
      <c r="K83" s="9"/>
      <c r="L83" s="9"/>
    </row>
    <row r="84" spans="1:12" ht="14.1" customHeight="1">
      <c r="A84" s="4">
        <f>'SCHEDULE OF VALUE WORKSHEET'!A79</f>
        <v>73</v>
      </c>
      <c r="B84" s="142" t="str">
        <f>'SCHEDULE OF VALUE WORKSHEET'!B79</f>
        <v>ELECTRICAL</v>
      </c>
      <c r="C84" s="143"/>
      <c r="D84" s="104">
        <f>SUM('SCHEDULE OF VALUE WORKSHEET'!E79)</f>
        <v>880486.32</v>
      </c>
      <c r="E84" s="105">
        <v>0</v>
      </c>
      <c r="F84" s="104">
        <f t="shared" si="5"/>
        <v>880486.32</v>
      </c>
      <c r="G84" s="109">
        <f t="shared" si="6"/>
        <v>880486.32</v>
      </c>
      <c r="H84" s="110">
        <v>0</v>
      </c>
      <c r="I84" s="109">
        <f t="shared" si="7"/>
        <v>0</v>
      </c>
      <c r="J84" s="108" t="str">
        <f t="shared" si="8"/>
        <v/>
      </c>
      <c r="K84" s="9"/>
      <c r="L84" s="9"/>
    </row>
    <row r="85" spans="1:12" ht="14.1" customHeight="1">
      <c r="A85" s="4">
        <f>'SCHEDULE OF VALUE WORKSHEET'!A80</f>
        <v>74</v>
      </c>
      <c r="B85" s="142" t="str">
        <f>'SCHEDULE OF VALUE WORKSHEET'!B80</f>
        <v xml:space="preserve">CONTINGENCY </v>
      </c>
      <c r="C85" s="143"/>
      <c r="D85" s="104">
        <f>SUM('SCHEDULE OF VALUE WORKSHEET'!E80)</f>
        <v>529215.20000000007</v>
      </c>
      <c r="E85" s="105">
        <v>0</v>
      </c>
      <c r="F85" s="104">
        <f t="shared" si="5"/>
        <v>529215.20000000007</v>
      </c>
      <c r="G85" s="109">
        <f t="shared" si="6"/>
        <v>529215.20000000007</v>
      </c>
      <c r="H85" s="110">
        <v>0</v>
      </c>
      <c r="I85" s="109">
        <f t="shared" si="7"/>
        <v>0</v>
      </c>
      <c r="J85" s="108" t="str">
        <f t="shared" si="8"/>
        <v/>
      </c>
      <c r="K85" s="9"/>
      <c r="L85" s="9"/>
    </row>
    <row r="86" spans="1:12" ht="14.1" customHeight="1">
      <c r="A86" s="4">
        <f>'SCHEDULE OF VALUE WORKSHEET'!A81</f>
        <v>75</v>
      </c>
      <c r="B86" s="142" t="str">
        <f>'SCHEDULE OF VALUE WORKSHEET'!B81</f>
        <v>INSURANCE (GL w/auto, workers compl)</v>
      </c>
      <c r="C86" s="143"/>
      <c r="D86" s="104">
        <f>SUM('SCHEDULE OF VALUE WORKSHEET'!E81)</f>
        <v>97177.07</v>
      </c>
      <c r="E86" s="105">
        <v>0</v>
      </c>
      <c r="F86" s="104">
        <f t="shared" si="5"/>
        <v>97177.07</v>
      </c>
      <c r="G86" s="109">
        <f t="shared" si="6"/>
        <v>97177.07</v>
      </c>
      <c r="H86" s="110">
        <v>0</v>
      </c>
      <c r="I86" s="109">
        <f t="shared" si="7"/>
        <v>0</v>
      </c>
      <c r="J86" s="108" t="str">
        <f t="shared" si="8"/>
        <v/>
      </c>
      <c r="K86" s="9"/>
      <c r="L86" s="9"/>
    </row>
    <row r="87" spans="1:12" ht="14.1" customHeight="1">
      <c r="A87" s="4">
        <f>'SCHEDULE OF VALUE WORKSHEET'!A82</f>
        <v>76</v>
      </c>
      <c r="B87" s="142" t="str">
        <f>'SCHEDULE OF VALUE WORKSHEET'!B82</f>
        <v>GROSS RECEIPT TAX</v>
      </c>
      <c r="C87" s="143"/>
      <c r="D87" s="104">
        <f>SUM('SCHEDULE OF VALUE WORKSHEET'!E82)</f>
        <v>6543.26</v>
      </c>
      <c r="E87" s="105">
        <v>0</v>
      </c>
      <c r="F87" s="104">
        <f t="shared" si="5"/>
        <v>6543.26</v>
      </c>
      <c r="G87" s="109">
        <f t="shared" si="6"/>
        <v>6543.26</v>
      </c>
      <c r="H87" s="110">
        <v>0</v>
      </c>
      <c r="I87" s="109">
        <f t="shared" si="7"/>
        <v>0</v>
      </c>
      <c r="J87" s="108" t="str">
        <f t="shared" si="8"/>
        <v/>
      </c>
      <c r="K87" s="9"/>
      <c r="L87" s="9"/>
    </row>
    <row r="88" spans="1:12" ht="14.1" customHeight="1">
      <c r="A88" s="4">
        <f>'SCHEDULE OF VALUE WORKSHEET'!A83</f>
        <v>77</v>
      </c>
      <c r="B88" s="142" t="str">
        <f>'SCHEDULE OF VALUE WORKSHEET'!B83</f>
        <v>GC FEE</v>
      </c>
      <c r="C88" s="143"/>
      <c r="D88" s="104">
        <f>SUM('SCHEDULE OF VALUE WORKSHEET'!E83)</f>
        <v>388708.28</v>
      </c>
      <c r="E88" s="105">
        <v>0</v>
      </c>
      <c r="F88" s="104">
        <f t="shared" si="5"/>
        <v>388708.28</v>
      </c>
      <c r="G88" s="109">
        <f t="shared" si="6"/>
        <v>388708.28</v>
      </c>
      <c r="H88" s="110">
        <v>0</v>
      </c>
      <c r="I88" s="109">
        <f t="shared" si="7"/>
        <v>0</v>
      </c>
      <c r="J88" s="108" t="str">
        <f t="shared" si="8"/>
        <v/>
      </c>
      <c r="K88" s="9"/>
      <c r="L88" s="9"/>
    </row>
    <row r="89" spans="1:12" ht="14.1" customHeight="1">
      <c r="A89" s="4">
        <f>'SCHEDULE OF VALUE WORKSHEET'!A84</f>
        <v>78</v>
      </c>
      <c r="B89" s="142" t="str">
        <f>'SCHEDULE OF VALUE WORKSHEET'!B84</f>
        <v>DEVELOPMENT FEE</v>
      </c>
      <c r="C89" s="143"/>
      <c r="D89" s="104">
        <f>SUM('SCHEDULE OF VALUE WORKSHEET'!E84)</f>
        <v>180523.5</v>
      </c>
      <c r="E89" s="105">
        <v>0</v>
      </c>
      <c r="F89" s="104">
        <f t="shared" si="5"/>
        <v>180523.5</v>
      </c>
      <c r="G89" s="109">
        <f t="shared" si="6"/>
        <v>180523.5</v>
      </c>
      <c r="H89" s="110">
        <v>0</v>
      </c>
      <c r="I89" s="109">
        <f t="shared" si="7"/>
        <v>0</v>
      </c>
      <c r="J89" s="108" t="str">
        <f t="shared" si="8"/>
        <v/>
      </c>
      <c r="K89" s="9"/>
      <c r="L89" s="9"/>
    </row>
    <row r="90" spans="1:12" ht="14.1" customHeight="1">
      <c r="A90" s="4">
        <f>'SCHEDULE OF VALUE WORKSHEET'!A85</f>
        <v>79</v>
      </c>
      <c r="B90" s="142" t="str">
        <f>'SCHEDULE OF VALUE WORKSHEET'!B85</f>
        <v>CARRYING COSTS</v>
      </c>
      <c r="C90" s="143"/>
      <c r="D90" s="104">
        <f>SUM('SCHEDULE OF VALUE WORKSHEET'!E85)</f>
        <v>92885.53</v>
      </c>
      <c r="E90" s="105">
        <v>0</v>
      </c>
      <c r="F90" s="104">
        <f t="shared" si="5"/>
        <v>92885.53</v>
      </c>
      <c r="G90" s="109">
        <f t="shared" si="6"/>
        <v>92885.53</v>
      </c>
      <c r="H90" s="110">
        <v>0</v>
      </c>
      <c r="I90" s="109">
        <f t="shared" si="7"/>
        <v>0</v>
      </c>
      <c r="J90" s="108" t="str">
        <f t="shared" si="8"/>
        <v/>
      </c>
      <c r="K90" s="9"/>
      <c r="L90" s="9"/>
    </row>
    <row r="91" spans="1:12" ht="14.1" customHeight="1">
      <c r="A91" s="4">
        <f>'SCHEDULE OF VALUE WORKSHEET'!A86</f>
        <v>80</v>
      </c>
      <c r="B91" s="142" t="str">
        <f>'SCHEDULE OF VALUE WORKSHEET'!B86</f>
        <v>FINANCING COSTS</v>
      </c>
      <c r="C91" s="143"/>
      <c r="D91" s="104">
        <f>SUM('SCHEDULE OF VALUE WORKSHEET'!E86)</f>
        <v>0</v>
      </c>
      <c r="E91" s="105">
        <v>0</v>
      </c>
      <c r="F91" s="104">
        <f t="shared" si="5"/>
        <v>0</v>
      </c>
      <c r="G91" s="109">
        <f t="shared" si="6"/>
        <v>0</v>
      </c>
      <c r="H91" s="110">
        <v>0</v>
      </c>
      <c r="I91" s="109">
        <f t="shared" si="7"/>
        <v>0</v>
      </c>
      <c r="J91" s="108" t="str">
        <f t="shared" si="8"/>
        <v/>
      </c>
      <c r="K91" s="9"/>
      <c r="L91" s="9"/>
    </row>
    <row r="92" spans="1:12" ht="14.1" customHeight="1">
      <c r="A92" s="4" t="e">
        <f>'SCHEDULE OF VALUE WORKSHEET'!#REF!</f>
        <v>#REF!</v>
      </c>
      <c r="B92" s="142" t="e">
        <f>'SCHEDULE OF VALUE WORKSHEET'!#REF!</f>
        <v>#REF!</v>
      </c>
      <c r="C92" s="143"/>
      <c r="D92" s="104" t="e">
        <f>SUM('SCHEDULE OF VALUE WORKSHEET'!#REF!)</f>
        <v>#REF!</v>
      </c>
      <c r="E92" s="105">
        <v>0</v>
      </c>
      <c r="F92" s="104" t="e">
        <f t="shared" si="5"/>
        <v>#REF!</v>
      </c>
      <c r="G92" s="109" t="e">
        <f t="shared" si="6"/>
        <v>#REF!</v>
      </c>
      <c r="H92" s="110">
        <v>0</v>
      </c>
      <c r="I92" s="109">
        <f t="shared" si="7"/>
        <v>0</v>
      </c>
      <c r="J92" s="108" t="str">
        <f t="shared" si="8"/>
        <v/>
      </c>
      <c r="K92" s="9"/>
      <c r="L92" s="9"/>
    </row>
    <row r="93" spans="1:12" ht="14.1" customHeight="1">
      <c r="A93" s="4" t="e">
        <f>'SCHEDULE OF VALUE WORKSHEET'!#REF!</f>
        <v>#REF!</v>
      </c>
      <c r="B93" s="142" t="e">
        <f>'SCHEDULE OF VALUE WORKSHEET'!#REF!</f>
        <v>#REF!</v>
      </c>
      <c r="C93" s="143"/>
      <c r="D93" s="104" t="e">
        <f>SUM('SCHEDULE OF VALUE WORKSHEET'!#REF!)</f>
        <v>#REF!</v>
      </c>
      <c r="E93" s="105">
        <v>0</v>
      </c>
      <c r="F93" s="104" t="e">
        <f t="shared" si="5"/>
        <v>#REF!</v>
      </c>
      <c r="G93" s="109" t="e">
        <f t="shared" si="6"/>
        <v>#REF!</v>
      </c>
      <c r="H93" s="110">
        <v>0</v>
      </c>
      <c r="I93" s="109">
        <f t="shared" si="7"/>
        <v>0</v>
      </c>
      <c r="J93" s="108" t="str">
        <f t="shared" si="8"/>
        <v/>
      </c>
      <c r="K93" s="9"/>
      <c r="L93" s="9"/>
    </row>
    <row r="94" spans="1:12" ht="14.1" customHeight="1">
      <c r="A94" s="4" t="e">
        <f>'SCHEDULE OF VALUE WORKSHEET'!#REF!</f>
        <v>#REF!</v>
      </c>
      <c r="B94" s="142" t="e">
        <f>'SCHEDULE OF VALUE WORKSHEET'!#REF!</f>
        <v>#REF!</v>
      </c>
      <c r="C94" s="143"/>
      <c r="D94" s="104" t="e">
        <f>SUM('SCHEDULE OF VALUE WORKSHEET'!#REF!)</f>
        <v>#REF!</v>
      </c>
      <c r="E94" s="105">
        <v>0</v>
      </c>
      <c r="F94" s="104" t="e">
        <f t="shared" si="5"/>
        <v>#REF!</v>
      </c>
      <c r="G94" s="109" t="e">
        <f t="shared" si="6"/>
        <v>#REF!</v>
      </c>
      <c r="H94" s="110">
        <v>0</v>
      </c>
      <c r="I94" s="109">
        <f t="shared" si="7"/>
        <v>0</v>
      </c>
      <c r="J94" s="108" t="str">
        <f t="shared" si="8"/>
        <v/>
      </c>
      <c r="K94" s="9"/>
      <c r="L94" s="9"/>
    </row>
    <row r="95" spans="1:12" ht="14.1" customHeight="1">
      <c r="A95" s="4" t="e">
        <f>'SCHEDULE OF VALUE WORKSHEET'!#REF!</f>
        <v>#REF!</v>
      </c>
      <c r="B95" s="142" t="e">
        <f>'SCHEDULE OF VALUE WORKSHEET'!#REF!</f>
        <v>#REF!</v>
      </c>
      <c r="C95" s="143"/>
      <c r="D95" s="104" t="e">
        <f>SUM('SCHEDULE OF VALUE WORKSHEET'!#REF!)</f>
        <v>#REF!</v>
      </c>
      <c r="E95" s="105">
        <v>0</v>
      </c>
      <c r="F95" s="104" t="e">
        <f t="shared" si="5"/>
        <v>#REF!</v>
      </c>
      <c r="G95" s="109" t="e">
        <f t="shared" si="6"/>
        <v>#REF!</v>
      </c>
      <c r="H95" s="110">
        <v>0</v>
      </c>
      <c r="I95" s="109">
        <f t="shared" si="7"/>
        <v>0</v>
      </c>
      <c r="J95" s="108" t="str">
        <f t="shared" si="8"/>
        <v/>
      </c>
      <c r="K95" s="9"/>
      <c r="L95" s="9"/>
    </row>
    <row r="96" spans="1:12" ht="14.1" customHeight="1">
      <c r="A96" s="4" t="e">
        <f>'SCHEDULE OF VALUE WORKSHEET'!#REF!</f>
        <v>#REF!</v>
      </c>
      <c r="B96" s="142" t="e">
        <f>'SCHEDULE OF VALUE WORKSHEET'!#REF!</f>
        <v>#REF!</v>
      </c>
      <c r="C96" s="143"/>
      <c r="D96" s="104" t="e">
        <f>SUM('SCHEDULE OF VALUE WORKSHEET'!#REF!)</f>
        <v>#REF!</v>
      </c>
      <c r="E96" s="105">
        <v>0</v>
      </c>
      <c r="F96" s="104" t="e">
        <f t="shared" si="5"/>
        <v>#REF!</v>
      </c>
      <c r="G96" s="109" t="e">
        <f t="shared" si="6"/>
        <v>#REF!</v>
      </c>
      <c r="H96" s="110">
        <v>0</v>
      </c>
      <c r="I96" s="109">
        <f t="shared" si="7"/>
        <v>0</v>
      </c>
      <c r="J96" s="108" t="str">
        <f t="shared" si="8"/>
        <v/>
      </c>
      <c r="K96" s="9"/>
      <c r="L96" s="9"/>
    </row>
    <row r="97" spans="1:12" ht="14.1" customHeight="1">
      <c r="A97" s="4" t="e">
        <f>'SCHEDULE OF VALUE WORKSHEET'!#REF!</f>
        <v>#REF!</v>
      </c>
      <c r="B97" s="142" t="e">
        <f>'SCHEDULE OF VALUE WORKSHEET'!#REF!</f>
        <v>#REF!</v>
      </c>
      <c r="C97" s="143"/>
      <c r="D97" s="104" t="e">
        <f>SUM('SCHEDULE OF VALUE WORKSHEET'!#REF!)</f>
        <v>#REF!</v>
      </c>
      <c r="E97" s="105">
        <v>0</v>
      </c>
      <c r="F97" s="104" t="e">
        <f t="shared" si="5"/>
        <v>#REF!</v>
      </c>
      <c r="G97" s="109" t="e">
        <f t="shared" si="6"/>
        <v>#REF!</v>
      </c>
      <c r="H97" s="110">
        <v>0</v>
      </c>
      <c r="I97" s="109">
        <f t="shared" si="7"/>
        <v>0</v>
      </c>
      <c r="J97" s="108" t="str">
        <f t="shared" si="8"/>
        <v/>
      </c>
      <c r="K97" s="9"/>
      <c r="L97" s="9"/>
    </row>
    <row r="98" spans="1:12" ht="14.1" customHeight="1">
      <c r="A98" s="4" t="e">
        <f>'SCHEDULE OF VALUE WORKSHEET'!#REF!</f>
        <v>#REF!</v>
      </c>
      <c r="B98" s="142" t="e">
        <f>'SCHEDULE OF VALUE WORKSHEET'!#REF!</f>
        <v>#REF!</v>
      </c>
      <c r="C98" s="143"/>
      <c r="D98" s="104" t="e">
        <f>SUM('SCHEDULE OF VALUE WORKSHEET'!#REF!)</f>
        <v>#REF!</v>
      </c>
      <c r="E98" s="105">
        <v>0</v>
      </c>
      <c r="F98" s="104" t="e">
        <f t="shared" si="5"/>
        <v>#REF!</v>
      </c>
      <c r="G98" s="109" t="e">
        <f t="shared" si="6"/>
        <v>#REF!</v>
      </c>
      <c r="H98" s="110">
        <v>0</v>
      </c>
      <c r="I98" s="109">
        <f t="shared" si="7"/>
        <v>0</v>
      </c>
      <c r="J98" s="108" t="str">
        <f t="shared" si="8"/>
        <v/>
      </c>
      <c r="K98" s="9"/>
      <c r="L98" s="9"/>
    </row>
    <row r="99" spans="1:12" ht="14.1" customHeight="1">
      <c r="A99" s="4" t="e">
        <f>'SCHEDULE OF VALUE WORKSHEET'!#REF!</f>
        <v>#REF!</v>
      </c>
      <c r="B99" s="142" t="e">
        <f>'SCHEDULE OF VALUE WORKSHEET'!#REF!</f>
        <v>#REF!</v>
      </c>
      <c r="C99" s="143"/>
      <c r="D99" s="104" t="e">
        <f>SUM('SCHEDULE OF VALUE WORKSHEET'!#REF!)</f>
        <v>#REF!</v>
      </c>
      <c r="E99" s="105">
        <v>0</v>
      </c>
      <c r="F99" s="104" t="e">
        <f t="shared" si="5"/>
        <v>#REF!</v>
      </c>
      <c r="G99" s="109" t="e">
        <f t="shared" si="6"/>
        <v>#REF!</v>
      </c>
      <c r="H99" s="110">
        <v>0</v>
      </c>
      <c r="I99" s="109">
        <f t="shared" si="7"/>
        <v>0</v>
      </c>
      <c r="J99" s="108" t="str">
        <f t="shared" si="8"/>
        <v/>
      </c>
      <c r="K99" s="9"/>
      <c r="L99" s="9"/>
    </row>
    <row r="100" spans="1:12" ht="14.1" customHeight="1">
      <c r="A100" s="4" t="e">
        <f>'SCHEDULE OF VALUE WORKSHEET'!#REF!</f>
        <v>#REF!</v>
      </c>
      <c r="B100" s="142" t="e">
        <f>'SCHEDULE OF VALUE WORKSHEET'!#REF!</f>
        <v>#REF!</v>
      </c>
      <c r="C100" s="143"/>
      <c r="D100" s="104" t="e">
        <f>SUM('SCHEDULE OF VALUE WORKSHEET'!#REF!)</f>
        <v>#REF!</v>
      </c>
      <c r="E100" s="105">
        <v>0</v>
      </c>
      <c r="F100" s="104" t="e">
        <f t="shared" si="5"/>
        <v>#REF!</v>
      </c>
      <c r="G100" s="109" t="e">
        <f t="shared" si="6"/>
        <v>#REF!</v>
      </c>
      <c r="H100" s="110">
        <v>0</v>
      </c>
      <c r="I100" s="109">
        <f t="shared" si="7"/>
        <v>0</v>
      </c>
      <c r="J100" s="108" t="str">
        <f t="shared" si="8"/>
        <v/>
      </c>
      <c r="K100" s="9"/>
      <c r="L100" s="9"/>
    </row>
    <row r="101" spans="1:12" ht="14.1" customHeight="1">
      <c r="A101" s="4" t="e">
        <f>'SCHEDULE OF VALUE WORKSHEET'!#REF!</f>
        <v>#REF!</v>
      </c>
      <c r="B101" s="142" t="e">
        <f>'SCHEDULE OF VALUE WORKSHEET'!#REF!</f>
        <v>#REF!</v>
      </c>
      <c r="C101" s="143"/>
      <c r="D101" s="104" t="e">
        <f>SUM('SCHEDULE OF VALUE WORKSHEET'!#REF!)</f>
        <v>#REF!</v>
      </c>
      <c r="E101" s="105">
        <v>0</v>
      </c>
      <c r="F101" s="104" t="e">
        <f t="shared" si="5"/>
        <v>#REF!</v>
      </c>
      <c r="G101" s="109" t="e">
        <f t="shared" si="6"/>
        <v>#REF!</v>
      </c>
      <c r="H101" s="110">
        <v>0</v>
      </c>
      <c r="I101" s="109">
        <f t="shared" si="7"/>
        <v>0</v>
      </c>
      <c r="J101" s="108" t="str">
        <f t="shared" si="8"/>
        <v/>
      </c>
      <c r="K101" s="9"/>
      <c r="L101" s="9"/>
    </row>
    <row r="102" spans="1:12" ht="14.1" customHeight="1">
      <c r="A102" s="4" t="e">
        <f>'SCHEDULE OF VALUE WORKSHEET'!#REF!</f>
        <v>#REF!</v>
      </c>
      <c r="B102" s="142" t="e">
        <f>'SCHEDULE OF VALUE WORKSHEET'!#REF!</f>
        <v>#REF!</v>
      </c>
      <c r="C102" s="143"/>
      <c r="D102" s="104" t="e">
        <f>SUM('SCHEDULE OF VALUE WORKSHEET'!#REF!)</f>
        <v>#REF!</v>
      </c>
      <c r="E102" s="105">
        <v>0</v>
      </c>
      <c r="F102" s="104" t="e">
        <f t="shared" si="5"/>
        <v>#REF!</v>
      </c>
      <c r="G102" s="109" t="e">
        <f t="shared" si="6"/>
        <v>#REF!</v>
      </c>
      <c r="H102" s="110">
        <v>0</v>
      </c>
      <c r="I102" s="109">
        <f t="shared" si="7"/>
        <v>0</v>
      </c>
      <c r="J102" s="108" t="str">
        <f t="shared" si="8"/>
        <v/>
      </c>
      <c r="K102" s="9"/>
      <c r="L102" s="9"/>
    </row>
    <row r="103" spans="1:12" ht="14.1" customHeight="1">
      <c r="A103" s="4" t="e">
        <f>'SCHEDULE OF VALUE WORKSHEET'!#REF!</f>
        <v>#REF!</v>
      </c>
      <c r="B103" s="142" t="e">
        <f>'SCHEDULE OF VALUE WORKSHEET'!#REF!</f>
        <v>#REF!</v>
      </c>
      <c r="C103" s="143"/>
      <c r="D103" s="104" t="e">
        <f>SUM('SCHEDULE OF VALUE WORKSHEET'!#REF!)</f>
        <v>#REF!</v>
      </c>
      <c r="E103" s="105">
        <v>0</v>
      </c>
      <c r="F103" s="104" t="e">
        <f t="shared" si="5"/>
        <v>#REF!</v>
      </c>
      <c r="G103" s="109" t="e">
        <f t="shared" si="6"/>
        <v>#REF!</v>
      </c>
      <c r="H103" s="110">
        <v>0</v>
      </c>
      <c r="I103" s="109">
        <f t="shared" si="7"/>
        <v>0</v>
      </c>
      <c r="J103" s="108" t="str">
        <f t="shared" si="8"/>
        <v/>
      </c>
      <c r="K103" s="9"/>
      <c r="L103" s="9"/>
    </row>
    <row r="104" spans="1:12" ht="14.1" customHeight="1">
      <c r="A104" s="4" t="e">
        <f>'SCHEDULE OF VALUE WORKSHEET'!#REF!</f>
        <v>#REF!</v>
      </c>
      <c r="B104" s="142" t="e">
        <f>'SCHEDULE OF VALUE WORKSHEET'!#REF!</f>
        <v>#REF!</v>
      </c>
      <c r="C104" s="143"/>
      <c r="D104" s="104" t="e">
        <f>SUM('SCHEDULE OF VALUE WORKSHEET'!#REF!)</f>
        <v>#REF!</v>
      </c>
      <c r="E104" s="105">
        <v>0</v>
      </c>
      <c r="F104" s="104" t="e">
        <f t="shared" si="5"/>
        <v>#REF!</v>
      </c>
      <c r="G104" s="109" t="e">
        <f t="shared" si="6"/>
        <v>#REF!</v>
      </c>
      <c r="H104" s="110">
        <v>0</v>
      </c>
      <c r="I104" s="109">
        <f t="shared" si="7"/>
        <v>0</v>
      </c>
      <c r="J104" s="108" t="str">
        <f t="shared" si="8"/>
        <v/>
      </c>
      <c r="K104" s="9"/>
      <c r="L104" s="9"/>
    </row>
    <row r="105" spans="1:12" ht="14.1" customHeight="1">
      <c r="A105" s="4" t="e">
        <f>'SCHEDULE OF VALUE WORKSHEET'!#REF!</f>
        <v>#REF!</v>
      </c>
      <c r="B105" s="142" t="e">
        <f>'SCHEDULE OF VALUE WORKSHEET'!#REF!</f>
        <v>#REF!</v>
      </c>
      <c r="C105" s="143"/>
      <c r="D105" s="104" t="e">
        <f>SUM('SCHEDULE OF VALUE WORKSHEET'!#REF!)</f>
        <v>#REF!</v>
      </c>
      <c r="E105" s="105">
        <v>0</v>
      </c>
      <c r="F105" s="104" t="e">
        <f t="shared" si="5"/>
        <v>#REF!</v>
      </c>
      <c r="G105" s="109" t="e">
        <f t="shared" si="6"/>
        <v>#REF!</v>
      </c>
      <c r="H105" s="110">
        <v>0</v>
      </c>
      <c r="I105" s="109">
        <f t="shared" si="7"/>
        <v>0</v>
      </c>
      <c r="J105" s="108" t="str">
        <f t="shared" si="8"/>
        <v/>
      </c>
      <c r="K105" s="9"/>
      <c r="L105" s="9"/>
    </row>
    <row r="106" spans="1:12" ht="14.1" customHeight="1">
      <c r="A106" s="4" t="e">
        <f>'SCHEDULE OF VALUE WORKSHEET'!#REF!</f>
        <v>#REF!</v>
      </c>
      <c r="B106" s="142" t="e">
        <f>'SCHEDULE OF VALUE WORKSHEET'!#REF!</f>
        <v>#REF!</v>
      </c>
      <c r="C106" s="143"/>
      <c r="D106" s="104" t="e">
        <f>SUM('SCHEDULE OF VALUE WORKSHEET'!#REF!)</f>
        <v>#REF!</v>
      </c>
      <c r="E106" s="105">
        <v>0</v>
      </c>
      <c r="F106" s="104" t="e">
        <f t="shared" si="5"/>
        <v>#REF!</v>
      </c>
      <c r="G106" s="109" t="e">
        <f t="shared" si="6"/>
        <v>#REF!</v>
      </c>
      <c r="H106" s="110">
        <v>0</v>
      </c>
      <c r="I106" s="109">
        <f t="shared" si="7"/>
        <v>0</v>
      </c>
      <c r="J106" s="108" t="str">
        <f t="shared" si="8"/>
        <v/>
      </c>
      <c r="K106" s="9"/>
      <c r="L106" s="9"/>
    </row>
    <row r="107" spans="1:12" ht="14.1" customHeight="1">
      <c r="A107" s="4" t="e">
        <f>'SCHEDULE OF VALUE WORKSHEET'!#REF!</f>
        <v>#REF!</v>
      </c>
      <c r="B107" s="142" t="e">
        <f>'SCHEDULE OF VALUE WORKSHEET'!#REF!</f>
        <v>#REF!</v>
      </c>
      <c r="C107" s="143"/>
      <c r="D107" s="104" t="e">
        <f>SUM('SCHEDULE OF VALUE WORKSHEET'!#REF!)</f>
        <v>#REF!</v>
      </c>
      <c r="E107" s="105">
        <v>0</v>
      </c>
      <c r="F107" s="104" t="e">
        <f t="shared" si="5"/>
        <v>#REF!</v>
      </c>
      <c r="G107" s="109" t="e">
        <f t="shared" si="6"/>
        <v>#REF!</v>
      </c>
      <c r="H107" s="110">
        <v>0</v>
      </c>
      <c r="I107" s="109">
        <f t="shared" si="7"/>
        <v>0</v>
      </c>
      <c r="J107" s="108" t="str">
        <f t="shared" si="8"/>
        <v/>
      </c>
      <c r="K107" s="9"/>
      <c r="L107" s="9"/>
    </row>
    <row r="108" spans="1:12" ht="14.1" customHeight="1">
      <c r="A108" s="4" t="e">
        <f>'SCHEDULE OF VALUE WORKSHEET'!#REF!</f>
        <v>#REF!</v>
      </c>
      <c r="B108" s="142" t="e">
        <f>'SCHEDULE OF VALUE WORKSHEET'!#REF!</f>
        <v>#REF!</v>
      </c>
      <c r="C108" s="143"/>
      <c r="D108" s="104" t="e">
        <f>SUM('SCHEDULE OF VALUE WORKSHEET'!#REF!)</f>
        <v>#REF!</v>
      </c>
      <c r="E108" s="105">
        <v>0</v>
      </c>
      <c r="F108" s="104" t="e">
        <f t="shared" si="5"/>
        <v>#REF!</v>
      </c>
      <c r="G108" s="109" t="e">
        <f t="shared" si="6"/>
        <v>#REF!</v>
      </c>
      <c r="H108" s="110">
        <v>0</v>
      </c>
      <c r="I108" s="109">
        <f t="shared" si="7"/>
        <v>0</v>
      </c>
      <c r="J108" s="108" t="str">
        <f t="shared" si="8"/>
        <v/>
      </c>
      <c r="K108" s="9"/>
      <c r="L108" s="9"/>
    </row>
    <row r="109" spans="1:12" ht="14.1" customHeight="1">
      <c r="A109" s="4" t="e">
        <f>'SCHEDULE OF VALUE WORKSHEET'!#REF!</f>
        <v>#REF!</v>
      </c>
      <c r="B109" s="142" t="e">
        <f>'SCHEDULE OF VALUE WORKSHEET'!#REF!</f>
        <v>#REF!</v>
      </c>
      <c r="C109" s="143"/>
      <c r="D109" s="104" t="e">
        <f>SUM('SCHEDULE OF VALUE WORKSHEET'!#REF!)</f>
        <v>#REF!</v>
      </c>
      <c r="E109" s="105">
        <v>0</v>
      </c>
      <c r="F109" s="104" t="e">
        <f t="shared" si="5"/>
        <v>#REF!</v>
      </c>
      <c r="G109" s="109" t="e">
        <f t="shared" si="6"/>
        <v>#REF!</v>
      </c>
      <c r="H109" s="110">
        <v>0</v>
      </c>
      <c r="I109" s="109">
        <f t="shared" si="7"/>
        <v>0</v>
      </c>
      <c r="J109" s="108" t="str">
        <f t="shared" si="8"/>
        <v/>
      </c>
      <c r="K109" s="9"/>
      <c r="L109" s="9"/>
    </row>
    <row r="110" spans="1:12" ht="14.1" customHeight="1">
      <c r="A110" s="4" t="e">
        <f>'SCHEDULE OF VALUE WORKSHEET'!#REF!</f>
        <v>#REF!</v>
      </c>
      <c r="B110" s="142" t="e">
        <f>'SCHEDULE OF VALUE WORKSHEET'!#REF!</f>
        <v>#REF!</v>
      </c>
      <c r="C110" s="143"/>
      <c r="D110" s="104" t="e">
        <f>SUM('SCHEDULE OF VALUE WORKSHEET'!#REF!)</f>
        <v>#REF!</v>
      </c>
      <c r="E110" s="105">
        <v>0</v>
      </c>
      <c r="F110" s="104" t="e">
        <f t="shared" si="5"/>
        <v>#REF!</v>
      </c>
      <c r="G110" s="109" t="e">
        <f t="shared" si="6"/>
        <v>#REF!</v>
      </c>
      <c r="H110" s="110">
        <v>0</v>
      </c>
      <c r="I110" s="109">
        <f t="shared" si="7"/>
        <v>0</v>
      </c>
      <c r="J110" s="108" t="str">
        <f t="shared" si="8"/>
        <v/>
      </c>
      <c r="K110" s="9"/>
      <c r="L110" s="9"/>
    </row>
    <row r="111" spans="1:12" ht="14.1" customHeight="1">
      <c r="A111" s="4" t="e">
        <f>'SCHEDULE OF VALUE WORKSHEET'!#REF!</f>
        <v>#REF!</v>
      </c>
      <c r="B111" s="142" t="e">
        <f>'SCHEDULE OF VALUE WORKSHEET'!#REF!</f>
        <v>#REF!</v>
      </c>
      <c r="C111" s="143"/>
      <c r="D111" s="104" t="e">
        <f>SUM('SCHEDULE OF VALUE WORKSHEET'!#REF!)</f>
        <v>#REF!</v>
      </c>
      <c r="E111" s="105">
        <v>0</v>
      </c>
      <c r="F111" s="104" t="e">
        <f t="shared" si="5"/>
        <v>#REF!</v>
      </c>
      <c r="G111" s="109" t="e">
        <f t="shared" si="6"/>
        <v>#REF!</v>
      </c>
      <c r="H111" s="110">
        <v>0</v>
      </c>
      <c r="I111" s="109">
        <f t="shared" si="7"/>
        <v>0</v>
      </c>
      <c r="J111" s="108" t="str">
        <f t="shared" si="8"/>
        <v/>
      </c>
      <c r="K111" s="9"/>
      <c r="L111" s="9"/>
    </row>
    <row r="112" spans="1:12" ht="14.1" customHeight="1">
      <c r="A112" s="4" t="e">
        <f>'SCHEDULE OF VALUE WORKSHEET'!#REF!</f>
        <v>#REF!</v>
      </c>
      <c r="B112" s="142" t="e">
        <f>'SCHEDULE OF VALUE WORKSHEET'!#REF!</f>
        <v>#REF!</v>
      </c>
      <c r="C112" s="143"/>
      <c r="D112" s="104" t="e">
        <f>SUM('SCHEDULE OF VALUE WORKSHEET'!#REF!)</f>
        <v>#REF!</v>
      </c>
      <c r="E112" s="105">
        <v>0</v>
      </c>
      <c r="F112" s="104" t="e">
        <f t="shared" si="5"/>
        <v>#REF!</v>
      </c>
      <c r="G112" s="109" t="e">
        <f t="shared" si="6"/>
        <v>#REF!</v>
      </c>
      <c r="H112" s="110">
        <v>0</v>
      </c>
      <c r="I112" s="109">
        <f t="shared" si="7"/>
        <v>0</v>
      </c>
      <c r="J112" s="108" t="str">
        <f t="shared" si="8"/>
        <v/>
      </c>
      <c r="K112" s="9"/>
      <c r="L112" s="9"/>
    </row>
    <row r="113" spans="1:12" ht="14.1" customHeight="1">
      <c r="A113" s="4" t="e">
        <f>'SCHEDULE OF VALUE WORKSHEET'!#REF!</f>
        <v>#REF!</v>
      </c>
      <c r="B113" s="142" t="e">
        <f>'SCHEDULE OF VALUE WORKSHEET'!#REF!</f>
        <v>#REF!</v>
      </c>
      <c r="C113" s="143"/>
      <c r="D113" s="104" t="e">
        <f>SUM('SCHEDULE OF VALUE WORKSHEET'!#REF!)</f>
        <v>#REF!</v>
      </c>
      <c r="E113" s="105">
        <v>0</v>
      </c>
      <c r="F113" s="104" t="e">
        <f t="shared" si="5"/>
        <v>#REF!</v>
      </c>
      <c r="G113" s="109" t="e">
        <f t="shared" si="6"/>
        <v>#REF!</v>
      </c>
      <c r="H113" s="110">
        <v>0</v>
      </c>
      <c r="I113" s="109">
        <f t="shared" si="7"/>
        <v>0</v>
      </c>
      <c r="J113" s="108" t="str">
        <f t="shared" si="8"/>
        <v/>
      </c>
      <c r="K113" s="9"/>
      <c r="L113" s="9"/>
    </row>
    <row r="114" spans="1:12" ht="14.1" customHeight="1">
      <c r="A114" s="4" t="e">
        <f>'SCHEDULE OF VALUE WORKSHEET'!#REF!</f>
        <v>#REF!</v>
      </c>
      <c r="B114" s="142" t="e">
        <f>'SCHEDULE OF VALUE WORKSHEET'!#REF!</f>
        <v>#REF!</v>
      </c>
      <c r="C114" s="143"/>
      <c r="D114" s="104" t="e">
        <f>SUM('SCHEDULE OF VALUE WORKSHEET'!#REF!)</f>
        <v>#REF!</v>
      </c>
      <c r="E114" s="105">
        <v>0</v>
      </c>
      <c r="F114" s="104" t="e">
        <f t="shared" si="5"/>
        <v>#REF!</v>
      </c>
      <c r="G114" s="109" t="e">
        <f t="shared" si="6"/>
        <v>#REF!</v>
      </c>
      <c r="H114" s="110">
        <v>0</v>
      </c>
      <c r="I114" s="109">
        <f t="shared" si="7"/>
        <v>0</v>
      </c>
      <c r="J114" s="108" t="str">
        <f t="shared" si="8"/>
        <v/>
      </c>
      <c r="K114" s="9"/>
      <c r="L114" s="9"/>
    </row>
    <row r="115" spans="1:12" ht="14.1" customHeight="1">
      <c r="A115" s="4" t="e">
        <f>'SCHEDULE OF VALUE WORKSHEET'!#REF!</f>
        <v>#REF!</v>
      </c>
      <c r="B115" s="142" t="e">
        <f>'SCHEDULE OF VALUE WORKSHEET'!#REF!</f>
        <v>#REF!</v>
      </c>
      <c r="C115" s="143"/>
      <c r="D115" s="104" t="e">
        <f>SUM('SCHEDULE OF VALUE WORKSHEET'!#REF!)</f>
        <v>#REF!</v>
      </c>
      <c r="E115" s="105">
        <v>0</v>
      </c>
      <c r="F115" s="104" t="e">
        <f t="shared" si="5"/>
        <v>#REF!</v>
      </c>
      <c r="G115" s="109" t="e">
        <f t="shared" si="6"/>
        <v>#REF!</v>
      </c>
      <c r="H115" s="110">
        <v>0</v>
      </c>
      <c r="I115" s="109">
        <f t="shared" si="7"/>
        <v>0</v>
      </c>
      <c r="J115" s="108" t="str">
        <f t="shared" si="8"/>
        <v/>
      </c>
      <c r="K115" s="9"/>
      <c r="L115" s="9"/>
    </row>
    <row r="116" spans="1:12" ht="14.1" customHeight="1">
      <c r="A116" s="4" t="e">
        <f>'SCHEDULE OF VALUE WORKSHEET'!#REF!</f>
        <v>#REF!</v>
      </c>
      <c r="B116" s="142" t="e">
        <f>'SCHEDULE OF VALUE WORKSHEET'!#REF!</f>
        <v>#REF!</v>
      </c>
      <c r="C116" s="143"/>
      <c r="D116" s="104" t="e">
        <f>SUM('SCHEDULE OF VALUE WORKSHEET'!#REF!)</f>
        <v>#REF!</v>
      </c>
      <c r="E116" s="105">
        <v>0</v>
      </c>
      <c r="F116" s="104" t="e">
        <f t="shared" si="5"/>
        <v>#REF!</v>
      </c>
      <c r="G116" s="109" t="e">
        <f t="shared" si="6"/>
        <v>#REF!</v>
      </c>
      <c r="H116" s="110">
        <v>0</v>
      </c>
      <c r="I116" s="109">
        <f t="shared" si="7"/>
        <v>0</v>
      </c>
      <c r="J116" s="108" t="str">
        <f t="shared" si="8"/>
        <v/>
      </c>
      <c r="K116" s="9"/>
      <c r="L116" s="9"/>
    </row>
    <row r="117" spans="1:12" ht="14.1" customHeight="1">
      <c r="A117" s="4" t="e">
        <f>'SCHEDULE OF VALUE WORKSHEET'!#REF!</f>
        <v>#REF!</v>
      </c>
      <c r="B117" s="142" t="e">
        <f>'SCHEDULE OF VALUE WORKSHEET'!#REF!</f>
        <v>#REF!</v>
      </c>
      <c r="C117" s="143"/>
      <c r="D117" s="104" t="e">
        <f>SUM('SCHEDULE OF VALUE WORKSHEET'!#REF!)</f>
        <v>#REF!</v>
      </c>
      <c r="E117" s="105">
        <v>0</v>
      </c>
      <c r="F117" s="104" t="e">
        <f t="shared" si="5"/>
        <v>#REF!</v>
      </c>
      <c r="G117" s="109" t="e">
        <f t="shared" si="6"/>
        <v>#REF!</v>
      </c>
      <c r="H117" s="110">
        <v>0</v>
      </c>
      <c r="I117" s="109">
        <f t="shared" si="7"/>
        <v>0</v>
      </c>
      <c r="J117" s="108" t="str">
        <f t="shared" si="8"/>
        <v/>
      </c>
      <c r="K117" s="9"/>
      <c r="L117" s="9"/>
    </row>
    <row r="118" spans="1:12" ht="14.1" customHeight="1">
      <c r="A118" s="4">
        <f>'SCHEDULE OF VALUE WORKSHEET'!A87</f>
        <v>82</v>
      </c>
      <c r="B118" s="142" t="str">
        <f>'SCHEDULE OF VALUE WORKSHEET'!B87</f>
        <v xml:space="preserve">Open Item </v>
      </c>
      <c r="C118" s="143"/>
      <c r="D118" s="104">
        <f>SUM('SCHEDULE OF VALUE WORKSHEET'!E87)</f>
        <v>0</v>
      </c>
      <c r="E118" s="105">
        <v>0</v>
      </c>
      <c r="F118" s="104">
        <f t="shared" si="5"/>
        <v>0</v>
      </c>
      <c r="G118" s="109">
        <f t="shared" si="6"/>
        <v>0</v>
      </c>
      <c r="H118" s="110">
        <v>0</v>
      </c>
      <c r="I118" s="109">
        <f t="shared" si="7"/>
        <v>0</v>
      </c>
      <c r="J118" s="108" t="str">
        <f t="shared" si="8"/>
        <v/>
      </c>
      <c r="K118" s="9"/>
      <c r="L118" s="9"/>
    </row>
    <row r="119" spans="1:12" ht="14.1" customHeight="1">
      <c r="A119" s="4">
        <f>'SCHEDULE OF VALUE WORKSHEET'!A88</f>
        <v>83</v>
      </c>
      <c r="B119" s="142" t="str">
        <f>'SCHEDULE OF VALUE WORKSHEET'!B88</f>
        <v xml:space="preserve">Open Item </v>
      </c>
      <c r="C119" s="143"/>
      <c r="D119" s="104">
        <f>SUM('SCHEDULE OF VALUE WORKSHEET'!E88)</f>
        <v>0</v>
      </c>
      <c r="E119" s="105">
        <v>0</v>
      </c>
      <c r="F119" s="104">
        <f t="shared" si="5"/>
        <v>0</v>
      </c>
      <c r="G119" s="109">
        <f t="shared" si="6"/>
        <v>0</v>
      </c>
      <c r="H119" s="110">
        <v>0</v>
      </c>
      <c r="I119" s="109">
        <f t="shared" si="7"/>
        <v>0</v>
      </c>
      <c r="J119" s="108" t="str">
        <f t="shared" si="8"/>
        <v/>
      </c>
      <c r="K119" s="9"/>
      <c r="L119" s="9"/>
    </row>
    <row r="120" spans="1:12" ht="14.1" customHeight="1">
      <c r="A120" s="4">
        <f>'SCHEDULE OF VALUE WORKSHEET'!A89</f>
        <v>84</v>
      </c>
      <c r="B120" s="142" t="str">
        <f>'SCHEDULE OF VALUE WORKSHEET'!B89</f>
        <v xml:space="preserve">Open Item </v>
      </c>
      <c r="C120" s="143"/>
      <c r="D120" s="104">
        <f>SUM('SCHEDULE OF VALUE WORKSHEET'!E89)</f>
        <v>0</v>
      </c>
      <c r="E120" s="105">
        <v>0</v>
      </c>
      <c r="F120" s="104">
        <f t="shared" si="5"/>
        <v>0</v>
      </c>
      <c r="G120" s="109">
        <f t="shared" si="6"/>
        <v>0</v>
      </c>
      <c r="H120" s="110">
        <v>0</v>
      </c>
      <c r="I120" s="109">
        <f t="shared" si="7"/>
        <v>0</v>
      </c>
      <c r="J120" s="108" t="str">
        <f t="shared" si="8"/>
        <v/>
      </c>
      <c r="K120" s="9"/>
      <c r="L120" s="9"/>
    </row>
    <row r="121" spans="1:12" ht="14.1" customHeight="1">
      <c r="A121" s="4">
        <f>'SCHEDULE OF VALUE WORKSHEET'!A90</f>
        <v>85</v>
      </c>
      <c r="B121" s="142" t="str">
        <f>'SCHEDULE OF VALUE WORKSHEET'!B90</f>
        <v xml:space="preserve">Open Item </v>
      </c>
      <c r="C121" s="143"/>
      <c r="D121" s="104">
        <f>SUM('SCHEDULE OF VALUE WORKSHEET'!E90)</f>
        <v>0</v>
      </c>
      <c r="E121" s="105">
        <v>0</v>
      </c>
      <c r="F121" s="104">
        <f t="shared" si="5"/>
        <v>0</v>
      </c>
      <c r="G121" s="109">
        <f t="shared" si="6"/>
        <v>0</v>
      </c>
      <c r="H121" s="110">
        <v>0</v>
      </c>
      <c r="I121" s="109">
        <f t="shared" si="7"/>
        <v>0</v>
      </c>
      <c r="J121" s="108" t="str">
        <f t="shared" si="8"/>
        <v/>
      </c>
      <c r="K121" s="9"/>
      <c r="L121" s="9"/>
    </row>
    <row r="122" spans="1:12" ht="14.1" customHeight="1">
      <c r="A122" s="4">
        <f>'SCHEDULE OF VALUE WORKSHEET'!A91</f>
        <v>86</v>
      </c>
      <c r="B122" s="142" t="str">
        <f>'SCHEDULE OF VALUE WORKSHEET'!B91</f>
        <v xml:space="preserve">Open Item </v>
      </c>
      <c r="C122" s="143"/>
      <c r="D122" s="104">
        <f>SUM('SCHEDULE OF VALUE WORKSHEET'!E91)</f>
        <v>0</v>
      </c>
      <c r="E122" s="105">
        <v>0</v>
      </c>
      <c r="F122" s="104">
        <f t="shared" si="5"/>
        <v>0</v>
      </c>
      <c r="G122" s="109">
        <f t="shared" si="6"/>
        <v>0</v>
      </c>
      <c r="H122" s="110">
        <v>0</v>
      </c>
      <c r="I122" s="109">
        <f t="shared" si="7"/>
        <v>0</v>
      </c>
      <c r="J122" s="108" t="str">
        <f t="shared" si="8"/>
        <v/>
      </c>
      <c r="K122" s="9"/>
      <c r="L122" s="9"/>
    </row>
    <row r="123" spans="1:12" ht="14.1" customHeight="1">
      <c r="A123" s="4">
        <f>'SCHEDULE OF VALUE WORKSHEET'!A92</f>
        <v>87</v>
      </c>
      <c r="B123" s="142" t="str">
        <f>'SCHEDULE OF VALUE WORKSHEET'!B92</f>
        <v xml:space="preserve">Open Item </v>
      </c>
      <c r="C123" s="143"/>
      <c r="D123" s="104">
        <f>SUM('SCHEDULE OF VALUE WORKSHEET'!E92)</f>
        <v>0</v>
      </c>
      <c r="E123" s="105">
        <v>0</v>
      </c>
      <c r="F123" s="104">
        <f t="shared" si="5"/>
        <v>0</v>
      </c>
      <c r="G123" s="109">
        <f t="shared" si="6"/>
        <v>0</v>
      </c>
      <c r="H123" s="110">
        <v>0</v>
      </c>
      <c r="I123" s="109">
        <f t="shared" si="7"/>
        <v>0</v>
      </c>
      <c r="J123" s="108" t="str">
        <f t="shared" si="8"/>
        <v/>
      </c>
      <c r="K123" s="9"/>
      <c r="L123" s="9"/>
    </row>
    <row r="124" spans="1:12" ht="14.1" customHeight="1">
      <c r="A124" s="4">
        <f>'SCHEDULE OF VALUE WORKSHEET'!A93</f>
        <v>88</v>
      </c>
      <c r="B124" s="142" t="str">
        <f>'SCHEDULE OF VALUE WORKSHEET'!B93</f>
        <v xml:space="preserve">Open Item </v>
      </c>
      <c r="C124" s="143"/>
      <c r="D124" s="104">
        <f>SUM('SCHEDULE OF VALUE WORKSHEET'!E93)</f>
        <v>0</v>
      </c>
      <c r="E124" s="105">
        <v>0</v>
      </c>
      <c r="F124" s="104">
        <f t="shared" si="5"/>
        <v>0</v>
      </c>
      <c r="G124" s="109">
        <f t="shared" si="6"/>
        <v>0</v>
      </c>
      <c r="H124" s="110">
        <v>0</v>
      </c>
      <c r="I124" s="109">
        <f t="shared" si="7"/>
        <v>0</v>
      </c>
      <c r="J124" s="108" t="str">
        <f t="shared" si="8"/>
        <v/>
      </c>
      <c r="K124" s="9"/>
      <c r="L124" s="9"/>
    </row>
    <row r="125" spans="1:12" ht="14.1" customHeight="1">
      <c r="A125" s="4">
        <f>'SCHEDULE OF VALUE WORKSHEET'!A94</f>
        <v>89</v>
      </c>
      <c r="B125" s="142" t="str">
        <f>'SCHEDULE OF VALUE WORKSHEET'!B94</f>
        <v xml:space="preserve">Open Item </v>
      </c>
      <c r="C125" s="143"/>
      <c r="D125" s="104">
        <f>SUM('SCHEDULE OF VALUE WORKSHEET'!E94)</f>
        <v>0</v>
      </c>
      <c r="E125" s="105">
        <v>0</v>
      </c>
      <c r="F125" s="104">
        <f t="shared" si="5"/>
        <v>0</v>
      </c>
      <c r="G125" s="109">
        <f t="shared" si="6"/>
        <v>0</v>
      </c>
      <c r="H125" s="110">
        <v>0</v>
      </c>
      <c r="I125" s="109">
        <f t="shared" si="7"/>
        <v>0</v>
      </c>
      <c r="J125" s="108" t="str">
        <f t="shared" si="8"/>
        <v/>
      </c>
      <c r="K125" s="9"/>
      <c r="L125" s="9"/>
    </row>
    <row r="126" spans="1:12" ht="14.1" customHeight="1">
      <c r="A126" s="4">
        <f>'SCHEDULE OF VALUE WORKSHEET'!A95</f>
        <v>90</v>
      </c>
      <c r="B126" s="142" t="str">
        <f>'SCHEDULE OF VALUE WORKSHEET'!B95</f>
        <v xml:space="preserve">Open Item </v>
      </c>
      <c r="C126" s="143"/>
      <c r="D126" s="104">
        <f>SUM('SCHEDULE OF VALUE WORKSHEET'!E95)</f>
        <v>0</v>
      </c>
      <c r="E126" s="105">
        <v>0</v>
      </c>
      <c r="F126" s="104">
        <f t="shared" si="5"/>
        <v>0</v>
      </c>
      <c r="G126" s="109">
        <f t="shared" si="6"/>
        <v>0</v>
      </c>
      <c r="H126" s="110">
        <v>0</v>
      </c>
      <c r="I126" s="109">
        <f t="shared" si="7"/>
        <v>0</v>
      </c>
      <c r="J126" s="108" t="str">
        <f t="shared" si="8"/>
        <v/>
      </c>
      <c r="K126" s="9"/>
      <c r="L126" s="9"/>
    </row>
    <row r="127" spans="1:12" ht="14.1" customHeight="1">
      <c r="A127" s="4">
        <f>'SCHEDULE OF VALUE WORKSHEET'!A96</f>
        <v>91</v>
      </c>
      <c r="B127" s="142" t="str">
        <f>'SCHEDULE OF VALUE WORKSHEET'!B96</f>
        <v xml:space="preserve">Open Item </v>
      </c>
      <c r="C127" s="143"/>
      <c r="D127" s="104">
        <f>SUM('SCHEDULE OF VALUE WORKSHEET'!E96)</f>
        <v>0</v>
      </c>
      <c r="E127" s="105">
        <v>0</v>
      </c>
      <c r="F127" s="104">
        <f t="shared" si="5"/>
        <v>0</v>
      </c>
      <c r="G127" s="109">
        <f t="shared" si="6"/>
        <v>0</v>
      </c>
      <c r="H127" s="110">
        <v>0</v>
      </c>
      <c r="I127" s="109">
        <f t="shared" si="7"/>
        <v>0</v>
      </c>
      <c r="J127" s="108" t="str">
        <f t="shared" si="8"/>
        <v/>
      </c>
      <c r="K127" s="9"/>
      <c r="L127" s="9"/>
    </row>
    <row r="128" spans="1:12" ht="14.1" customHeight="1">
      <c r="A128" s="4">
        <f>'SCHEDULE OF VALUE WORKSHEET'!A97</f>
        <v>92</v>
      </c>
      <c r="B128" s="142" t="str">
        <f>'SCHEDULE OF VALUE WORKSHEET'!B97</f>
        <v xml:space="preserve">Open Item </v>
      </c>
      <c r="C128" s="143"/>
      <c r="D128" s="104">
        <f>SUM('SCHEDULE OF VALUE WORKSHEET'!E97)</f>
        <v>0</v>
      </c>
      <c r="E128" s="105">
        <v>0</v>
      </c>
      <c r="F128" s="104">
        <f t="shared" si="5"/>
        <v>0</v>
      </c>
      <c r="G128" s="109">
        <f t="shared" si="6"/>
        <v>0</v>
      </c>
      <c r="H128" s="110">
        <v>0</v>
      </c>
      <c r="I128" s="109">
        <f t="shared" si="7"/>
        <v>0</v>
      </c>
      <c r="J128" s="108" t="str">
        <f t="shared" si="8"/>
        <v/>
      </c>
      <c r="K128" s="9"/>
      <c r="L128" s="9"/>
    </row>
    <row r="129" spans="1:12" ht="14.1" customHeight="1">
      <c r="A129" s="4">
        <f>'SCHEDULE OF VALUE WORKSHEET'!A98</f>
        <v>93</v>
      </c>
      <c r="B129" s="142" t="str">
        <f>'SCHEDULE OF VALUE WORKSHEET'!B98</f>
        <v xml:space="preserve">Open Item </v>
      </c>
      <c r="C129" s="143"/>
      <c r="D129" s="104">
        <f>SUM('SCHEDULE OF VALUE WORKSHEET'!E98)</f>
        <v>0</v>
      </c>
      <c r="E129" s="105">
        <v>0</v>
      </c>
      <c r="F129" s="104">
        <f t="shared" si="5"/>
        <v>0</v>
      </c>
      <c r="G129" s="109">
        <f t="shared" si="6"/>
        <v>0</v>
      </c>
      <c r="H129" s="110">
        <v>0</v>
      </c>
      <c r="I129" s="109">
        <f t="shared" si="7"/>
        <v>0</v>
      </c>
      <c r="J129" s="108" t="str">
        <f t="shared" si="8"/>
        <v/>
      </c>
      <c r="K129" s="9"/>
      <c r="L129" s="9"/>
    </row>
    <row r="130" spans="1:12" ht="14.1" customHeight="1">
      <c r="A130" s="4">
        <f>'SCHEDULE OF VALUE WORKSHEET'!A99</f>
        <v>94</v>
      </c>
      <c r="B130" s="142" t="str">
        <f>'SCHEDULE OF VALUE WORKSHEET'!B99</f>
        <v xml:space="preserve">Open Item </v>
      </c>
      <c r="C130" s="143"/>
      <c r="D130" s="104">
        <f>SUM('SCHEDULE OF VALUE WORKSHEET'!E99)</f>
        <v>0</v>
      </c>
      <c r="E130" s="105">
        <v>0</v>
      </c>
      <c r="F130" s="104">
        <f t="shared" si="5"/>
        <v>0</v>
      </c>
      <c r="G130" s="109">
        <f t="shared" si="6"/>
        <v>0</v>
      </c>
      <c r="H130" s="110">
        <v>0</v>
      </c>
      <c r="I130" s="109">
        <f t="shared" si="7"/>
        <v>0</v>
      </c>
      <c r="J130" s="108" t="str">
        <f t="shared" si="8"/>
        <v/>
      </c>
      <c r="K130" s="9"/>
      <c r="L130" s="9"/>
    </row>
    <row r="131" spans="1:12" ht="14.1" customHeight="1">
      <c r="A131" s="4">
        <f>'SCHEDULE OF VALUE WORKSHEET'!A100</f>
        <v>95</v>
      </c>
      <c r="B131" s="142" t="str">
        <f>'SCHEDULE OF VALUE WORKSHEET'!B100</f>
        <v xml:space="preserve">Open Item </v>
      </c>
      <c r="C131" s="143"/>
      <c r="D131" s="104">
        <f>SUM('SCHEDULE OF VALUE WORKSHEET'!E100)</f>
        <v>0</v>
      </c>
      <c r="E131" s="105">
        <v>0</v>
      </c>
      <c r="F131" s="104">
        <f t="shared" si="5"/>
        <v>0</v>
      </c>
      <c r="G131" s="109">
        <f t="shared" si="6"/>
        <v>0</v>
      </c>
      <c r="H131" s="110">
        <v>0</v>
      </c>
      <c r="I131" s="109">
        <f t="shared" si="7"/>
        <v>0</v>
      </c>
      <c r="J131" s="108" t="str">
        <f t="shared" si="8"/>
        <v/>
      </c>
      <c r="K131" s="9"/>
      <c r="L131" s="9"/>
    </row>
    <row r="132" spans="1:12" ht="14.1" customHeight="1">
      <c r="A132" s="4">
        <f>'SCHEDULE OF VALUE WORKSHEET'!A101</f>
        <v>96</v>
      </c>
      <c r="B132" s="142" t="str">
        <f>'SCHEDULE OF VALUE WORKSHEET'!B101</f>
        <v xml:space="preserve">Open Item </v>
      </c>
      <c r="C132" s="143"/>
      <c r="D132" s="104">
        <f>SUM('SCHEDULE OF VALUE WORKSHEET'!E101)</f>
        <v>0</v>
      </c>
      <c r="E132" s="105">
        <v>0</v>
      </c>
      <c r="F132" s="104">
        <f t="shared" si="5"/>
        <v>0</v>
      </c>
      <c r="G132" s="109">
        <f t="shared" si="6"/>
        <v>0</v>
      </c>
      <c r="H132" s="110">
        <v>0</v>
      </c>
      <c r="I132" s="109">
        <f t="shared" si="7"/>
        <v>0</v>
      </c>
      <c r="J132" s="108" t="str">
        <f t="shared" si="8"/>
        <v/>
      </c>
      <c r="K132" s="9"/>
      <c r="L132" s="9"/>
    </row>
    <row r="133" spans="1:12" ht="14.1" customHeight="1">
      <c r="A133" s="4">
        <f>'SCHEDULE OF VALUE WORKSHEET'!A102</f>
        <v>97</v>
      </c>
      <c r="B133" s="142" t="str">
        <f>'SCHEDULE OF VALUE WORKSHEET'!B102</f>
        <v xml:space="preserve">Open Item </v>
      </c>
      <c r="C133" s="143"/>
      <c r="D133" s="104">
        <f>SUM('SCHEDULE OF VALUE WORKSHEET'!E102)</f>
        <v>0</v>
      </c>
      <c r="E133" s="105">
        <v>0</v>
      </c>
      <c r="F133" s="104">
        <f t="shared" si="5"/>
        <v>0</v>
      </c>
      <c r="G133" s="109">
        <f t="shared" si="6"/>
        <v>0</v>
      </c>
      <c r="H133" s="110">
        <v>0</v>
      </c>
      <c r="I133" s="109">
        <f t="shared" si="7"/>
        <v>0</v>
      </c>
      <c r="J133" s="108" t="str">
        <f t="shared" si="8"/>
        <v/>
      </c>
      <c r="K133" s="9"/>
      <c r="L133" s="9"/>
    </row>
    <row r="134" spans="1:12" ht="14.1" customHeight="1">
      <c r="A134" s="4">
        <f>'SCHEDULE OF VALUE WORKSHEET'!A103</f>
        <v>98</v>
      </c>
      <c r="B134" s="142" t="str">
        <f>'SCHEDULE OF VALUE WORKSHEET'!B103</f>
        <v xml:space="preserve">Open Item </v>
      </c>
      <c r="C134" s="143"/>
      <c r="D134" s="104">
        <f>SUM('SCHEDULE OF VALUE WORKSHEET'!E103)</f>
        <v>0</v>
      </c>
      <c r="E134" s="105">
        <v>0</v>
      </c>
      <c r="F134" s="104">
        <f t="shared" si="5"/>
        <v>0</v>
      </c>
      <c r="G134" s="109">
        <f t="shared" si="6"/>
        <v>0</v>
      </c>
      <c r="H134" s="110">
        <v>0</v>
      </c>
      <c r="I134" s="109">
        <f t="shared" si="7"/>
        <v>0</v>
      </c>
      <c r="J134" s="108" t="str">
        <f t="shared" si="8"/>
        <v/>
      </c>
      <c r="K134" s="9"/>
      <c r="L134" s="9"/>
    </row>
    <row r="135" spans="1:12" ht="14.1" customHeight="1">
      <c r="A135" s="4">
        <f>'SCHEDULE OF VALUE WORKSHEET'!A104</f>
        <v>99</v>
      </c>
      <c r="B135" s="142" t="str">
        <f>'SCHEDULE OF VALUE WORKSHEET'!B104</f>
        <v xml:space="preserve">Open Item </v>
      </c>
      <c r="C135" s="143"/>
      <c r="D135" s="104">
        <f>SUM('SCHEDULE OF VALUE WORKSHEET'!E104)</f>
        <v>0</v>
      </c>
      <c r="E135" s="105">
        <v>0</v>
      </c>
      <c r="F135" s="104">
        <f t="shared" si="5"/>
        <v>0</v>
      </c>
      <c r="G135" s="109">
        <f t="shared" si="6"/>
        <v>0</v>
      </c>
      <c r="H135" s="110">
        <v>0</v>
      </c>
      <c r="I135" s="109">
        <f t="shared" si="7"/>
        <v>0</v>
      </c>
      <c r="J135" s="108" t="str">
        <f t="shared" si="8"/>
        <v/>
      </c>
      <c r="K135" s="9"/>
      <c r="L135" s="9"/>
    </row>
    <row r="136" spans="1:12" ht="14.1" customHeight="1">
      <c r="A136" s="4" t="e">
        <f>'SCHEDULE OF VALUE WORKSHEET'!#REF!</f>
        <v>#REF!</v>
      </c>
      <c r="B136" s="142" t="e">
        <f>'SCHEDULE OF VALUE WORKSHEET'!#REF!</f>
        <v>#REF!</v>
      </c>
      <c r="C136" s="143"/>
      <c r="D136" s="104" t="e">
        <f>SUM('SCHEDULE OF VALUE WORKSHEET'!#REF!)</f>
        <v>#REF!</v>
      </c>
      <c r="E136" s="105">
        <v>0</v>
      </c>
      <c r="F136" s="104" t="e">
        <f t="shared" si="5"/>
        <v>#REF!</v>
      </c>
      <c r="G136" s="109" t="e">
        <f t="shared" si="6"/>
        <v>#REF!</v>
      </c>
      <c r="H136" s="110">
        <v>0</v>
      </c>
      <c r="I136" s="109">
        <f t="shared" si="7"/>
        <v>0</v>
      </c>
      <c r="J136" s="108" t="str">
        <f t="shared" si="8"/>
        <v/>
      </c>
      <c r="K136" s="10"/>
      <c r="L136" s="10"/>
    </row>
    <row r="137" spans="1:12" ht="18.75" customHeight="1">
      <c r="A137" s="7"/>
      <c r="B137" s="148" t="s">
        <v>2</v>
      </c>
      <c r="C137" s="148"/>
      <c r="D137" s="5" t="e">
        <f t="shared" ref="D137:I137" si="9">SUM(D11:D136)</f>
        <v>#REF!</v>
      </c>
      <c r="E137" s="5">
        <f t="shared" si="9"/>
        <v>0</v>
      </c>
      <c r="F137" s="5" t="e">
        <f t="shared" si="9"/>
        <v>#REF!</v>
      </c>
      <c r="G137" s="5" t="e">
        <f t="shared" si="9"/>
        <v>#REF!</v>
      </c>
      <c r="H137" s="5">
        <f t="shared" si="9"/>
        <v>0</v>
      </c>
      <c r="I137" s="5">
        <f t="shared" si="9"/>
        <v>0</v>
      </c>
      <c r="J137" s="17"/>
      <c r="K137" s="11"/>
      <c r="L137" s="11"/>
    </row>
    <row r="138" spans="1:12" ht="14.1" customHeight="1">
      <c r="A138" s="2"/>
      <c r="B138" s="2"/>
      <c r="C138" s="2"/>
      <c r="D138" s="2"/>
      <c r="E138" s="2"/>
      <c r="F138" s="2"/>
    </row>
    <row r="139" spans="1:12" ht="14.1" customHeight="1">
      <c r="F139" s="2"/>
      <c r="G139" s="140"/>
      <c r="H139" s="140"/>
      <c r="I139" s="140"/>
    </row>
    <row r="140" spans="1:12" ht="14.1" customHeight="1">
      <c r="F140" s="2"/>
    </row>
    <row r="141" spans="1:12" ht="14.1" customHeight="1">
      <c r="F141" s="2"/>
      <c r="G141" s="8"/>
    </row>
    <row r="142" spans="1:12" ht="14.1" customHeight="1">
      <c r="F142" s="2"/>
      <c r="G142" s="8"/>
    </row>
    <row r="143" spans="1:12" ht="14.1" customHeight="1">
      <c r="F143" s="2"/>
    </row>
    <row r="144" spans="1:12" ht="14.1" customHeight="1">
      <c r="F144" s="2"/>
    </row>
    <row r="145" spans="6:6" ht="14.1" customHeight="1">
      <c r="F145" s="2"/>
    </row>
    <row r="146" spans="6:6" ht="14.1" customHeight="1">
      <c r="F146" s="2"/>
    </row>
    <row r="147" spans="6:6" ht="14.1" customHeight="1">
      <c r="F147" s="2"/>
    </row>
    <row r="148" spans="6:6" ht="14.1" customHeight="1">
      <c r="F148" s="3"/>
    </row>
  </sheetData>
  <sheetProtection algorithmName="SHA-512" hashValue="dw/cYW1zYExHN8kglIKy7404hcpIWjYbo06npu8lSSwVmkQ0E4XBRr+mPyUOB04O/rDNXXMKFnZr6LWGz/v8mQ==" saltValue="OCewSmvJvnjAgNM0yY+AJQ==" spinCount="100000" sheet="1" selectLockedCells="1"/>
  <mergeCells count="136">
    <mergeCell ref="A1:J2"/>
    <mergeCell ref="B43:C43"/>
    <mergeCell ref="B44:C44"/>
    <mergeCell ref="B26:C26"/>
    <mergeCell ref="B27:C27"/>
    <mergeCell ref="B15:C15"/>
    <mergeCell ref="B23:C23"/>
    <mergeCell ref="E3:E7"/>
    <mergeCell ref="B25:C25"/>
    <mergeCell ref="B33:C33"/>
    <mergeCell ref="B34:C34"/>
    <mergeCell ref="B29:C29"/>
    <mergeCell ref="I9:J9"/>
    <mergeCell ref="I10:J10"/>
    <mergeCell ref="D9:D10"/>
    <mergeCell ref="B13:C13"/>
    <mergeCell ref="B14:C14"/>
    <mergeCell ref="F9:F10"/>
    <mergeCell ref="E9:E10"/>
    <mergeCell ref="B12:C12"/>
    <mergeCell ref="B32:C32"/>
    <mergeCell ref="B18:C18"/>
    <mergeCell ref="B19:C19"/>
    <mergeCell ref="B41:C41"/>
    <mergeCell ref="G139:I139"/>
    <mergeCell ref="B137:C137"/>
    <mergeCell ref="B37:C37"/>
    <mergeCell ref="B38:C38"/>
    <mergeCell ref="B39:C39"/>
    <mergeCell ref="B131:C131"/>
    <mergeCell ref="B116:C116"/>
    <mergeCell ref="B117:C117"/>
    <mergeCell ref="B123:C123"/>
    <mergeCell ref="B124:C124"/>
    <mergeCell ref="B62:C62"/>
    <mergeCell ref="B60:C60"/>
    <mergeCell ref="B51:C51"/>
    <mergeCell ref="B74:C74"/>
    <mergeCell ref="B75:C75"/>
    <mergeCell ref="B48:C48"/>
    <mergeCell ref="B49:C49"/>
    <mergeCell ref="B50:C50"/>
    <mergeCell ref="B52:C52"/>
    <mergeCell ref="B53:C53"/>
    <mergeCell ref="B54:C54"/>
    <mergeCell ref="B63:C63"/>
    <mergeCell ref="B64:C64"/>
    <mergeCell ref="B55:C55"/>
    <mergeCell ref="B9:C10"/>
    <mergeCell ref="B30:C30"/>
    <mergeCell ref="B31:C31"/>
    <mergeCell ref="B11:C11"/>
    <mergeCell ref="B47:C47"/>
    <mergeCell ref="B42:C42"/>
    <mergeCell ref="B46:C46"/>
    <mergeCell ref="B40:C40"/>
    <mergeCell ref="B36:C36"/>
    <mergeCell ref="B20:C20"/>
    <mergeCell ref="B16:C16"/>
    <mergeCell ref="B17:C17"/>
    <mergeCell ref="B28:C28"/>
    <mergeCell ref="B21:C21"/>
    <mergeCell ref="B22:C22"/>
    <mergeCell ref="B24:C24"/>
    <mergeCell ref="B35:C35"/>
    <mergeCell ref="B45:C45"/>
    <mergeCell ref="B56:C56"/>
    <mergeCell ref="B57:C57"/>
    <mergeCell ref="B58:C58"/>
    <mergeCell ref="B59:C59"/>
    <mergeCell ref="B66:C66"/>
    <mergeCell ref="B70:C70"/>
    <mergeCell ref="B71:C71"/>
    <mergeCell ref="B72:C72"/>
    <mergeCell ref="B73:C73"/>
    <mergeCell ref="B61:C61"/>
    <mergeCell ref="B65:C65"/>
    <mergeCell ref="B67:C67"/>
    <mergeCell ref="B68:C68"/>
    <mergeCell ref="B69:C69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106:C106"/>
    <mergeCell ref="B107:C107"/>
    <mergeCell ref="B108:C108"/>
    <mergeCell ref="B109:C109"/>
    <mergeCell ref="B110:C110"/>
    <mergeCell ref="B111:C111"/>
    <mergeCell ref="B100:C100"/>
    <mergeCell ref="B101:C101"/>
    <mergeCell ref="B102:C102"/>
    <mergeCell ref="B103:C103"/>
    <mergeCell ref="B104:C104"/>
    <mergeCell ref="B105:C105"/>
    <mergeCell ref="B112:C112"/>
    <mergeCell ref="B133:C133"/>
    <mergeCell ref="B132:C132"/>
    <mergeCell ref="B126:C126"/>
    <mergeCell ref="B127:C127"/>
    <mergeCell ref="B128:C128"/>
    <mergeCell ref="B114:C114"/>
    <mergeCell ref="B130:C130"/>
    <mergeCell ref="B125:C125"/>
    <mergeCell ref="B136:C136"/>
    <mergeCell ref="B135:C135"/>
    <mergeCell ref="B134:C134"/>
    <mergeCell ref="B113:C113"/>
    <mergeCell ref="B118:C118"/>
    <mergeCell ref="B119:C119"/>
    <mergeCell ref="B120:C120"/>
    <mergeCell ref="B121:C121"/>
    <mergeCell ref="B122:C122"/>
    <mergeCell ref="B115:C115"/>
    <mergeCell ref="B129:C129"/>
  </mergeCells>
  <conditionalFormatting sqref="B11:J136">
    <cfRule type="expression" dxfId="101" priority="5" stopIfTrue="1">
      <formula>$H11&gt;0</formula>
    </cfRule>
    <cfRule type="expression" dxfId="100" priority="6" stopIfTrue="1">
      <formula>$J11=100%</formula>
    </cfRule>
  </conditionalFormatting>
  <conditionalFormatting sqref="D11:J136">
    <cfRule type="expression" dxfId="99" priority="3" stopIfTrue="1">
      <formula>$J11=""</formula>
    </cfRule>
    <cfRule type="expression" dxfId="98" priority="4" stopIfTrue="1">
      <formula>$J11&gt;100%</formula>
    </cfRule>
  </conditionalFormatting>
  <conditionalFormatting sqref="F11:G136">
    <cfRule type="cellIs" dxfId="97" priority="1" stopIfTrue="1" operator="lessThan">
      <formula>0</formula>
    </cfRule>
  </conditionalFormatting>
  <conditionalFormatting sqref="J3">
    <cfRule type="expression" dxfId="96" priority="67" stopIfTrue="1">
      <formula>$J3=""</formula>
    </cfRule>
    <cfRule type="expression" dxfId="95" priority="69" stopIfTrue="1">
      <formula>$J3&gt;100%</formula>
    </cfRule>
    <cfRule type="expression" dxfId="94" priority="70" stopIfTrue="1">
      <formula>$H3&gt;0</formula>
    </cfRule>
    <cfRule type="expression" dxfId="93" priority="71" stopIfTrue="1">
      <formula>$J3=100%</formula>
    </cfRule>
  </conditionalFormatting>
  <pageMargins left="0.7" right="0.7" top="0.75" bottom="0.75" header="0.3" footer="0.3"/>
  <pageSetup scale="82" orientation="portrait" r:id="rId1"/>
  <rowBreaks count="1" manualBreakCount="1">
    <brk id="137" max="16383" man="1"/>
  </rowBreaks>
  <ignoredErrors>
    <ignoredError sqref="C137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8"/>
  <sheetViews>
    <sheetView showGridLines="0" zoomScale="90" zoomScaleNormal="90" workbookViewId="0">
      <selection activeCell="I20" sqref="I20"/>
    </sheetView>
  </sheetViews>
  <sheetFormatPr defaultColWidth="6.59765625" defaultRowHeight="15.75"/>
  <cols>
    <col min="1" max="1" width="4.8984375" style="1" customWidth="1"/>
    <col min="2" max="2" width="5.69921875" style="1" customWidth="1"/>
    <col min="3" max="3" width="15.19921875" style="1" customWidth="1"/>
    <col min="4" max="4" width="10.59765625" style="1" customWidth="1"/>
    <col min="5" max="5" width="10.59765625" style="24" customWidth="1"/>
    <col min="6" max="6" width="10.69921875" style="27" customWidth="1"/>
    <col min="7" max="9" width="10.69921875" style="1" customWidth="1"/>
    <col min="10" max="10" width="10.59765625" style="1" customWidth="1"/>
    <col min="11" max="11" width="5.09765625" style="22" customWidth="1"/>
    <col min="12" max="13" width="4.69921875" style="1" customWidth="1"/>
    <col min="14" max="16384" width="6.59765625" style="1"/>
  </cols>
  <sheetData>
    <row r="1" spans="1:13">
      <c r="A1" s="171" t="s">
        <v>18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</row>
    <row r="2" spans="1:13">
      <c r="A2" s="174"/>
      <c r="B2" s="153"/>
      <c r="C2" s="153"/>
      <c r="D2" s="153"/>
      <c r="E2" s="153"/>
      <c r="F2" s="153"/>
      <c r="G2" s="153"/>
      <c r="H2" s="153"/>
      <c r="I2" s="153"/>
      <c r="J2" s="153"/>
      <c r="K2" s="175"/>
    </row>
    <row r="3" spans="1:13">
      <c r="A3" s="74"/>
      <c r="B3" s="13" t="s">
        <v>7</v>
      </c>
      <c r="C3" s="35" t="str">
        <f>'SCHEDULE OF VALUE WORKSHEET'!$B$3</f>
        <v>Angeleno Investments</v>
      </c>
      <c r="F3" s="16"/>
      <c r="G3" s="28"/>
      <c r="H3" s="55"/>
      <c r="I3" s="41" t="s">
        <v>5</v>
      </c>
      <c r="J3" s="38">
        <f>SUM(J137)</f>
        <v>0</v>
      </c>
      <c r="K3" s="80" t="e">
        <f>SUM(J3)/J7</f>
        <v>#REF!</v>
      </c>
    </row>
    <row r="4" spans="1:13" ht="16.350000000000001" customHeight="1">
      <c r="A4" s="74"/>
      <c r="B4" s="34" t="s">
        <v>0</v>
      </c>
      <c r="C4" s="36">
        <f ca="1">TODAY()</f>
        <v>45978</v>
      </c>
      <c r="D4" s="36"/>
      <c r="E4" s="23"/>
      <c r="F4" s="23"/>
      <c r="G4" s="3"/>
      <c r="H4" s="75"/>
      <c r="I4" s="41" t="s">
        <v>13</v>
      </c>
      <c r="J4" s="38" t="e">
        <f>SUM(H137)</f>
        <v>#REF!</v>
      </c>
      <c r="K4" s="76"/>
    </row>
    <row r="5" spans="1:13">
      <c r="A5" s="74"/>
      <c r="B5" s="34" t="s">
        <v>6</v>
      </c>
      <c r="C5" s="37" t="str">
        <f>'SCHEDULE OF VALUE WORKSHEET'!B5</f>
        <v>10910 Huston Street</v>
      </c>
      <c r="F5" s="77"/>
      <c r="G5" s="57"/>
      <c r="H5" s="75"/>
      <c r="I5" s="41" t="s">
        <v>14</v>
      </c>
      <c r="J5" s="38" t="e">
        <f>SUM(D137)</f>
        <v>#REF!</v>
      </c>
      <c r="K5" s="76"/>
    </row>
    <row r="6" spans="1:13">
      <c r="A6" s="74"/>
      <c r="B6" s="34" t="s">
        <v>20</v>
      </c>
      <c r="C6" s="48">
        <f>SUM(I137)</f>
        <v>0</v>
      </c>
      <c r="D6" s="6"/>
      <c r="E6" s="16"/>
      <c r="F6" s="16"/>
      <c r="G6" s="57"/>
      <c r="H6" s="75"/>
      <c r="I6" s="42" t="s">
        <v>17</v>
      </c>
      <c r="J6" s="38">
        <f>SUM(F137)</f>
        <v>0</v>
      </c>
      <c r="K6" s="76"/>
    </row>
    <row r="7" spans="1:13">
      <c r="A7" s="78"/>
      <c r="G7" s="28"/>
      <c r="H7" s="20"/>
      <c r="I7" s="34" t="s">
        <v>15</v>
      </c>
      <c r="J7" s="29" t="e">
        <f>SUM(G137)</f>
        <v>#REF!</v>
      </c>
      <c r="K7" s="76"/>
    </row>
    <row r="8" spans="1:13">
      <c r="A8" s="19"/>
      <c r="B8" s="169" t="s">
        <v>1</v>
      </c>
      <c r="C8" s="170"/>
      <c r="D8" s="177" t="s">
        <v>8</v>
      </c>
      <c r="E8" s="102" t="s">
        <v>24</v>
      </c>
      <c r="F8" s="176" t="s">
        <v>26</v>
      </c>
      <c r="G8" s="177" t="s">
        <v>9</v>
      </c>
      <c r="H8" s="30" t="s">
        <v>10</v>
      </c>
      <c r="I8" s="31" t="s">
        <v>12</v>
      </c>
      <c r="J8" s="178" t="s">
        <v>3</v>
      </c>
      <c r="K8" s="179"/>
      <c r="L8" s="12"/>
      <c r="M8" s="12"/>
    </row>
    <row r="9" spans="1:13" ht="14.1" customHeight="1">
      <c r="A9" s="19"/>
      <c r="B9" s="146"/>
      <c r="C9" s="147"/>
      <c r="D9" s="162"/>
      <c r="E9" s="103" t="s">
        <v>25</v>
      </c>
      <c r="F9" s="164"/>
      <c r="G9" s="162"/>
      <c r="H9" s="32" t="s">
        <v>22</v>
      </c>
      <c r="I9" s="33">
        <v>2</v>
      </c>
      <c r="J9" s="180" t="s">
        <v>4</v>
      </c>
      <c r="K9" s="181"/>
      <c r="L9" s="12"/>
      <c r="M9" s="12"/>
    </row>
    <row r="10" spans="1:13" ht="14.1" customHeight="1">
      <c r="A10" s="4">
        <f>'SCHEDULE OF VALUE WORKSHEET'!A7</f>
        <v>1</v>
      </c>
      <c r="B10" s="142" t="str">
        <f>'SCHEDULE OF VALUE WORKSHEET'!B7</f>
        <v>SOFT COSTS</v>
      </c>
      <c r="C10" s="143"/>
      <c r="D10" s="104">
        <f>SUM('SCHEDULE OF VALUE WORKSHEET'!E7)</f>
        <v>0</v>
      </c>
      <c r="E10" s="106">
        <f>SUM('Draw #1'!E11)</f>
        <v>0</v>
      </c>
      <c r="F10" s="105">
        <v>0</v>
      </c>
      <c r="G10" s="104">
        <f>SUM('Draw #1'!F11)+F10</f>
        <v>0</v>
      </c>
      <c r="H10" s="109">
        <f>SUM(G10-J10)</f>
        <v>0</v>
      </c>
      <c r="I10" s="110">
        <v>0</v>
      </c>
      <c r="J10" s="109">
        <f>SUM(I10+'Draw #1'!I11)</f>
        <v>0</v>
      </c>
      <c r="K10" s="101" t="str">
        <f>IF(J10=0,"",J10/G10)</f>
        <v/>
      </c>
      <c r="L10" s="9"/>
      <c r="M10" s="9"/>
    </row>
    <row r="11" spans="1:13" ht="14.1" customHeight="1">
      <c r="A11" s="4">
        <f>'SCHEDULE OF VALUE WORKSHEET'!A8</f>
        <v>2</v>
      </c>
      <c r="B11" s="142" t="str">
        <f>'SCHEDULE OF VALUE WORKSHEET'!B8</f>
        <v>Site Security</v>
      </c>
      <c r="C11" s="143"/>
      <c r="D11" s="104">
        <f>SUM('SCHEDULE OF VALUE WORKSHEET'!E8)</f>
        <v>10580.63</v>
      </c>
      <c r="E11" s="106">
        <f>SUM('Draw #1'!E12)</f>
        <v>0</v>
      </c>
      <c r="F11" s="105">
        <v>0</v>
      </c>
      <c r="G11" s="104">
        <f>SUM('Draw #1'!F12)+F11</f>
        <v>10580.63</v>
      </c>
      <c r="H11" s="109">
        <f t="shared" ref="H11:H74" si="0">SUM(G11-J11)</f>
        <v>10580.63</v>
      </c>
      <c r="I11" s="110">
        <v>0</v>
      </c>
      <c r="J11" s="109">
        <f>SUM(I11+'Draw #1'!I12)</f>
        <v>0</v>
      </c>
      <c r="K11" s="101" t="str">
        <f t="shared" ref="K11:K74" si="1">IF(J11=0,"",J11/G11)</f>
        <v/>
      </c>
      <c r="L11" s="9"/>
      <c r="M11" s="9"/>
    </row>
    <row r="12" spans="1:13" ht="14.1" customHeight="1">
      <c r="A12" s="4">
        <f>'SCHEDULE OF VALUE WORKSHEET'!A9</f>
        <v>3</v>
      </c>
      <c r="B12" s="142" t="str">
        <f>'SCHEDULE OF VALUE WORKSHEET'!B9</f>
        <v>Soils Inspection</v>
      </c>
      <c r="C12" s="143"/>
      <c r="D12" s="104">
        <f>SUM('SCHEDULE OF VALUE WORKSHEET'!E9)</f>
        <v>0</v>
      </c>
      <c r="E12" s="106">
        <f>SUM('Draw #1'!E13)</f>
        <v>0</v>
      </c>
      <c r="F12" s="105">
        <v>0</v>
      </c>
      <c r="G12" s="104">
        <f>SUM('Draw #1'!F13)+F12</f>
        <v>0</v>
      </c>
      <c r="H12" s="109">
        <f t="shared" si="0"/>
        <v>0</v>
      </c>
      <c r="I12" s="110">
        <v>0</v>
      </c>
      <c r="J12" s="109">
        <f>SUM(I12+'Draw #1'!I13)</f>
        <v>0</v>
      </c>
      <c r="K12" s="101" t="str">
        <f t="shared" si="1"/>
        <v/>
      </c>
      <c r="L12" s="9"/>
      <c r="M12" s="9"/>
    </row>
    <row r="13" spans="1:13" ht="14.1" customHeight="1">
      <c r="A13" s="4">
        <f>'SCHEDULE OF VALUE WORKSHEET'!A10</f>
        <v>4</v>
      </c>
      <c r="B13" s="142" t="str">
        <f>'SCHEDULE OF VALUE WORKSHEET'!B10</f>
        <v>Offsites (Transformer)</v>
      </c>
      <c r="C13" s="143"/>
      <c r="D13" s="104">
        <f>SUM('SCHEDULE OF VALUE WORKSHEET'!E10)</f>
        <v>20000</v>
      </c>
      <c r="E13" s="106">
        <f>SUM('Draw #1'!E14)</f>
        <v>0</v>
      </c>
      <c r="F13" s="105">
        <v>0</v>
      </c>
      <c r="G13" s="104">
        <f>SUM('Draw #1'!F14)+F13</f>
        <v>20000</v>
      </c>
      <c r="H13" s="109">
        <f t="shared" si="0"/>
        <v>20000</v>
      </c>
      <c r="I13" s="110">
        <v>0</v>
      </c>
      <c r="J13" s="109">
        <f>SUM(I13+'Draw #1'!I14)</f>
        <v>0</v>
      </c>
      <c r="K13" s="101" t="str">
        <f t="shared" si="1"/>
        <v/>
      </c>
      <c r="L13" s="9"/>
      <c r="M13" s="9"/>
    </row>
    <row r="14" spans="1:13" ht="14.1" customHeight="1">
      <c r="A14" s="4">
        <f>'SCHEDULE OF VALUE WORKSHEET'!A11</f>
        <v>5</v>
      </c>
      <c r="B14" s="142" t="str">
        <f>'SCHEDULE OF VALUE WORKSHEET'!B11</f>
        <v>Plan Check Fees</v>
      </c>
      <c r="C14" s="143"/>
      <c r="D14" s="104">
        <f>SUM('SCHEDULE OF VALUE WORKSHEET'!E11)</f>
        <v>0</v>
      </c>
      <c r="E14" s="106">
        <f>SUM('Draw #1'!E15)</f>
        <v>0</v>
      </c>
      <c r="F14" s="105">
        <v>0</v>
      </c>
      <c r="G14" s="104">
        <f>SUM('Draw #1'!F15)+F14</f>
        <v>0</v>
      </c>
      <c r="H14" s="109">
        <f t="shared" si="0"/>
        <v>0</v>
      </c>
      <c r="I14" s="110">
        <v>0</v>
      </c>
      <c r="J14" s="109">
        <f>SUM(I14+'Draw #1'!I15)</f>
        <v>0</v>
      </c>
      <c r="K14" s="101" t="str">
        <f t="shared" si="1"/>
        <v/>
      </c>
      <c r="L14" s="9"/>
      <c r="M14" s="9"/>
    </row>
    <row r="15" spans="1:13" ht="14.1" customHeight="1">
      <c r="A15" s="4">
        <f>'SCHEDULE OF VALUE WORKSHEET'!A12</f>
        <v>6</v>
      </c>
      <c r="B15" s="142" t="str">
        <f>'SCHEDULE OF VALUE WORKSHEET'!B12</f>
        <v>Permits</v>
      </c>
      <c r="C15" s="143"/>
      <c r="D15" s="104">
        <f>SUM('SCHEDULE OF VALUE WORKSHEET'!E12)</f>
        <v>0</v>
      </c>
      <c r="E15" s="106">
        <f>SUM('Draw #1'!E16)</f>
        <v>0</v>
      </c>
      <c r="F15" s="105">
        <v>0</v>
      </c>
      <c r="G15" s="104">
        <f>SUM('Draw #1'!F16)+F15</f>
        <v>0</v>
      </c>
      <c r="H15" s="109">
        <f t="shared" si="0"/>
        <v>0</v>
      </c>
      <c r="I15" s="110">
        <v>0</v>
      </c>
      <c r="J15" s="109">
        <f>SUM(I15+'Draw #1'!I16)</f>
        <v>0</v>
      </c>
      <c r="K15" s="101" t="str">
        <f t="shared" si="1"/>
        <v/>
      </c>
      <c r="L15" s="9"/>
      <c r="M15" s="9"/>
    </row>
    <row r="16" spans="1:13" ht="14.1" customHeight="1">
      <c r="A16" s="4">
        <f>'SCHEDULE OF VALUE WORKSHEET'!A13</f>
        <v>7</v>
      </c>
      <c r="B16" s="142" t="str">
        <f>'SCHEDULE OF VALUE WORKSHEET'!B13</f>
        <v>Survey</v>
      </c>
      <c r="C16" s="143"/>
      <c r="D16" s="104">
        <f>SUM('SCHEDULE OF VALUE WORKSHEET'!E13)</f>
        <v>0</v>
      </c>
      <c r="E16" s="106">
        <f>SUM('Draw #1'!E17)</f>
        <v>0</v>
      </c>
      <c r="F16" s="105">
        <v>0</v>
      </c>
      <c r="G16" s="104">
        <f>SUM('Draw #1'!F17)+F16</f>
        <v>0</v>
      </c>
      <c r="H16" s="109">
        <f t="shared" si="0"/>
        <v>0</v>
      </c>
      <c r="I16" s="110">
        <v>0</v>
      </c>
      <c r="J16" s="109">
        <f>SUM(I16+'Draw #1'!I17)</f>
        <v>0</v>
      </c>
      <c r="K16" s="101" t="str">
        <f t="shared" si="1"/>
        <v/>
      </c>
      <c r="L16" s="9"/>
      <c r="M16" s="9"/>
    </row>
    <row r="17" spans="1:13" ht="14.1" customHeight="1">
      <c r="A17" s="4">
        <f>'SCHEDULE OF VALUE WORKSHEET'!A14</f>
        <v>8</v>
      </c>
      <c r="B17" s="142" t="str">
        <f>'SCHEDULE OF VALUE WORKSHEET'!B14</f>
        <v>Soils Engineer</v>
      </c>
      <c r="C17" s="143"/>
      <c r="D17" s="104">
        <f>SUM('SCHEDULE OF VALUE WORKSHEET'!E14)</f>
        <v>0</v>
      </c>
      <c r="E17" s="106">
        <f>SUM('Draw #1'!E18)</f>
        <v>0</v>
      </c>
      <c r="F17" s="105">
        <v>0</v>
      </c>
      <c r="G17" s="104">
        <f>SUM('Draw #1'!F18)+F17</f>
        <v>0</v>
      </c>
      <c r="H17" s="109">
        <f t="shared" si="0"/>
        <v>0</v>
      </c>
      <c r="I17" s="110">
        <v>0</v>
      </c>
      <c r="J17" s="109">
        <f>SUM(I17+'Draw #1'!I18)</f>
        <v>0</v>
      </c>
      <c r="K17" s="101" t="str">
        <f t="shared" si="1"/>
        <v/>
      </c>
      <c r="L17" s="9"/>
      <c r="M17" s="9"/>
    </row>
    <row r="18" spans="1:13" ht="14.1" customHeight="1">
      <c r="A18" s="4">
        <f>'SCHEDULE OF VALUE WORKSHEET'!A15</f>
        <v>9</v>
      </c>
      <c r="B18" s="142" t="str">
        <f>'SCHEDULE OF VALUE WORKSHEET'!B15</f>
        <v>Soils Permit + T24</v>
      </c>
      <c r="C18" s="143"/>
      <c r="D18" s="104">
        <f>SUM('SCHEDULE OF VALUE WORKSHEET'!E15)</f>
        <v>2500</v>
      </c>
      <c r="E18" s="106">
        <f>SUM('Draw #1'!E19)</f>
        <v>0</v>
      </c>
      <c r="F18" s="105">
        <v>0</v>
      </c>
      <c r="G18" s="104">
        <f>SUM('Draw #1'!F19)+F18</f>
        <v>2500</v>
      </c>
      <c r="H18" s="109">
        <f t="shared" si="0"/>
        <v>2500</v>
      </c>
      <c r="I18" s="110">
        <v>0</v>
      </c>
      <c r="J18" s="109">
        <f>SUM(I18+'Draw #1'!I19)</f>
        <v>0</v>
      </c>
      <c r="K18" s="101" t="str">
        <f t="shared" si="1"/>
        <v/>
      </c>
      <c r="L18" s="9"/>
      <c r="M18" s="9"/>
    </row>
    <row r="19" spans="1:13" ht="14.1" customHeight="1">
      <c r="A19" s="4">
        <f>'SCHEDULE OF VALUE WORKSHEET'!A16</f>
        <v>10</v>
      </c>
      <c r="B19" s="142" t="str">
        <f>'SCHEDULE OF VALUE WORKSHEET'!B16</f>
        <v>Special Inspections - Deputy</v>
      </c>
      <c r="C19" s="143"/>
      <c r="D19" s="104">
        <f>SUM('SCHEDULE OF VALUE WORKSHEET'!E16)</f>
        <v>15000</v>
      </c>
      <c r="E19" s="106">
        <f>SUM('Draw #1'!E20)</f>
        <v>0</v>
      </c>
      <c r="F19" s="105">
        <v>0</v>
      </c>
      <c r="G19" s="104">
        <f>SUM('Draw #1'!F20)+F19</f>
        <v>15000</v>
      </c>
      <c r="H19" s="109">
        <f t="shared" si="0"/>
        <v>15000</v>
      </c>
      <c r="I19" s="110">
        <v>0</v>
      </c>
      <c r="J19" s="109">
        <f>SUM(I19+'Draw #1'!I20)</f>
        <v>0</v>
      </c>
      <c r="K19" s="101" t="str">
        <f t="shared" si="1"/>
        <v/>
      </c>
      <c r="L19" s="9"/>
      <c r="M19" s="9"/>
    </row>
    <row r="20" spans="1:13" ht="14.1" customHeight="1">
      <c r="A20" s="4">
        <f>'SCHEDULE OF VALUE WORKSHEET'!A17</f>
        <v>11</v>
      </c>
      <c r="B20" s="142" t="str">
        <f>'SCHEDULE OF VALUE WORKSHEET'!B17</f>
        <v>Architect</v>
      </c>
      <c r="C20" s="143"/>
      <c r="D20" s="104">
        <f>SUM('SCHEDULE OF VALUE WORKSHEET'!E17)</f>
        <v>0</v>
      </c>
      <c r="E20" s="106">
        <f>SUM('Draw #1'!E21)</f>
        <v>0</v>
      </c>
      <c r="F20" s="105">
        <v>0</v>
      </c>
      <c r="G20" s="104">
        <f>SUM('Draw #1'!F21)+F20</f>
        <v>0</v>
      </c>
      <c r="H20" s="109">
        <f t="shared" si="0"/>
        <v>0</v>
      </c>
      <c r="I20" s="110">
        <v>0</v>
      </c>
      <c r="J20" s="109">
        <f>SUM(I20+'Draw #1'!I21)</f>
        <v>0</v>
      </c>
      <c r="K20" s="101" t="str">
        <f t="shared" si="1"/>
        <v/>
      </c>
      <c r="L20" s="9"/>
      <c r="M20" s="9"/>
    </row>
    <row r="21" spans="1:13" ht="14.1" customHeight="1">
      <c r="A21" s="4">
        <f>'SCHEDULE OF VALUE WORKSHEET'!A18</f>
        <v>12</v>
      </c>
      <c r="B21" s="142" t="str">
        <f>'SCHEDULE OF VALUE WORKSHEET'!B18</f>
        <v>Structural Engineer</v>
      </c>
      <c r="C21" s="143"/>
      <c r="D21" s="104">
        <f>SUM('SCHEDULE OF VALUE WORKSHEET'!E18)</f>
        <v>0</v>
      </c>
      <c r="E21" s="106">
        <f>SUM('Draw #1'!E22)</f>
        <v>0</v>
      </c>
      <c r="F21" s="105">
        <v>0</v>
      </c>
      <c r="G21" s="104">
        <f>SUM('Draw #1'!F22)+F21</f>
        <v>0</v>
      </c>
      <c r="H21" s="109">
        <f t="shared" si="0"/>
        <v>0</v>
      </c>
      <c r="I21" s="110">
        <v>0</v>
      </c>
      <c r="J21" s="109">
        <f>SUM(I21+'Draw #1'!I22)</f>
        <v>0</v>
      </c>
      <c r="K21" s="101" t="str">
        <f t="shared" si="1"/>
        <v/>
      </c>
      <c r="L21" s="9"/>
      <c r="M21" s="9"/>
    </row>
    <row r="22" spans="1:13" ht="14.1" customHeight="1">
      <c r="A22" s="4">
        <f>'SCHEDULE OF VALUE WORKSHEET'!A19</f>
        <v>13</v>
      </c>
      <c r="B22" s="142" t="str">
        <f>'SCHEDULE OF VALUE WORKSHEET'!B19</f>
        <v>Structural Observation</v>
      </c>
      <c r="C22" s="143"/>
      <c r="D22" s="104">
        <f>SUM('SCHEDULE OF VALUE WORKSHEET'!E19)</f>
        <v>8000</v>
      </c>
      <c r="E22" s="106">
        <f>SUM('Draw #1'!E23)</f>
        <v>0</v>
      </c>
      <c r="F22" s="105">
        <v>0</v>
      </c>
      <c r="G22" s="104">
        <f>SUM('Draw #1'!F23)+F22</f>
        <v>8000</v>
      </c>
      <c r="H22" s="109">
        <f t="shared" si="0"/>
        <v>8000</v>
      </c>
      <c r="I22" s="110">
        <v>0</v>
      </c>
      <c r="J22" s="109">
        <f>SUM(I22+'Draw #1'!I23)</f>
        <v>0</v>
      </c>
      <c r="K22" s="101" t="str">
        <f t="shared" si="1"/>
        <v/>
      </c>
      <c r="L22" s="9"/>
      <c r="M22" s="9"/>
    </row>
    <row r="23" spans="1:13" ht="14.1" customHeight="1">
      <c r="A23" s="4">
        <f>'SCHEDULE OF VALUE WORKSHEET'!A20</f>
        <v>14</v>
      </c>
      <c r="B23" s="142" t="str">
        <f>'SCHEDULE OF VALUE WORKSHEET'!B20</f>
        <v>Civil Engineering</v>
      </c>
      <c r="C23" s="143"/>
      <c r="D23" s="104">
        <f>SUM('SCHEDULE OF VALUE WORKSHEET'!E20)</f>
        <v>0</v>
      </c>
      <c r="E23" s="106">
        <f>SUM('Draw #1'!E24)</f>
        <v>0</v>
      </c>
      <c r="F23" s="105">
        <v>0</v>
      </c>
      <c r="G23" s="104">
        <f>SUM('Draw #1'!F24)+F23</f>
        <v>0</v>
      </c>
      <c r="H23" s="109">
        <f t="shared" si="0"/>
        <v>0</v>
      </c>
      <c r="I23" s="110">
        <v>0</v>
      </c>
      <c r="J23" s="109">
        <f>SUM(I23+'Draw #1'!I24)</f>
        <v>0</v>
      </c>
      <c r="K23" s="101" t="str">
        <f t="shared" si="1"/>
        <v/>
      </c>
      <c r="L23" s="9"/>
      <c r="M23" s="9"/>
    </row>
    <row r="24" spans="1:13" ht="14.1" customHeight="1">
      <c r="A24" s="4">
        <f>'SCHEDULE OF VALUE WORKSHEET'!A21</f>
        <v>15</v>
      </c>
      <c r="B24" s="142" t="str">
        <f>'SCHEDULE OF VALUE WORKSHEET'!B21</f>
        <v>Grading Permit</v>
      </c>
      <c r="C24" s="143"/>
      <c r="D24" s="104">
        <f>SUM('SCHEDULE OF VALUE WORKSHEET'!E21)</f>
        <v>0</v>
      </c>
      <c r="E24" s="106">
        <f>SUM('Draw #1'!E25)</f>
        <v>0</v>
      </c>
      <c r="F24" s="105">
        <v>0</v>
      </c>
      <c r="G24" s="104">
        <f>SUM('Draw #1'!F25)+F24</f>
        <v>0</v>
      </c>
      <c r="H24" s="109">
        <f t="shared" si="0"/>
        <v>0</v>
      </c>
      <c r="I24" s="110">
        <v>0</v>
      </c>
      <c r="J24" s="109">
        <f>SUM(I24+'Draw #1'!I25)</f>
        <v>0</v>
      </c>
      <c r="K24" s="101" t="str">
        <f t="shared" si="1"/>
        <v/>
      </c>
      <c r="L24" s="9"/>
      <c r="M24" s="9"/>
    </row>
    <row r="25" spans="1:13" ht="14.1" customHeight="1">
      <c r="A25" s="4">
        <f>'SCHEDULE OF VALUE WORKSHEET'!A22</f>
        <v>16</v>
      </c>
      <c r="B25" s="142" t="str">
        <f>'SCHEDULE OF VALUE WORKSHEET'!B22</f>
        <v>Landscape Architect/Designer</v>
      </c>
      <c r="C25" s="143"/>
      <c r="D25" s="104">
        <f>SUM('SCHEDULE OF VALUE WORKSHEET'!E22)</f>
        <v>0</v>
      </c>
      <c r="E25" s="106">
        <f>SUM('Draw #1'!E26)</f>
        <v>0</v>
      </c>
      <c r="F25" s="105">
        <v>0</v>
      </c>
      <c r="G25" s="104">
        <f>SUM('Draw #1'!F26)+F25</f>
        <v>0</v>
      </c>
      <c r="H25" s="109">
        <f t="shared" si="0"/>
        <v>0</v>
      </c>
      <c r="I25" s="110">
        <v>0</v>
      </c>
      <c r="J25" s="109">
        <f>SUM(I25+'Draw #1'!I26)</f>
        <v>0</v>
      </c>
      <c r="K25" s="101" t="str">
        <f t="shared" si="1"/>
        <v/>
      </c>
      <c r="L25" s="9"/>
      <c r="M25" s="9"/>
    </row>
    <row r="26" spans="1:13" ht="14.1" customHeight="1">
      <c r="A26" s="4">
        <f>'SCHEDULE OF VALUE WORKSHEET'!A23</f>
        <v>17</v>
      </c>
      <c r="B26" s="142" t="str">
        <f>'SCHEDULE OF VALUE WORKSHEET'!B23</f>
        <v>Driveway Apron Permit</v>
      </c>
      <c r="C26" s="143"/>
      <c r="D26" s="104">
        <f>SUM('SCHEDULE OF VALUE WORKSHEET'!E23)</f>
        <v>2500</v>
      </c>
      <c r="E26" s="106">
        <f>SUM('Draw #1'!E27)</f>
        <v>0</v>
      </c>
      <c r="F26" s="105">
        <v>0</v>
      </c>
      <c r="G26" s="104">
        <f>SUM('Draw #1'!F27)+F26</f>
        <v>2500</v>
      </c>
      <c r="H26" s="109">
        <f t="shared" si="0"/>
        <v>2500</v>
      </c>
      <c r="I26" s="110">
        <v>0</v>
      </c>
      <c r="J26" s="109">
        <f>SUM(I26+'Draw #1'!I27)</f>
        <v>0</v>
      </c>
      <c r="K26" s="101" t="str">
        <f t="shared" si="1"/>
        <v/>
      </c>
      <c r="L26" s="9"/>
      <c r="M26" s="9"/>
    </row>
    <row r="27" spans="1:13" ht="14.1" customHeight="1">
      <c r="A27" s="4">
        <f>'SCHEDULE OF VALUE WORKSHEET'!A24</f>
        <v>18</v>
      </c>
      <c r="B27" s="142" t="str">
        <f>'SCHEDULE OF VALUE WORKSHEET'!B24</f>
        <v>Punch List - Misc.</v>
      </c>
      <c r="C27" s="143"/>
      <c r="D27" s="104">
        <f>SUM('SCHEDULE OF VALUE WORKSHEET'!E24)</f>
        <v>21962.77</v>
      </c>
      <c r="E27" s="106">
        <f>SUM('Draw #1'!E28)</f>
        <v>0</v>
      </c>
      <c r="F27" s="105">
        <v>0</v>
      </c>
      <c r="G27" s="104">
        <f>SUM('Draw #1'!F28)+F27</f>
        <v>21962.77</v>
      </c>
      <c r="H27" s="109">
        <f t="shared" si="0"/>
        <v>21962.77</v>
      </c>
      <c r="I27" s="110">
        <v>0</v>
      </c>
      <c r="J27" s="109">
        <f>SUM(I27+'Draw #1'!I28)</f>
        <v>0</v>
      </c>
      <c r="K27" s="101" t="str">
        <f t="shared" si="1"/>
        <v/>
      </c>
      <c r="L27" s="9"/>
      <c r="M27" s="9"/>
    </row>
    <row r="28" spans="1:13" ht="14.1" customHeight="1">
      <c r="A28" s="4">
        <f>'SCHEDULE OF VALUE WORKSHEET'!A25</f>
        <v>19</v>
      </c>
      <c r="B28" s="142" t="str">
        <f>'SCHEDULE OF VALUE WORKSHEET'!B25</f>
        <v>EBM, Low Voltage, Landscape, Waterproofing CA</v>
      </c>
      <c r="C28" s="143"/>
      <c r="D28" s="104">
        <f>SUM('SCHEDULE OF VALUE WORKSHEET'!E25)</f>
        <v>0</v>
      </c>
      <c r="E28" s="106">
        <f>SUM('Draw #1'!E29)</f>
        <v>0</v>
      </c>
      <c r="F28" s="105">
        <v>0</v>
      </c>
      <c r="G28" s="104">
        <f>SUM('Draw #1'!F29)+F28</f>
        <v>0</v>
      </c>
      <c r="H28" s="109">
        <f t="shared" si="0"/>
        <v>0</v>
      </c>
      <c r="I28" s="110">
        <v>0</v>
      </c>
      <c r="J28" s="109">
        <f>SUM(I28+'Draw #1'!I29)</f>
        <v>0</v>
      </c>
      <c r="K28" s="101" t="str">
        <f t="shared" si="1"/>
        <v/>
      </c>
      <c r="L28" s="9"/>
      <c r="M28" s="9"/>
    </row>
    <row r="29" spans="1:13" ht="14.1" customHeight="1">
      <c r="A29" s="4">
        <f>'SCHEDULE OF VALUE WORKSHEET'!A26</f>
        <v>20</v>
      </c>
      <c r="B29" s="142" t="str">
        <f>'SCHEDULE OF VALUE WORKSHEET'!B26</f>
        <v>Project Accounting/Tax Filing</v>
      </c>
      <c r="C29" s="143"/>
      <c r="D29" s="104">
        <f>SUM('SCHEDULE OF VALUE WORKSHEET'!E26)</f>
        <v>12994.01</v>
      </c>
      <c r="E29" s="106">
        <f>SUM('Draw #1'!E30)</f>
        <v>0</v>
      </c>
      <c r="F29" s="105">
        <v>0</v>
      </c>
      <c r="G29" s="104">
        <f>SUM('Draw #1'!F30)+F29</f>
        <v>12994.01</v>
      </c>
      <c r="H29" s="109">
        <f t="shared" si="0"/>
        <v>12994.01</v>
      </c>
      <c r="I29" s="110">
        <v>0</v>
      </c>
      <c r="J29" s="109">
        <f>SUM(I29+'Draw #1'!I30)</f>
        <v>0</v>
      </c>
      <c r="K29" s="101" t="str">
        <f t="shared" si="1"/>
        <v/>
      </c>
      <c r="L29" s="9"/>
      <c r="M29" s="9"/>
    </row>
    <row r="30" spans="1:13" ht="14.1" customHeight="1">
      <c r="A30" s="4">
        <f>'SCHEDULE OF VALUE WORKSHEET'!A27</f>
        <v>21</v>
      </c>
      <c r="B30" s="142" t="str">
        <f>'SCHEDULE OF VALUE WORKSHEET'!B27</f>
        <v>Legal &amp; Professional Fees</v>
      </c>
      <c r="C30" s="143"/>
      <c r="D30" s="104">
        <f>SUM('SCHEDULE OF VALUE WORKSHEET'!E27)</f>
        <v>873.38999999999942</v>
      </c>
      <c r="E30" s="106">
        <f>SUM('Draw #1'!E31)</f>
        <v>0</v>
      </c>
      <c r="F30" s="105">
        <v>0</v>
      </c>
      <c r="G30" s="104">
        <f>SUM('Draw #1'!F31)+F30</f>
        <v>873.38999999999942</v>
      </c>
      <c r="H30" s="109">
        <f t="shared" si="0"/>
        <v>873.38999999999942</v>
      </c>
      <c r="I30" s="110">
        <v>0</v>
      </c>
      <c r="J30" s="109">
        <f>SUM(I30+'Draw #1'!I31)</f>
        <v>0</v>
      </c>
      <c r="K30" s="101" t="str">
        <f t="shared" si="1"/>
        <v/>
      </c>
      <c r="L30" s="9"/>
      <c r="M30" s="9"/>
    </row>
    <row r="31" spans="1:13" ht="14.1" customHeight="1">
      <c r="A31" s="4">
        <f>'SCHEDULE OF VALUE WORKSHEET'!A28</f>
        <v>22</v>
      </c>
      <c r="B31" s="142" t="str">
        <f>'SCHEDULE OF VALUE WORKSHEET'!B28</f>
        <v>Sewer CCTV and inspection</v>
      </c>
      <c r="C31" s="143"/>
      <c r="D31" s="104">
        <f>SUM('SCHEDULE OF VALUE WORKSHEET'!E28)</f>
        <v>0</v>
      </c>
      <c r="E31" s="106">
        <f>SUM('Draw #1'!E32)</f>
        <v>0</v>
      </c>
      <c r="F31" s="105">
        <v>0</v>
      </c>
      <c r="G31" s="104">
        <f>SUM('Draw #1'!F32)+F31</f>
        <v>0</v>
      </c>
      <c r="H31" s="109">
        <f t="shared" si="0"/>
        <v>0</v>
      </c>
      <c r="I31" s="110">
        <v>0</v>
      </c>
      <c r="J31" s="109">
        <f>SUM(I31+'Draw #1'!I32)</f>
        <v>0</v>
      </c>
      <c r="K31" s="101" t="str">
        <f t="shared" si="1"/>
        <v/>
      </c>
      <c r="L31" s="9"/>
      <c r="M31" s="9"/>
    </row>
    <row r="32" spans="1:13" ht="14.1" customHeight="1">
      <c r="A32" s="4">
        <f>'SCHEDULE OF VALUE WORKSHEET'!A29</f>
        <v>23</v>
      </c>
      <c r="B32" s="142" t="str">
        <f>'SCHEDULE OF VALUE WORKSHEET'!B29</f>
        <v>Environmental Phase I</v>
      </c>
      <c r="C32" s="143"/>
      <c r="D32" s="104">
        <f>SUM('SCHEDULE OF VALUE WORKSHEET'!E29)</f>
        <v>0</v>
      </c>
      <c r="E32" s="106">
        <f>SUM('Draw #1'!E33)</f>
        <v>0</v>
      </c>
      <c r="F32" s="105">
        <v>0</v>
      </c>
      <c r="G32" s="104">
        <f>SUM('Draw #1'!F33)+F32</f>
        <v>0</v>
      </c>
      <c r="H32" s="109">
        <f t="shared" si="0"/>
        <v>0</v>
      </c>
      <c r="I32" s="110">
        <v>0</v>
      </c>
      <c r="J32" s="109">
        <f>SUM(I32+'Draw #1'!I33)</f>
        <v>0</v>
      </c>
      <c r="K32" s="101" t="str">
        <f t="shared" si="1"/>
        <v/>
      </c>
      <c r="L32" s="9"/>
      <c r="M32" s="9"/>
    </row>
    <row r="33" spans="1:13" ht="14.1" customHeight="1">
      <c r="A33" s="4">
        <f>'SCHEDULE OF VALUE WORKSHEET'!A30</f>
        <v>24</v>
      </c>
      <c r="B33" s="142" t="str">
        <f>'SCHEDULE OF VALUE WORKSHEET'!B30</f>
        <v>Dry Utility Consultant</v>
      </c>
      <c r="C33" s="143"/>
      <c r="D33" s="104">
        <f>SUM('SCHEDULE OF VALUE WORKSHEET'!E30)</f>
        <v>0</v>
      </c>
      <c r="E33" s="106">
        <f>SUM('Draw #1'!E34)</f>
        <v>0</v>
      </c>
      <c r="F33" s="105">
        <v>0</v>
      </c>
      <c r="G33" s="104">
        <f>SUM('Draw #1'!F34)+F33</f>
        <v>0</v>
      </c>
      <c r="H33" s="109">
        <f t="shared" si="0"/>
        <v>0</v>
      </c>
      <c r="I33" s="110">
        <v>0</v>
      </c>
      <c r="J33" s="109">
        <f>SUM(I33+'Draw #1'!I34)</f>
        <v>0</v>
      </c>
      <c r="K33" s="101" t="str">
        <f t="shared" si="1"/>
        <v/>
      </c>
      <c r="L33" s="9"/>
      <c r="M33" s="9"/>
    </row>
    <row r="34" spans="1:13" ht="14.1" customHeight="1">
      <c r="A34" s="4">
        <f>'SCHEDULE OF VALUE WORKSHEET'!A31</f>
        <v>25</v>
      </c>
      <c r="B34" s="142" t="str">
        <f>'SCHEDULE OF VALUE WORKSHEET'!B31</f>
        <v>Dry Utility Survey</v>
      </c>
      <c r="C34" s="143"/>
      <c r="D34" s="104">
        <f>SUM('SCHEDULE OF VALUE WORKSHEET'!E31)</f>
        <v>5000</v>
      </c>
      <c r="E34" s="106">
        <f>SUM('Draw #1'!E35)</f>
        <v>0</v>
      </c>
      <c r="F34" s="105">
        <v>0</v>
      </c>
      <c r="G34" s="104">
        <f>SUM('Draw #1'!F35)+F34</f>
        <v>5000</v>
      </c>
      <c r="H34" s="109">
        <f t="shared" si="0"/>
        <v>5000</v>
      </c>
      <c r="I34" s="110">
        <v>0</v>
      </c>
      <c r="J34" s="109">
        <f>SUM(I34+'Draw #1'!I35)</f>
        <v>0</v>
      </c>
      <c r="K34" s="101" t="str">
        <f t="shared" si="1"/>
        <v/>
      </c>
      <c r="L34" s="9"/>
      <c r="M34" s="9"/>
    </row>
    <row r="35" spans="1:13" ht="14.1" customHeight="1">
      <c r="A35" s="4">
        <f>'SCHEDULE OF VALUE WORKSHEET'!A32</f>
        <v>26</v>
      </c>
      <c r="B35" s="142" t="str">
        <f>'SCHEDULE OF VALUE WORKSHEET'!B32</f>
        <v>MEP</v>
      </c>
      <c r="C35" s="143"/>
      <c r="D35" s="104">
        <f>SUM('SCHEDULE OF VALUE WORKSHEET'!E32)</f>
        <v>0</v>
      </c>
      <c r="E35" s="106">
        <f>SUM('Draw #1'!E36)</f>
        <v>0</v>
      </c>
      <c r="F35" s="105">
        <v>0</v>
      </c>
      <c r="G35" s="104">
        <f>SUM('Draw #1'!F36)+F35</f>
        <v>0</v>
      </c>
      <c r="H35" s="109">
        <f t="shared" si="0"/>
        <v>0</v>
      </c>
      <c r="I35" s="110">
        <v>0</v>
      </c>
      <c r="J35" s="109">
        <f>SUM(I35+'Draw #1'!I36)</f>
        <v>0</v>
      </c>
      <c r="K35" s="101" t="str">
        <f t="shared" si="1"/>
        <v/>
      </c>
      <c r="L35" s="9"/>
      <c r="M35" s="9"/>
    </row>
    <row r="36" spans="1:13" ht="14.1" customHeight="1">
      <c r="A36" s="4">
        <f>'SCHEDULE OF VALUE WORKSHEET'!A33</f>
        <v>27</v>
      </c>
      <c r="B36" s="142" t="str">
        <f>'SCHEDULE OF VALUE WORKSHEET'!B33</f>
        <v>Civil Construction Administration</v>
      </c>
      <c r="C36" s="143"/>
      <c r="D36" s="104">
        <f>SUM('SCHEDULE OF VALUE WORKSHEET'!E33)</f>
        <v>5000</v>
      </c>
      <c r="E36" s="106">
        <f>SUM('Draw #1'!E37)</f>
        <v>0</v>
      </c>
      <c r="F36" s="105">
        <v>0</v>
      </c>
      <c r="G36" s="104">
        <f>SUM('Draw #1'!F37)+F36</f>
        <v>5000</v>
      </c>
      <c r="H36" s="109">
        <f t="shared" si="0"/>
        <v>5000</v>
      </c>
      <c r="I36" s="110">
        <v>0</v>
      </c>
      <c r="J36" s="109">
        <f>SUM(I36+'Draw #1'!I37)</f>
        <v>0</v>
      </c>
      <c r="K36" s="101" t="str">
        <f t="shared" si="1"/>
        <v/>
      </c>
      <c r="L36" s="9"/>
      <c r="M36" s="9"/>
    </row>
    <row r="37" spans="1:13" ht="14.1" customHeight="1">
      <c r="A37" s="4">
        <f>'SCHEDULE OF VALUE WORKSHEET'!A34</f>
        <v>28</v>
      </c>
      <c r="B37" s="142" t="str">
        <f>'SCHEDULE OF VALUE WORKSHEET'!B34</f>
        <v>Permit Clearances &amp; Agency Reviews</v>
      </c>
      <c r="C37" s="143"/>
      <c r="D37" s="104">
        <f>SUM('SCHEDULE OF VALUE WORKSHEET'!E34)</f>
        <v>0</v>
      </c>
      <c r="E37" s="106">
        <f>SUM('Draw #1'!E38)</f>
        <v>0</v>
      </c>
      <c r="F37" s="105">
        <v>0</v>
      </c>
      <c r="G37" s="104">
        <f>SUM('Draw #1'!F38)+F37</f>
        <v>0</v>
      </c>
      <c r="H37" s="109">
        <f t="shared" si="0"/>
        <v>0</v>
      </c>
      <c r="I37" s="110">
        <v>0</v>
      </c>
      <c r="J37" s="109">
        <f>SUM(I37+'Draw #1'!I38)</f>
        <v>0</v>
      </c>
      <c r="K37" s="101" t="str">
        <f t="shared" si="1"/>
        <v/>
      </c>
      <c r="L37" s="9"/>
      <c r="M37" s="9"/>
    </row>
    <row r="38" spans="1:13" ht="14.1" customHeight="1">
      <c r="A38" s="4">
        <f>'SCHEDULE OF VALUE WORKSHEET'!A35</f>
        <v>29</v>
      </c>
      <c r="B38" s="142" t="str">
        <f>'SCHEDULE OF VALUE WORKSHEET'!B35</f>
        <v>Demo Permit Fees</v>
      </c>
      <c r="C38" s="143"/>
      <c r="D38" s="104">
        <f>SUM('SCHEDULE OF VALUE WORKSHEET'!E35)</f>
        <v>500</v>
      </c>
      <c r="E38" s="106">
        <f>SUM('Draw #1'!E39)</f>
        <v>0</v>
      </c>
      <c r="F38" s="105">
        <v>0</v>
      </c>
      <c r="G38" s="104">
        <f>SUM('Draw #1'!F39)+F38</f>
        <v>500</v>
      </c>
      <c r="H38" s="109">
        <f t="shared" si="0"/>
        <v>500</v>
      </c>
      <c r="I38" s="110">
        <v>0</v>
      </c>
      <c r="J38" s="109">
        <f>SUM(I38+'Draw #1'!I39)</f>
        <v>0</v>
      </c>
      <c r="K38" s="101" t="str">
        <f t="shared" si="1"/>
        <v/>
      </c>
      <c r="L38" s="9"/>
      <c r="M38" s="9"/>
    </row>
    <row r="39" spans="1:13" ht="14.1" customHeight="1">
      <c r="A39" s="4">
        <f>'SCHEDULE OF VALUE WORKSHEET'!A36</f>
        <v>30</v>
      </c>
      <c r="B39" s="142" t="str">
        <f>'SCHEDULE OF VALUE WORKSHEET'!B36</f>
        <v>MEP Fees</v>
      </c>
      <c r="C39" s="143"/>
      <c r="D39" s="104">
        <f>SUM('SCHEDULE OF VALUE WORKSHEET'!E36)</f>
        <v>0</v>
      </c>
      <c r="E39" s="106">
        <f>SUM('Draw #1'!E40)</f>
        <v>0</v>
      </c>
      <c r="F39" s="105">
        <v>0</v>
      </c>
      <c r="G39" s="104">
        <f>SUM('Draw #1'!F40)+F39</f>
        <v>0</v>
      </c>
      <c r="H39" s="109">
        <f t="shared" si="0"/>
        <v>0</v>
      </c>
      <c r="I39" s="110">
        <v>0</v>
      </c>
      <c r="J39" s="109">
        <f>SUM(I39+'Draw #1'!I40)</f>
        <v>0</v>
      </c>
      <c r="K39" s="101" t="str">
        <f t="shared" si="1"/>
        <v/>
      </c>
      <c r="L39" s="9"/>
      <c r="M39" s="9"/>
    </row>
    <row r="40" spans="1:13" ht="14.1" customHeight="1">
      <c r="A40" s="4">
        <f>'SCHEDULE OF VALUE WORKSHEET'!A37</f>
        <v>31</v>
      </c>
      <c r="B40" s="142" t="str">
        <f>'SCHEDULE OF VALUE WORKSHEET'!B37</f>
        <v>Agency Signoffs</v>
      </c>
      <c r="C40" s="143"/>
      <c r="D40" s="104">
        <f>SUM('SCHEDULE OF VALUE WORKSHEET'!E37)</f>
        <v>0</v>
      </c>
      <c r="E40" s="106">
        <f>SUM('Draw #1'!E41)</f>
        <v>0</v>
      </c>
      <c r="F40" s="105">
        <v>0</v>
      </c>
      <c r="G40" s="104">
        <f>SUM('Draw #1'!F41)+F40</f>
        <v>0</v>
      </c>
      <c r="H40" s="109">
        <f t="shared" si="0"/>
        <v>0</v>
      </c>
      <c r="I40" s="110">
        <v>0</v>
      </c>
      <c r="J40" s="109">
        <f>SUM(I40+'Draw #1'!I41)</f>
        <v>0</v>
      </c>
      <c r="K40" s="101" t="str">
        <f t="shared" si="1"/>
        <v/>
      </c>
      <c r="L40" s="9"/>
      <c r="M40" s="9"/>
    </row>
    <row r="41" spans="1:13" ht="14.1" customHeight="1">
      <c r="A41" s="4">
        <f>'SCHEDULE OF VALUE WORKSHEET'!A38</f>
        <v>32</v>
      </c>
      <c r="B41" s="142" t="str">
        <f>'SCHEDULE OF VALUE WORKSHEET'!B38</f>
        <v>Specifications Writer Consultant</v>
      </c>
      <c r="C41" s="143"/>
      <c r="D41" s="104">
        <f>SUM('SCHEDULE OF VALUE WORKSHEET'!E38)</f>
        <v>2000</v>
      </c>
      <c r="E41" s="106">
        <f>SUM('Draw #1'!E42)</f>
        <v>0</v>
      </c>
      <c r="F41" s="105">
        <v>0</v>
      </c>
      <c r="G41" s="104">
        <f>SUM('Draw #1'!F42)+F41</f>
        <v>2000</v>
      </c>
      <c r="H41" s="109">
        <f t="shared" si="0"/>
        <v>2000</v>
      </c>
      <c r="I41" s="110">
        <v>0</v>
      </c>
      <c r="J41" s="109">
        <f>SUM(I41+'Draw #1'!I42)</f>
        <v>0</v>
      </c>
      <c r="K41" s="101" t="str">
        <f t="shared" si="1"/>
        <v/>
      </c>
      <c r="L41" s="9"/>
      <c r="M41" s="9"/>
    </row>
    <row r="42" spans="1:13" ht="14.1" customHeight="1">
      <c r="A42" s="4">
        <f>'SCHEDULE OF VALUE WORKSHEET'!A39</f>
        <v>33</v>
      </c>
      <c r="B42" s="142" t="str">
        <f>'SCHEDULE OF VALUE WORKSHEET'!B39</f>
        <v>Construction Consultant</v>
      </c>
      <c r="C42" s="143"/>
      <c r="D42" s="104">
        <f>SUM('SCHEDULE OF VALUE WORKSHEET'!E39)</f>
        <v>0</v>
      </c>
      <c r="E42" s="106">
        <f>SUM('Draw #1'!E43)</f>
        <v>0</v>
      </c>
      <c r="F42" s="105">
        <v>0</v>
      </c>
      <c r="G42" s="104">
        <f>SUM('Draw #1'!F43)+F42</f>
        <v>0</v>
      </c>
      <c r="H42" s="109">
        <f t="shared" si="0"/>
        <v>0</v>
      </c>
      <c r="I42" s="110">
        <v>0</v>
      </c>
      <c r="J42" s="109">
        <f>SUM(I42+'Draw #1'!I43)</f>
        <v>0</v>
      </c>
      <c r="K42" s="101" t="str">
        <f t="shared" si="1"/>
        <v/>
      </c>
      <c r="L42" s="9"/>
      <c r="M42" s="9"/>
    </row>
    <row r="43" spans="1:13" ht="14.1" customHeight="1">
      <c r="A43" s="4">
        <f>'SCHEDULE OF VALUE WORKSHEET'!A40</f>
        <v>34</v>
      </c>
      <c r="B43" s="142" t="str">
        <f>'SCHEDULE OF VALUE WORKSHEET'!B40</f>
        <v>Low Voltage Consultant</v>
      </c>
      <c r="C43" s="143"/>
      <c r="D43" s="104">
        <f>SUM('SCHEDULE OF VALUE WORKSHEET'!E40)</f>
        <v>15524</v>
      </c>
      <c r="E43" s="106">
        <f>SUM('Draw #1'!E44)</f>
        <v>0</v>
      </c>
      <c r="F43" s="105">
        <v>0</v>
      </c>
      <c r="G43" s="104">
        <f>SUM('Draw #1'!F44)+F43</f>
        <v>15524</v>
      </c>
      <c r="H43" s="109">
        <f t="shared" si="0"/>
        <v>15524</v>
      </c>
      <c r="I43" s="110">
        <v>0</v>
      </c>
      <c r="J43" s="109">
        <f>SUM(I43+'Draw #1'!I44)</f>
        <v>0</v>
      </c>
      <c r="K43" s="101" t="str">
        <f t="shared" si="1"/>
        <v/>
      </c>
      <c r="L43" s="9"/>
      <c r="M43" s="9"/>
    </row>
    <row r="44" spans="1:13" ht="14.1" customHeight="1">
      <c r="A44" s="4">
        <f>'SCHEDULE OF VALUE WORKSHEET'!A41</f>
        <v>35</v>
      </c>
      <c r="B44" s="142" t="str">
        <f>'SCHEDULE OF VALUE WORKSHEET'!B41</f>
        <v>Photovoltaic Consultant</v>
      </c>
      <c r="C44" s="143"/>
      <c r="D44" s="104">
        <f>SUM('SCHEDULE OF VALUE WORKSHEET'!E41)</f>
        <v>5000</v>
      </c>
      <c r="E44" s="106">
        <f>SUM('Draw #1'!E45)</f>
        <v>0</v>
      </c>
      <c r="F44" s="105">
        <v>0</v>
      </c>
      <c r="G44" s="104">
        <f>SUM('Draw #1'!F45)+F44</f>
        <v>5000</v>
      </c>
      <c r="H44" s="109">
        <f t="shared" si="0"/>
        <v>5000</v>
      </c>
      <c r="I44" s="110">
        <v>0</v>
      </c>
      <c r="J44" s="109">
        <f>SUM(I44+'Draw #1'!I45)</f>
        <v>0</v>
      </c>
      <c r="K44" s="101" t="str">
        <f t="shared" si="1"/>
        <v/>
      </c>
      <c r="L44" s="9"/>
      <c r="M44" s="9"/>
    </row>
    <row r="45" spans="1:13" ht="14.1" customHeight="1">
      <c r="A45" s="4">
        <f>'SCHEDULE OF VALUE WORKSHEET'!A42</f>
        <v>36</v>
      </c>
      <c r="B45" s="142" t="str">
        <f>'SCHEDULE OF VALUE WORKSHEET'!B42</f>
        <v>Construction Management / Observation (OO)</v>
      </c>
      <c r="C45" s="143"/>
      <c r="D45" s="104">
        <f>SUM('SCHEDULE OF VALUE WORKSHEET'!E42)</f>
        <v>49427.9</v>
      </c>
      <c r="E45" s="106">
        <f>SUM('Draw #1'!E46)</f>
        <v>0</v>
      </c>
      <c r="F45" s="105">
        <v>0</v>
      </c>
      <c r="G45" s="104">
        <f>SUM('Draw #1'!F46)+F45</f>
        <v>49427.9</v>
      </c>
      <c r="H45" s="109">
        <f t="shared" si="0"/>
        <v>49427.9</v>
      </c>
      <c r="I45" s="110">
        <v>0</v>
      </c>
      <c r="J45" s="109">
        <f>SUM(I45+'Draw #1'!I46)</f>
        <v>0</v>
      </c>
      <c r="K45" s="101" t="str">
        <f t="shared" si="1"/>
        <v/>
      </c>
      <c r="L45" s="9"/>
      <c r="M45" s="9"/>
    </row>
    <row r="46" spans="1:13" ht="14.1" customHeight="1">
      <c r="A46" s="4" t="e">
        <f>'SCHEDULE OF VALUE WORKSHEET'!#REF!</f>
        <v>#REF!</v>
      </c>
      <c r="B46" s="142" t="e">
        <f>'SCHEDULE OF VALUE WORKSHEET'!#REF!</f>
        <v>#REF!</v>
      </c>
      <c r="C46" s="143"/>
      <c r="D46" s="104" t="e">
        <f>SUM('SCHEDULE OF VALUE WORKSHEET'!#REF!)</f>
        <v>#REF!</v>
      </c>
      <c r="E46" s="106">
        <f>SUM('Draw #1'!E47)</f>
        <v>0</v>
      </c>
      <c r="F46" s="105">
        <v>0</v>
      </c>
      <c r="G46" s="104" t="e">
        <f>SUM('Draw #1'!F47)+F46</f>
        <v>#REF!</v>
      </c>
      <c r="H46" s="109" t="e">
        <f t="shared" si="0"/>
        <v>#REF!</v>
      </c>
      <c r="I46" s="110">
        <v>0</v>
      </c>
      <c r="J46" s="109">
        <f>SUM(I46+'Draw #1'!I47)</f>
        <v>0</v>
      </c>
      <c r="K46" s="101" t="str">
        <f t="shared" si="1"/>
        <v/>
      </c>
      <c r="L46" s="9"/>
      <c r="M46" s="9"/>
    </row>
    <row r="47" spans="1:13" ht="14.1" customHeight="1">
      <c r="A47" s="4">
        <f>'SCHEDULE OF VALUE WORKSHEET'!A43</f>
        <v>37</v>
      </c>
      <c r="B47" s="142" t="str">
        <f>'SCHEDULE OF VALUE WORKSHEET'!B43</f>
        <v>CMFA Startup Fee</v>
      </c>
      <c r="C47" s="143"/>
      <c r="D47" s="104">
        <f>SUM('SCHEDULE OF VALUE WORKSHEET'!E43)</f>
        <v>22800</v>
      </c>
      <c r="E47" s="106">
        <f>SUM('Draw #1'!E48)</f>
        <v>0</v>
      </c>
      <c r="F47" s="105">
        <v>0</v>
      </c>
      <c r="G47" s="104">
        <f>SUM('Draw #1'!F48)+F47</f>
        <v>22800</v>
      </c>
      <c r="H47" s="109">
        <f t="shared" si="0"/>
        <v>22800</v>
      </c>
      <c r="I47" s="110">
        <v>0</v>
      </c>
      <c r="J47" s="109">
        <f>SUM(I47+'Draw #1'!I48)</f>
        <v>0</v>
      </c>
      <c r="K47" s="101" t="str">
        <f t="shared" si="1"/>
        <v/>
      </c>
      <c r="L47" s="9"/>
      <c r="M47" s="9"/>
    </row>
    <row r="48" spans="1:13" ht="14.1" customHeight="1">
      <c r="A48" s="4">
        <f>'SCHEDULE OF VALUE WORKSHEET'!A44</f>
        <v>38</v>
      </c>
      <c r="B48" s="142" t="str">
        <f>'SCHEDULE OF VALUE WORKSHEET'!B44</f>
        <v>Non-Profit Start Up Fee</v>
      </c>
      <c r="C48" s="143"/>
      <c r="D48" s="104">
        <f>SUM('SCHEDULE OF VALUE WORKSHEET'!E44)</f>
        <v>25000</v>
      </c>
      <c r="E48" s="106">
        <f>SUM('Draw #1'!E49)</f>
        <v>0</v>
      </c>
      <c r="F48" s="105">
        <v>0</v>
      </c>
      <c r="G48" s="104">
        <f>SUM('Draw #1'!F49)+F48</f>
        <v>25000</v>
      </c>
      <c r="H48" s="109">
        <f t="shared" si="0"/>
        <v>25000</v>
      </c>
      <c r="I48" s="110">
        <v>0</v>
      </c>
      <c r="J48" s="109">
        <f>SUM(I48+'Draw #1'!I49)</f>
        <v>0</v>
      </c>
      <c r="K48" s="101" t="str">
        <f t="shared" si="1"/>
        <v/>
      </c>
      <c r="L48" s="9"/>
      <c r="M48" s="9"/>
    </row>
    <row r="49" spans="1:13" ht="14.1" customHeight="1">
      <c r="A49" s="4">
        <f>'SCHEDULE OF VALUE WORKSHEET'!A45</f>
        <v>39</v>
      </c>
      <c r="B49" s="142" t="str">
        <f>'SCHEDULE OF VALUE WORKSHEET'!B45</f>
        <v>CMFA Construction Fee</v>
      </c>
      <c r="C49" s="143"/>
      <c r="D49" s="104">
        <f>SUM('SCHEDULE OF VALUE WORKSHEET'!E45)</f>
        <v>12000</v>
      </c>
      <c r="E49" s="106">
        <f>SUM('Draw #1'!E50)</f>
        <v>0</v>
      </c>
      <c r="F49" s="105">
        <v>0</v>
      </c>
      <c r="G49" s="104">
        <f>SUM('Draw #1'!F50)+F49</f>
        <v>12000</v>
      </c>
      <c r="H49" s="109">
        <f t="shared" si="0"/>
        <v>12000</v>
      </c>
      <c r="I49" s="110">
        <v>0</v>
      </c>
      <c r="J49" s="109">
        <f>SUM(I49+'Draw #1'!I50)</f>
        <v>0</v>
      </c>
      <c r="K49" s="101" t="str">
        <f t="shared" si="1"/>
        <v/>
      </c>
      <c r="L49" s="9"/>
      <c r="M49" s="9"/>
    </row>
    <row r="50" spans="1:13" ht="14.1" customHeight="1">
      <c r="A50" s="4">
        <f>'SCHEDULE OF VALUE WORKSHEET'!A46</f>
        <v>40</v>
      </c>
      <c r="B50" s="142" t="str">
        <f>'SCHEDULE OF VALUE WORKSHEET'!B46</f>
        <v>Non-Profit Construction Fee</v>
      </c>
      <c r="C50" s="143"/>
      <c r="D50" s="104">
        <f>SUM('SCHEDULE OF VALUE WORKSHEET'!E46)</f>
        <v>10000</v>
      </c>
      <c r="E50" s="106">
        <f>SUM('Draw #1'!E51)</f>
        <v>0</v>
      </c>
      <c r="F50" s="105">
        <v>0</v>
      </c>
      <c r="G50" s="104">
        <f>SUM('Draw #1'!F51)+F50</f>
        <v>10000</v>
      </c>
      <c r="H50" s="109">
        <f t="shared" si="0"/>
        <v>10000</v>
      </c>
      <c r="I50" s="110">
        <v>0</v>
      </c>
      <c r="J50" s="109">
        <f>SUM(I50+'Draw #1'!I51)</f>
        <v>0</v>
      </c>
      <c r="K50" s="101" t="str">
        <f t="shared" si="1"/>
        <v/>
      </c>
      <c r="L50" s="9"/>
      <c r="M50" s="9"/>
    </row>
    <row r="51" spans="1:13" ht="14.1" customHeight="1">
      <c r="A51" s="4">
        <f>'SCHEDULE OF VALUE WORKSHEET'!A47</f>
        <v>41</v>
      </c>
      <c r="B51" s="142" t="str">
        <f>'SCHEDULE OF VALUE WORKSHEET'!B47</f>
        <v>WTE Legal Costs for CMFA &amp; Non-Profit Partner</v>
      </c>
      <c r="C51" s="143"/>
      <c r="D51" s="104">
        <f>SUM('SCHEDULE OF VALUE WORKSHEET'!E47)</f>
        <v>20000</v>
      </c>
      <c r="E51" s="106">
        <f>SUM('Draw #1'!E52)</f>
        <v>0</v>
      </c>
      <c r="F51" s="105">
        <v>0</v>
      </c>
      <c r="G51" s="104">
        <f>SUM('Draw #1'!F52)+F51</f>
        <v>20000</v>
      </c>
      <c r="H51" s="109">
        <f t="shared" si="0"/>
        <v>20000</v>
      </c>
      <c r="I51" s="110">
        <v>0</v>
      </c>
      <c r="J51" s="109">
        <f>SUM(I51+'Draw #1'!I52)</f>
        <v>0</v>
      </c>
      <c r="K51" s="101" t="str">
        <f t="shared" si="1"/>
        <v/>
      </c>
      <c r="L51" s="9"/>
      <c r="M51" s="9"/>
    </row>
    <row r="52" spans="1:13" ht="14.1" customHeight="1">
      <c r="A52" s="4" t="e">
        <f>'SCHEDULE OF VALUE WORKSHEET'!#REF!</f>
        <v>#REF!</v>
      </c>
      <c r="B52" s="142" t="e">
        <f>'SCHEDULE OF VALUE WORKSHEET'!#REF!</f>
        <v>#REF!</v>
      </c>
      <c r="C52" s="143"/>
      <c r="D52" s="104" t="e">
        <f>SUM('SCHEDULE OF VALUE WORKSHEET'!#REF!)</f>
        <v>#REF!</v>
      </c>
      <c r="E52" s="106">
        <f>SUM('Draw #1'!E53)</f>
        <v>0</v>
      </c>
      <c r="F52" s="105">
        <v>0</v>
      </c>
      <c r="G52" s="104" t="e">
        <f>SUM('Draw #1'!F53)+F52</f>
        <v>#REF!</v>
      </c>
      <c r="H52" s="109" t="e">
        <f t="shared" si="0"/>
        <v>#REF!</v>
      </c>
      <c r="I52" s="110">
        <v>0</v>
      </c>
      <c r="J52" s="109">
        <f>SUM(I52+'Draw #1'!I53)</f>
        <v>0</v>
      </c>
      <c r="K52" s="101" t="str">
        <f t="shared" si="1"/>
        <v/>
      </c>
      <c r="L52" s="9"/>
      <c r="M52" s="9"/>
    </row>
    <row r="53" spans="1:13" ht="14.1" customHeight="1">
      <c r="A53" s="4">
        <f>'SCHEDULE OF VALUE WORKSHEET'!A49</f>
        <v>43</v>
      </c>
      <c r="B53" s="142" t="str">
        <f>'SCHEDULE OF VALUE WORKSHEET'!B49</f>
        <v>GENERAL CONDITIONS</v>
      </c>
      <c r="C53" s="143"/>
      <c r="D53" s="104">
        <f>SUM('SCHEDULE OF VALUE WORKSHEET'!E49)</f>
        <v>362115.24</v>
      </c>
      <c r="E53" s="106">
        <f>SUM('Draw #1'!E54)</f>
        <v>0</v>
      </c>
      <c r="F53" s="105">
        <v>0</v>
      </c>
      <c r="G53" s="104">
        <f>SUM('Draw #1'!F54)+F53</f>
        <v>362115.24</v>
      </c>
      <c r="H53" s="109">
        <f t="shared" si="0"/>
        <v>362115.24</v>
      </c>
      <c r="I53" s="110">
        <v>0</v>
      </c>
      <c r="J53" s="109">
        <f>SUM(I53+'Draw #1'!I54)</f>
        <v>0</v>
      </c>
      <c r="K53" s="101" t="str">
        <f t="shared" si="1"/>
        <v/>
      </c>
      <c r="L53" s="9"/>
      <c r="M53" s="9"/>
    </row>
    <row r="54" spans="1:13" ht="14.1" customHeight="1">
      <c r="A54" s="4">
        <f>'SCHEDULE OF VALUE WORKSHEET'!A50</f>
        <v>44</v>
      </c>
      <c r="B54" s="142" t="str">
        <f>'SCHEDULE OF VALUE WORKSHEET'!B50</f>
        <v>GENERAL REQUIREMENT</v>
      </c>
      <c r="C54" s="143"/>
      <c r="D54" s="104">
        <f>SUM('SCHEDULE OF VALUE WORKSHEET'!E50)</f>
        <v>124657.88</v>
      </c>
      <c r="E54" s="106">
        <f>SUM('Draw #1'!E55)</f>
        <v>0</v>
      </c>
      <c r="F54" s="105">
        <v>0</v>
      </c>
      <c r="G54" s="104">
        <f>SUM('Draw #1'!F55)+F54</f>
        <v>124657.88</v>
      </c>
      <c r="H54" s="109">
        <f t="shared" si="0"/>
        <v>124657.88</v>
      </c>
      <c r="I54" s="110">
        <v>0</v>
      </c>
      <c r="J54" s="109">
        <f>SUM(I54+'Draw #1'!I55)</f>
        <v>0</v>
      </c>
      <c r="K54" s="101" t="str">
        <f t="shared" si="1"/>
        <v/>
      </c>
      <c r="L54" s="9"/>
      <c r="M54" s="9"/>
    </row>
    <row r="55" spans="1:13" ht="14.1" customHeight="1">
      <c r="A55" s="4">
        <f>'SCHEDULE OF VALUE WORKSHEET'!A51</f>
        <v>45</v>
      </c>
      <c r="B55" s="142" t="str">
        <f>'SCHEDULE OF VALUE WORKSHEET'!B51</f>
        <v>SITE WORK</v>
      </c>
      <c r="C55" s="143"/>
      <c r="D55" s="104">
        <f>SUM('SCHEDULE OF VALUE WORKSHEET'!E51)</f>
        <v>139049.51</v>
      </c>
      <c r="E55" s="106">
        <f>SUM('Draw #1'!E56)</f>
        <v>0</v>
      </c>
      <c r="F55" s="105">
        <v>0</v>
      </c>
      <c r="G55" s="104">
        <f>SUM('Draw #1'!F56)+F55</f>
        <v>139049.51</v>
      </c>
      <c r="H55" s="109">
        <f t="shared" si="0"/>
        <v>139049.51</v>
      </c>
      <c r="I55" s="110">
        <v>0</v>
      </c>
      <c r="J55" s="109">
        <f>SUM(I55+'Draw #1'!I56)</f>
        <v>0</v>
      </c>
      <c r="K55" s="101" t="str">
        <f t="shared" si="1"/>
        <v/>
      </c>
      <c r="L55" s="9"/>
      <c r="M55" s="9"/>
    </row>
    <row r="56" spans="1:13" ht="14.1" customHeight="1">
      <c r="A56" s="4">
        <f>'SCHEDULE OF VALUE WORKSHEET'!A52</f>
        <v>46</v>
      </c>
      <c r="B56" s="142" t="str">
        <f>'SCHEDULE OF VALUE WORKSHEET'!B52</f>
        <v>CONCRETE</v>
      </c>
      <c r="C56" s="143"/>
      <c r="D56" s="104">
        <f>SUM('SCHEDULE OF VALUE WORKSHEET'!E52)</f>
        <v>253182</v>
      </c>
      <c r="E56" s="106">
        <f>SUM('Draw #1'!E57)</f>
        <v>0</v>
      </c>
      <c r="F56" s="105">
        <v>0</v>
      </c>
      <c r="G56" s="104">
        <f>SUM('Draw #1'!F57)+F56</f>
        <v>253182</v>
      </c>
      <c r="H56" s="109">
        <f t="shared" si="0"/>
        <v>253182</v>
      </c>
      <c r="I56" s="110">
        <v>0</v>
      </c>
      <c r="J56" s="109">
        <f>SUM(I56+'Draw #1'!I57)</f>
        <v>0</v>
      </c>
      <c r="K56" s="101" t="str">
        <f t="shared" si="1"/>
        <v/>
      </c>
      <c r="L56" s="9"/>
      <c r="M56" s="9"/>
    </row>
    <row r="57" spans="1:13" ht="14.1" customHeight="1">
      <c r="A57" s="4">
        <f>'SCHEDULE OF VALUE WORKSHEET'!A53</f>
        <v>47</v>
      </c>
      <c r="B57" s="142" t="str">
        <f>'SCHEDULE OF VALUE WORKSHEET'!B53</f>
        <v>MASONRY</v>
      </c>
      <c r="C57" s="143"/>
      <c r="D57" s="104">
        <f>SUM('SCHEDULE OF VALUE WORKSHEET'!E53)</f>
        <v>3562.64</v>
      </c>
      <c r="E57" s="106">
        <f>SUM('Draw #1'!E58)</f>
        <v>0</v>
      </c>
      <c r="F57" s="105">
        <v>0</v>
      </c>
      <c r="G57" s="104">
        <f>SUM('Draw #1'!F58)+F57</f>
        <v>3562.64</v>
      </c>
      <c r="H57" s="109">
        <f t="shared" si="0"/>
        <v>3562.64</v>
      </c>
      <c r="I57" s="110">
        <v>0</v>
      </c>
      <c r="J57" s="109">
        <f>SUM(I57+'Draw #1'!I58)</f>
        <v>0</v>
      </c>
      <c r="K57" s="101" t="str">
        <f t="shared" si="1"/>
        <v/>
      </c>
      <c r="L57" s="9"/>
      <c r="M57" s="9"/>
    </row>
    <row r="58" spans="1:13" ht="14.1" customHeight="1">
      <c r="A58" s="4">
        <f>'SCHEDULE OF VALUE WORKSHEET'!A54</f>
        <v>48</v>
      </c>
      <c r="B58" s="142" t="str">
        <f>'SCHEDULE OF VALUE WORKSHEET'!B54</f>
        <v>METALS</v>
      </c>
      <c r="C58" s="143"/>
      <c r="D58" s="104">
        <f>SUM('SCHEDULE OF VALUE WORKSHEET'!E54)</f>
        <v>324100</v>
      </c>
      <c r="E58" s="106">
        <f>SUM('Draw #1'!E59)</f>
        <v>0</v>
      </c>
      <c r="F58" s="105">
        <v>0</v>
      </c>
      <c r="G58" s="104">
        <f>SUM('Draw #1'!F59)+F58</f>
        <v>324100</v>
      </c>
      <c r="H58" s="109">
        <f t="shared" si="0"/>
        <v>324100</v>
      </c>
      <c r="I58" s="110">
        <v>0</v>
      </c>
      <c r="J58" s="109">
        <f>SUM(I58+'Draw #1'!I59)</f>
        <v>0</v>
      </c>
      <c r="K58" s="101" t="str">
        <f t="shared" si="1"/>
        <v/>
      </c>
      <c r="L58" s="9"/>
      <c r="M58" s="9"/>
    </row>
    <row r="59" spans="1:13" ht="14.1" customHeight="1">
      <c r="A59" s="4">
        <f>'SCHEDULE OF VALUE WORKSHEET'!A55</f>
        <v>49</v>
      </c>
      <c r="B59" s="142" t="str">
        <f>'SCHEDULE OF VALUE WORKSHEET'!B55</f>
        <v>FRAMING</v>
      </c>
      <c r="C59" s="143"/>
      <c r="D59" s="104">
        <f>SUM('SCHEDULE OF VALUE WORKSHEET'!E55)</f>
        <v>818554</v>
      </c>
      <c r="E59" s="106">
        <f>SUM('Draw #1'!E60)</f>
        <v>0</v>
      </c>
      <c r="F59" s="105">
        <v>0</v>
      </c>
      <c r="G59" s="104">
        <f>SUM('Draw #1'!F60)+F59</f>
        <v>818554</v>
      </c>
      <c r="H59" s="109">
        <f t="shared" si="0"/>
        <v>818554</v>
      </c>
      <c r="I59" s="110">
        <v>0</v>
      </c>
      <c r="J59" s="109">
        <f>SUM(I59+'Draw #1'!I60)</f>
        <v>0</v>
      </c>
      <c r="K59" s="101" t="str">
        <f t="shared" si="1"/>
        <v/>
      </c>
      <c r="L59" s="9"/>
      <c r="M59" s="9"/>
    </row>
    <row r="60" spans="1:13" ht="14.1" customHeight="1">
      <c r="A60" s="4">
        <f>'SCHEDULE OF VALUE WORKSHEET'!A56</f>
        <v>50</v>
      </c>
      <c r="B60" s="142" t="str">
        <f>'SCHEDULE OF VALUE WORKSHEET'!B56</f>
        <v>COUNTERTOPS</v>
      </c>
      <c r="C60" s="143"/>
      <c r="D60" s="104">
        <f>SUM('SCHEDULE OF VALUE WORKSHEET'!E56)</f>
        <v>56930</v>
      </c>
      <c r="E60" s="106">
        <f>SUM('Draw #1'!E61)</f>
        <v>0</v>
      </c>
      <c r="F60" s="105">
        <v>0</v>
      </c>
      <c r="G60" s="104">
        <f>SUM('Draw #1'!F61)+F60</f>
        <v>56930</v>
      </c>
      <c r="H60" s="109">
        <f t="shared" si="0"/>
        <v>56930</v>
      </c>
      <c r="I60" s="110">
        <v>0</v>
      </c>
      <c r="J60" s="109">
        <f>SUM(I60+'Draw #1'!I61)</f>
        <v>0</v>
      </c>
      <c r="K60" s="101" t="str">
        <f t="shared" si="1"/>
        <v/>
      </c>
      <c r="L60" s="9"/>
      <c r="M60" s="9"/>
    </row>
    <row r="61" spans="1:13" ht="14.1" customHeight="1">
      <c r="A61" s="4">
        <f>'SCHEDULE OF VALUE WORKSHEET'!A57</f>
        <v>51</v>
      </c>
      <c r="B61" s="142" t="str">
        <f>'SCHEDULE OF VALUE WORKSHEET'!B57</f>
        <v>CABINETS</v>
      </c>
      <c r="C61" s="143"/>
      <c r="D61" s="104">
        <f>SUM('SCHEDULE OF VALUE WORKSHEET'!E57)</f>
        <v>56930</v>
      </c>
      <c r="E61" s="106">
        <f>SUM('Draw #1'!E62)</f>
        <v>0</v>
      </c>
      <c r="F61" s="105">
        <v>0</v>
      </c>
      <c r="G61" s="104">
        <f>SUM('Draw #1'!F62)+F61</f>
        <v>56930</v>
      </c>
      <c r="H61" s="109">
        <f t="shared" si="0"/>
        <v>56930</v>
      </c>
      <c r="I61" s="110">
        <v>0</v>
      </c>
      <c r="J61" s="109">
        <f>SUM(I61+'Draw #1'!I62)</f>
        <v>0</v>
      </c>
      <c r="K61" s="101" t="str">
        <f t="shared" si="1"/>
        <v/>
      </c>
      <c r="L61" s="9"/>
      <c r="M61" s="9"/>
    </row>
    <row r="62" spans="1:13" ht="14.1" customHeight="1">
      <c r="A62" s="4">
        <f>'SCHEDULE OF VALUE WORKSHEET'!A58</f>
        <v>52</v>
      </c>
      <c r="B62" s="142" t="str">
        <f>'SCHEDULE OF VALUE WORKSHEET'!B58</f>
        <v>THERMAL MOISTURE PROTECTION</v>
      </c>
      <c r="C62" s="143"/>
      <c r="D62" s="104">
        <f>SUM('SCHEDULE OF VALUE WORKSHEET'!E58)</f>
        <v>173148</v>
      </c>
      <c r="E62" s="106">
        <f>SUM('Draw #1'!E63)</f>
        <v>0</v>
      </c>
      <c r="F62" s="105">
        <v>0</v>
      </c>
      <c r="G62" s="104">
        <f>SUM('Draw #1'!F63)+F62</f>
        <v>173148</v>
      </c>
      <c r="H62" s="109">
        <f t="shared" si="0"/>
        <v>173148</v>
      </c>
      <c r="I62" s="110">
        <v>0</v>
      </c>
      <c r="J62" s="109">
        <f>SUM(I62+'Draw #1'!I63)</f>
        <v>0</v>
      </c>
      <c r="K62" s="101" t="str">
        <f t="shared" si="1"/>
        <v/>
      </c>
      <c r="L62" s="9"/>
      <c r="M62" s="9"/>
    </row>
    <row r="63" spans="1:13" ht="14.1" customHeight="1">
      <c r="A63" s="4">
        <f>'SCHEDULE OF VALUE WORKSHEET'!A59</f>
        <v>53</v>
      </c>
      <c r="B63" s="142" t="str">
        <f>'SCHEDULE OF VALUE WORKSHEET'!B59</f>
        <v>DOORS</v>
      </c>
      <c r="C63" s="143"/>
      <c r="D63" s="104">
        <f>SUM('SCHEDULE OF VALUE WORKSHEET'!E59)</f>
        <v>204087.33</v>
      </c>
      <c r="E63" s="106">
        <f>SUM('Draw #1'!E64)</f>
        <v>0</v>
      </c>
      <c r="F63" s="105">
        <v>0</v>
      </c>
      <c r="G63" s="104">
        <f>SUM('Draw #1'!F64)+F63</f>
        <v>204087.33</v>
      </c>
      <c r="H63" s="109">
        <f t="shared" si="0"/>
        <v>204087.33</v>
      </c>
      <c r="I63" s="110">
        <v>0</v>
      </c>
      <c r="J63" s="109">
        <f>SUM(I63+'Draw #1'!I64)</f>
        <v>0</v>
      </c>
      <c r="K63" s="101" t="str">
        <f t="shared" si="1"/>
        <v/>
      </c>
      <c r="L63" s="9"/>
      <c r="M63" s="9"/>
    </row>
    <row r="64" spans="1:13" ht="14.1" customHeight="1">
      <c r="A64" s="4">
        <f>'SCHEDULE OF VALUE WORKSHEET'!A60</f>
        <v>54</v>
      </c>
      <c r="B64" s="142" t="str">
        <f>'SCHEDULE OF VALUE WORKSHEET'!B60</f>
        <v>WINDOWS</v>
      </c>
      <c r="C64" s="143"/>
      <c r="D64" s="104">
        <f>SUM('SCHEDULE OF VALUE WORKSHEET'!E60)</f>
        <v>106274.25</v>
      </c>
      <c r="E64" s="106">
        <f>SUM('Draw #1'!E65)</f>
        <v>0</v>
      </c>
      <c r="F64" s="105">
        <v>0</v>
      </c>
      <c r="G64" s="104">
        <f>SUM('Draw #1'!F65)+F64</f>
        <v>106274.25</v>
      </c>
      <c r="H64" s="109">
        <f t="shared" si="0"/>
        <v>106274.25</v>
      </c>
      <c r="I64" s="110">
        <v>0</v>
      </c>
      <c r="J64" s="109">
        <f>SUM(I64+'Draw #1'!I65)</f>
        <v>0</v>
      </c>
      <c r="K64" s="101" t="str">
        <f t="shared" si="1"/>
        <v/>
      </c>
      <c r="L64" s="9"/>
      <c r="M64" s="9"/>
    </row>
    <row r="65" spans="1:13" ht="14.1" customHeight="1">
      <c r="A65" s="4">
        <f>'SCHEDULE OF VALUE WORKSHEET'!A61</f>
        <v>55</v>
      </c>
      <c r="B65" s="142" t="str">
        <f>'SCHEDULE OF VALUE WORKSHEET'!B61</f>
        <v>STUCCO</v>
      </c>
      <c r="C65" s="143"/>
      <c r="D65" s="104">
        <f>SUM('SCHEDULE OF VALUE WORKSHEET'!E61)</f>
        <v>208002</v>
      </c>
      <c r="E65" s="106">
        <f>SUM('Draw #1'!E66)</f>
        <v>0</v>
      </c>
      <c r="F65" s="105">
        <v>0</v>
      </c>
      <c r="G65" s="104">
        <f>SUM('Draw #1'!F66)+F65</f>
        <v>208002</v>
      </c>
      <c r="H65" s="109">
        <f t="shared" si="0"/>
        <v>208002</v>
      </c>
      <c r="I65" s="110">
        <v>0</v>
      </c>
      <c r="J65" s="109">
        <f>SUM(I65+'Draw #1'!I66)</f>
        <v>0</v>
      </c>
      <c r="K65" s="101" t="str">
        <f t="shared" si="1"/>
        <v/>
      </c>
      <c r="L65" s="9"/>
      <c r="M65" s="9"/>
    </row>
    <row r="66" spans="1:13" ht="14.1" customHeight="1">
      <c r="A66" s="4">
        <f>'SCHEDULE OF VALUE WORKSHEET'!A62</f>
        <v>56</v>
      </c>
      <c r="B66" s="142" t="str">
        <f>'SCHEDULE OF VALUE WORKSHEET'!B62</f>
        <v>DRYWALL</v>
      </c>
      <c r="C66" s="143"/>
      <c r="D66" s="104">
        <f>SUM('SCHEDULE OF VALUE WORKSHEET'!E62)</f>
        <v>416355</v>
      </c>
      <c r="E66" s="106">
        <f>SUM('Draw #1'!E67)</f>
        <v>0</v>
      </c>
      <c r="F66" s="105">
        <v>0</v>
      </c>
      <c r="G66" s="104">
        <f>SUM('Draw #1'!F67)+F66</f>
        <v>416355</v>
      </c>
      <c r="H66" s="109">
        <f t="shared" si="0"/>
        <v>416355</v>
      </c>
      <c r="I66" s="110">
        <v>0</v>
      </c>
      <c r="J66" s="109">
        <f>SUM(I66+'Draw #1'!I67)</f>
        <v>0</v>
      </c>
      <c r="K66" s="101" t="str">
        <f t="shared" si="1"/>
        <v/>
      </c>
      <c r="L66" s="9"/>
      <c r="M66" s="9"/>
    </row>
    <row r="67" spans="1:13" ht="14.1" customHeight="1">
      <c r="A67" s="4">
        <f>'SCHEDULE OF VALUE WORKSHEET'!A63</f>
        <v>57</v>
      </c>
      <c r="B67" s="142" t="str">
        <f>'SCHEDULE OF VALUE WORKSHEET'!B63</f>
        <v>PAINTING</v>
      </c>
      <c r="C67" s="143"/>
      <c r="D67" s="104">
        <f>SUM('SCHEDULE OF VALUE WORKSHEET'!E63)</f>
        <v>120700</v>
      </c>
      <c r="E67" s="106">
        <f>SUM('Draw #1'!E68)</f>
        <v>0</v>
      </c>
      <c r="F67" s="105">
        <v>0</v>
      </c>
      <c r="G67" s="104">
        <f>SUM('Draw #1'!F68)+F67</f>
        <v>120700</v>
      </c>
      <c r="H67" s="109">
        <f t="shared" si="0"/>
        <v>120700</v>
      </c>
      <c r="I67" s="110">
        <v>0</v>
      </c>
      <c r="J67" s="109">
        <f>SUM(I67+'Draw #1'!I68)</f>
        <v>0</v>
      </c>
      <c r="K67" s="101" t="str">
        <f t="shared" si="1"/>
        <v/>
      </c>
      <c r="L67" s="9"/>
      <c r="M67" s="9"/>
    </row>
    <row r="68" spans="1:13" ht="14.1" customHeight="1">
      <c r="A68" s="4">
        <f>'SCHEDULE OF VALUE WORKSHEET'!A64</f>
        <v>58</v>
      </c>
      <c r="B68" s="142" t="str">
        <f>'SCHEDULE OF VALUE WORKSHEET'!B64</f>
        <v>FLOORING - common areas</v>
      </c>
      <c r="C68" s="143"/>
      <c r="D68" s="104">
        <f>SUM('SCHEDULE OF VALUE WORKSHEET'!E64)</f>
        <v>45150</v>
      </c>
      <c r="E68" s="106">
        <f>SUM('Draw #1'!E69)</f>
        <v>0</v>
      </c>
      <c r="F68" s="105">
        <v>0</v>
      </c>
      <c r="G68" s="104">
        <f>SUM('Draw #1'!F69)+F68</f>
        <v>45150</v>
      </c>
      <c r="H68" s="109">
        <f t="shared" si="0"/>
        <v>45150</v>
      </c>
      <c r="I68" s="110">
        <v>0</v>
      </c>
      <c r="J68" s="109">
        <f>SUM(I68+'Draw #1'!I69)</f>
        <v>0</v>
      </c>
      <c r="K68" s="101" t="str">
        <f t="shared" si="1"/>
        <v/>
      </c>
      <c r="L68" s="9"/>
      <c r="M68" s="9"/>
    </row>
    <row r="69" spans="1:13" ht="14.1" customHeight="1">
      <c r="A69" s="4">
        <f>'SCHEDULE OF VALUE WORKSHEET'!A65</f>
        <v>59</v>
      </c>
      <c r="B69" s="142" t="str">
        <f>'SCHEDULE OF VALUE WORKSHEET'!B65</f>
        <v>FLOORING - Units with baseboards</v>
      </c>
      <c r="C69" s="143"/>
      <c r="D69" s="104">
        <f>SUM('SCHEDULE OF VALUE WORKSHEET'!E65)</f>
        <v>93335</v>
      </c>
      <c r="E69" s="106">
        <f>SUM('Draw #1'!E70)</f>
        <v>0</v>
      </c>
      <c r="F69" s="105">
        <v>0</v>
      </c>
      <c r="G69" s="104">
        <f>SUM('Draw #1'!F70)+F69</f>
        <v>93335</v>
      </c>
      <c r="H69" s="109">
        <f t="shared" si="0"/>
        <v>93335</v>
      </c>
      <c r="I69" s="110">
        <v>0</v>
      </c>
      <c r="J69" s="109">
        <f>SUM(I69+'Draw #1'!I70)</f>
        <v>0</v>
      </c>
      <c r="K69" s="101" t="str">
        <f t="shared" si="1"/>
        <v/>
      </c>
      <c r="L69" s="9"/>
      <c r="M69" s="9"/>
    </row>
    <row r="70" spans="1:13" ht="14.1" customHeight="1">
      <c r="A70" s="4">
        <f>'SCHEDULE OF VALUE WORKSHEET'!A66</f>
        <v>60</v>
      </c>
      <c r="B70" s="142" t="str">
        <f>'SCHEDULE OF VALUE WORKSHEET'!B66</f>
        <v>SPECIALTIES</v>
      </c>
      <c r="C70" s="143"/>
      <c r="D70" s="104">
        <f>SUM('SCHEDULE OF VALUE WORKSHEET'!E66)</f>
        <v>25109.21</v>
      </c>
      <c r="E70" s="106">
        <f>SUM('Draw #1'!E71)</f>
        <v>0</v>
      </c>
      <c r="F70" s="105">
        <v>0</v>
      </c>
      <c r="G70" s="104">
        <f>SUM('Draw #1'!F71)+F70</f>
        <v>25109.21</v>
      </c>
      <c r="H70" s="109">
        <f t="shared" si="0"/>
        <v>25109.21</v>
      </c>
      <c r="I70" s="110">
        <v>0</v>
      </c>
      <c r="J70" s="109">
        <f>SUM(I70+'Draw #1'!I71)</f>
        <v>0</v>
      </c>
      <c r="K70" s="101" t="str">
        <f t="shared" si="1"/>
        <v/>
      </c>
      <c r="L70" s="9"/>
      <c r="M70" s="9"/>
    </row>
    <row r="71" spans="1:13" ht="14.1" customHeight="1">
      <c r="A71" s="4">
        <f>'SCHEDULE OF VALUE WORKSHEET'!A67</f>
        <v>61</v>
      </c>
      <c r="B71" s="142" t="str">
        <f>'SCHEDULE OF VALUE WORKSHEET'!B67</f>
        <v>EQUIPMENT</v>
      </c>
      <c r="C71" s="143"/>
      <c r="D71" s="104">
        <f>SUM('SCHEDULE OF VALUE WORKSHEET'!E67)</f>
        <v>153636</v>
      </c>
      <c r="E71" s="106">
        <f>SUM('Draw #1'!E72)</f>
        <v>0</v>
      </c>
      <c r="F71" s="105">
        <v>0</v>
      </c>
      <c r="G71" s="104">
        <f>SUM('Draw #1'!F72)+F71</f>
        <v>153636</v>
      </c>
      <c r="H71" s="109">
        <f t="shared" si="0"/>
        <v>153636</v>
      </c>
      <c r="I71" s="110">
        <v>0</v>
      </c>
      <c r="J71" s="109">
        <f>SUM(I71+'Draw #1'!I72)</f>
        <v>0</v>
      </c>
      <c r="K71" s="101" t="str">
        <f t="shared" si="1"/>
        <v/>
      </c>
      <c r="L71" s="9"/>
      <c r="M71" s="9"/>
    </row>
    <row r="72" spans="1:13" ht="14.1" customHeight="1">
      <c r="A72" s="4">
        <f>'SCHEDULE OF VALUE WORKSHEET'!A68</f>
        <v>62</v>
      </c>
      <c r="B72" s="142" t="str">
        <f>'SCHEDULE OF VALUE WORKSHEET'!B68</f>
        <v>FURNISHING</v>
      </c>
      <c r="C72" s="143"/>
      <c r="D72" s="104">
        <f>SUM('SCHEDULE OF VALUE WORKSHEET'!E68)</f>
        <v>0</v>
      </c>
      <c r="E72" s="106">
        <f>SUM('Draw #1'!E73)</f>
        <v>0</v>
      </c>
      <c r="F72" s="105">
        <v>0</v>
      </c>
      <c r="G72" s="104">
        <f>SUM('Draw #1'!F73)+F72</f>
        <v>0</v>
      </c>
      <c r="H72" s="109">
        <f t="shared" si="0"/>
        <v>0</v>
      </c>
      <c r="I72" s="110">
        <v>0</v>
      </c>
      <c r="J72" s="109">
        <f>SUM(I72+'Draw #1'!I73)</f>
        <v>0</v>
      </c>
      <c r="K72" s="101" t="str">
        <f t="shared" si="1"/>
        <v/>
      </c>
      <c r="L72" s="9"/>
      <c r="M72" s="9"/>
    </row>
    <row r="73" spans="1:13" ht="14.1" customHeight="1">
      <c r="A73" s="4">
        <f>'SCHEDULE OF VALUE WORKSHEET'!A69</f>
        <v>63</v>
      </c>
      <c r="B73" s="142" t="str">
        <f>'SCHEDULE OF VALUE WORKSHEET'!B69</f>
        <v>FIRE SPRINKLERS</v>
      </c>
      <c r="C73" s="143"/>
      <c r="D73" s="104">
        <f>SUM('SCHEDULE OF VALUE WORKSHEET'!E69)</f>
        <v>108500</v>
      </c>
      <c r="E73" s="106">
        <f>SUM('Draw #1'!E74)</f>
        <v>0</v>
      </c>
      <c r="F73" s="105">
        <v>0</v>
      </c>
      <c r="G73" s="104">
        <f>SUM('Draw #1'!F74)+F73</f>
        <v>108500</v>
      </c>
      <c r="H73" s="109">
        <f t="shared" si="0"/>
        <v>108500</v>
      </c>
      <c r="I73" s="110">
        <v>0</v>
      </c>
      <c r="J73" s="109">
        <f>SUM(I73+'Draw #1'!I74)</f>
        <v>0</v>
      </c>
      <c r="K73" s="101" t="str">
        <f t="shared" si="1"/>
        <v/>
      </c>
      <c r="L73" s="9"/>
      <c r="M73" s="9"/>
    </row>
    <row r="74" spans="1:13" ht="14.1" customHeight="1">
      <c r="A74" s="4">
        <f>'SCHEDULE OF VALUE WORKSHEET'!A70</f>
        <v>64</v>
      </c>
      <c r="B74" s="142" t="str">
        <f>'SCHEDULE OF VALUE WORKSHEET'!B70</f>
        <v>FIRE ALARM</v>
      </c>
      <c r="C74" s="143"/>
      <c r="D74" s="104">
        <f>SUM('SCHEDULE OF VALUE WORKSHEET'!E70)</f>
        <v>68401</v>
      </c>
      <c r="E74" s="106">
        <f>SUM('Draw #1'!E75)</f>
        <v>0</v>
      </c>
      <c r="F74" s="105">
        <v>0</v>
      </c>
      <c r="G74" s="104">
        <f>SUM('Draw #1'!F75)+F74</f>
        <v>68401</v>
      </c>
      <c r="H74" s="109">
        <f t="shared" si="0"/>
        <v>68401</v>
      </c>
      <c r="I74" s="110">
        <v>0</v>
      </c>
      <c r="J74" s="109">
        <f>SUM(I74+'Draw #1'!I75)</f>
        <v>0</v>
      </c>
      <c r="K74" s="101" t="str">
        <f t="shared" si="1"/>
        <v/>
      </c>
      <c r="L74" s="9"/>
      <c r="M74" s="9"/>
    </row>
    <row r="75" spans="1:13" ht="14.1" customHeight="1">
      <c r="A75" s="4">
        <f>'SCHEDULE OF VALUE WORKSHEET'!A71</f>
        <v>65</v>
      </c>
      <c r="B75" s="142" t="str">
        <f>'SCHEDULE OF VALUE WORKSHEET'!B71</f>
        <v>SOLAR PANELS</v>
      </c>
      <c r="C75" s="143"/>
      <c r="D75" s="104">
        <f>SUM('SCHEDULE OF VALUE WORKSHEET'!E71)</f>
        <v>97000</v>
      </c>
      <c r="E75" s="106">
        <f>SUM('Draw #1'!E76)</f>
        <v>0</v>
      </c>
      <c r="F75" s="105">
        <v>0</v>
      </c>
      <c r="G75" s="104">
        <f>SUM('Draw #1'!F76)+F75</f>
        <v>97000</v>
      </c>
      <c r="H75" s="109">
        <f t="shared" ref="H75:H135" si="2">SUM(G75-J75)</f>
        <v>97000</v>
      </c>
      <c r="I75" s="110">
        <v>0</v>
      </c>
      <c r="J75" s="109">
        <f>SUM(I75+'Draw #1'!I76)</f>
        <v>0</v>
      </c>
      <c r="K75" s="101" t="str">
        <f t="shared" ref="K75:K135" si="3">IF(J75=0,"",J75/G75)</f>
        <v/>
      </c>
      <c r="L75" s="9"/>
      <c r="M75" s="9"/>
    </row>
    <row r="76" spans="1:13" ht="14.1" customHeight="1">
      <c r="A76" s="4">
        <f>'SCHEDULE OF VALUE WORKSHEET'!A72</f>
        <v>66</v>
      </c>
      <c r="B76" s="142" t="str">
        <f>'SCHEDULE OF VALUE WORKSHEET'!B72</f>
        <v>SECURITY ACCESS &amp; SURVEILLANCE</v>
      </c>
      <c r="C76" s="143"/>
      <c r="D76" s="104">
        <f>SUM('SCHEDULE OF VALUE WORKSHEET'!E72)</f>
        <v>136430</v>
      </c>
      <c r="E76" s="106">
        <f>SUM('Draw #1'!E77)</f>
        <v>0</v>
      </c>
      <c r="F76" s="105">
        <v>0</v>
      </c>
      <c r="G76" s="104">
        <f>SUM('Draw #1'!F77)+F76</f>
        <v>136430</v>
      </c>
      <c r="H76" s="109">
        <f t="shared" si="2"/>
        <v>136430</v>
      </c>
      <c r="I76" s="110">
        <v>0</v>
      </c>
      <c r="J76" s="109">
        <f>SUM(I76+'Draw #1'!I77)</f>
        <v>0</v>
      </c>
      <c r="K76" s="101" t="str">
        <f t="shared" si="3"/>
        <v/>
      </c>
      <c r="L76" s="9"/>
      <c r="M76" s="9"/>
    </row>
    <row r="77" spans="1:13" ht="14.1" customHeight="1">
      <c r="A77" s="4">
        <f>'SCHEDULE OF VALUE WORKSHEET'!A73</f>
        <v>67</v>
      </c>
      <c r="B77" s="142" t="str">
        <f>'SCHEDULE OF VALUE WORKSHEET'!B73</f>
        <v>ELEVATORS &amp; LIFT</v>
      </c>
      <c r="C77" s="143"/>
      <c r="D77" s="104">
        <f>SUM('SCHEDULE OF VALUE WORKSHEET'!E73)</f>
        <v>174882</v>
      </c>
      <c r="E77" s="106">
        <f>SUM('Draw #1'!E78)</f>
        <v>0</v>
      </c>
      <c r="F77" s="105">
        <v>0</v>
      </c>
      <c r="G77" s="104">
        <f>SUM('Draw #1'!F78)+F77</f>
        <v>174882</v>
      </c>
      <c r="H77" s="109">
        <f t="shared" si="2"/>
        <v>174882</v>
      </c>
      <c r="I77" s="110">
        <v>0</v>
      </c>
      <c r="J77" s="109">
        <f>SUM(I77+'Draw #1'!I78)</f>
        <v>0</v>
      </c>
      <c r="K77" s="101" t="str">
        <f t="shared" si="3"/>
        <v/>
      </c>
      <c r="L77" s="9"/>
      <c r="M77" s="9"/>
    </row>
    <row r="78" spans="1:13" ht="14.1" customHeight="1">
      <c r="A78" s="4">
        <f>'SCHEDULE OF VALUE WORKSHEET'!A74</f>
        <v>68</v>
      </c>
      <c r="B78" s="142" t="str">
        <f>'SCHEDULE OF VALUE WORKSHEET'!B74</f>
        <v>WATER SUBMETER (material)</v>
      </c>
      <c r="C78" s="143"/>
      <c r="D78" s="104">
        <f>SUM('SCHEDULE OF VALUE WORKSHEET'!E74)</f>
        <v>12273</v>
      </c>
      <c r="E78" s="106">
        <f>SUM('Draw #1'!E79)</f>
        <v>0</v>
      </c>
      <c r="F78" s="105">
        <v>0</v>
      </c>
      <c r="G78" s="104">
        <f>SUM('Draw #1'!F79)+F78</f>
        <v>12273</v>
      </c>
      <c r="H78" s="109">
        <f t="shared" si="2"/>
        <v>12273</v>
      </c>
      <c r="I78" s="110">
        <v>0</v>
      </c>
      <c r="J78" s="109">
        <f>SUM(I78+'Draw #1'!I79)</f>
        <v>0</v>
      </c>
      <c r="K78" s="101" t="str">
        <f t="shared" si="3"/>
        <v/>
      </c>
      <c r="L78" s="9"/>
      <c r="M78" s="9"/>
    </row>
    <row r="79" spans="1:13" ht="14.1" customHeight="1">
      <c r="A79" s="4">
        <f>'SCHEDULE OF VALUE WORKSHEET'!A75</f>
        <v>69</v>
      </c>
      <c r="B79" s="142" t="str">
        <f>'SCHEDULE OF VALUE WORKSHEET'!B75</f>
        <v>WATER SUBMETER (labor)</v>
      </c>
      <c r="C79" s="143"/>
      <c r="D79" s="104">
        <f>SUM('SCHEDULE OF VALUE WORKSHEET'!E75)</f>
        <v>0</v>
      </c>
      <c r="E79" s="106">
        <f>SUM('Draw #1'!E80)</f>
        <v>0</v>
      </c>
      <c r="F79" s="105">
        <v>0</v>
      </c>
      <c r="G79" s="104">
        <f>SUM('Draw #1'!F80)+F79</f>
        <v>0</v>
      </c>
      <c r="H79" s="109">
        <f t="shared" si="2"/>
        <v>0</v>
      </c>
      <c r="I79" s="110">
        <v>0</v>
      </c>
      <c r="J79" s="109">
        <f>SUM(I79+'Draw #1'!I80)</f>
        <v>0</v>
      </c>
      <c r="K79" s="101" t="str">
        <f t="shared" si="3"/>
        <v/>
      </c>
      <c r="L79" s="9"/>
      <c r="M79" s="9"/>
    </row>
    <row r="80" spans="1:13" ht="14.1" customHeight="1">
      <c r="A80" s="4">
        <f>'SCHEDULE OF VALUE WORKSHEET'!A76</f>
        <v>70</v>
      </c>
      <c r="B80" s="142" t="str">
        <f>'SCHEDULE OF VALUE WORKSHEET'!B76</f>
        <v>ROUGH PLUMBING</v>
      </c>
      <c r="C80" s="143"/>
      <c r="D80" s="104">
        <f>SUM('SCHEDULE OF VALUE WORKSHEET'!E76)</f>
        <v>751927</v>
      </c>
      <c r="E80" s="106">
        <f>SUM('Draw #1'!E81)</f>
        <v>0</v>
      </c>
      <c r="F80" s="105">
        <v>0</v>
      </c>
      <c r="G80" s="104">
        <f>SUM('Draw #1'!F81)+F80</f>
        <v>751927</v>
      </c>
      <c r="H80" s="109">
        <f t="shared" si="2"/>
        <v>751927</v>
      </c>
      <c r="I80" s="110">
        <v>0</v>
      </c>
      <c r="J80" s="109">
        <f>SUM(I80+'Draw #1'!I81)</f>
        <v>0</v>
      </c>
      <c r="K80" s="101" t="str">
        <f t="shared" si="3"/>
        <v/>
      </c>
      <c r="L80" s="9"/>
      <c r="M80" s="9"/>
    </row>
    <row r="81" spans="1:13" ht="14.1" customHeight="1">
      <c r="A81" s="4">
        <f>'SCHEDULE OF VALUE WORKSHEET'!A77</f>
        <v>71</v>
      </c>
      <c r="B81" s="142" t="str">
        <f>'SCHEDULE OF VALUE WORKSHEET'!B77</f>
        <v>FINISH PLUMBING</v>
      </c>
      <c r="C81" s="143"/>
      <c r="D81" s="104">
        <f>SUM('SCHEDULE OF VALUE WORKSHEET'!E77)</f>
        <v>90000</v>
      </c>
      <c r="E81" s="106">
        <f>SUM('Draw #1'!E82)</f>
        <v>0</v>
      </c>
      <c r="F81" s="105">
        <v>0</v>
      </c>
      <c r="G81" s="104">
        <f>SUM('Draw #1'!F82)+F81</f>
        <v>90000</v>
      </c>
      <c r="H81" s="109">
        <f t="shared" si="2"/>
        <v>90000</v>
      </c>
      <c r="I81" s="110">
        <v>0</v>
      </c>
      <c r="J81" s="109">
        <f>SUM(I81+'Draw #1'!I82)</f>
        <v>0</v>
      </c>
      <c r="K81" s="101" t="str">
        <f t="shared" si="3"/>
        <v/>
      </c>
      <c r="L81" s="9"/>
      <c r="M81" s="9"/>
    </row>
    <row r="82" spans="1:13" ht="14.1" customHeight="1">
      <c r="A82" s="4">
        <f>'SCHEDULE OF VALUE WORKSHEET'!A78</f>
        <v>72</v>
      </c>
      <c r="B82" s="142" t="str">
        <f>'SCHEDULE OF VALUE WORKSHEET'!B78</f>
        <v>HVAC</v>
      </c>
      <c r="C82" s="143"/>
      <c r="D82" s="104">
        <f>SUM('SCHEDULE OF VALUE WORKSHEET'!E78)</f>
        <v>259000</v>
      </c>
      <c r="E82" s="106">
        <f>SUM('Draw #1'!E83)</f>
        <v>0</v>
      </c>
      <c r="F82" s="105">
        <v>0</v>
      </c>
      <c r="G82" s="104">
        <f>SUM('Draw #1'!F83)+F82</f>
        <v>259000</v>
      </c>
      <c r="H82" s="109">
        <f t="shared" si="2"/>
        <v>259000</v>
      </c>
      <c r="I82" s="110">
        <v>0</v>
      </c>
      <c r="J82" s="109">
        <f>SUM(I82+'Draw #1'!I83)</f>
        <v>0</v>
      </c>
      <c r="K82" s="101" t="str">
        <f t="shared" si="3"/>
        <v/>
      </c>
      <c r="L82" s="9"/>
      <c r="M82" s="9"/>
    </row>
    <row r="83" spans="1:13" ht="14.1" customHeight="1">
      <c r="A83" s="4">
        <f>'SCHEDULE OF VALUE WORKSHEET'!A79</f>
        <v>73</v>
      </c>
      <c r="B83" s="142" t="str">
        <f>'SCHEDULE OF VALUE WORKSHEET'!B79</f>
        <v>ELECTRICAL</v>
      </c>
      <c r="C83" s="143"/>
      <c r="D83" s="104">
        <f>SUM('SCHEDULE OF VALUE WORKSHEET'!E79)</f>
        <v>880486.32</v>
      </c>
      <c r="E83" s="106">
        <f>SUM('Draw #1'!E84)</f>
        <v>0</v>
      </c>
      <c r="F83" s="105">
        <v>0</v>
      </c>
      <c r="G83" s="104">
        <f>SUM('Draw #1'!F84)+F83</f>
        <v>880486.32</v>
      </c>
      <c r="H83" s="109">
        <f t="shared" si="2"/>
        <v>880486.32</v>
      </c>
      <c r="I83" s="110">
        <v>0</v>
      </c>
      <c r="J83" s="109">
        <f>SUM(I83+'Draw #1'!I84)</f>
        <v>0</v>
      </c>
      <c r="K83" s="101" t="str">
        <f t="shared" si="3"/>
        <v/>
      </c>
      <c r="L83" s="9"/>
      <c r="M83" s="9"/>
    </row>
    <row r="84" spans="1:13" ht="14.1" customHeight="1">
      <c r="A84" s="4">
        <f>'SCHEDULE OF VALUE WORKSHEET'!A80</f>
        <v>74</v>
      </c>
      <c r="B84" s="142" t="str">
        <f>'SCHEDULE OF VALUE WORKSHEET'!B80</f>
        <v xml:space="preserve">CONTINGENCY </v>
      </c>
      <c r="C84" s="143"/>
      <c r="D84" s="104">
        <f>SUM('SCHEDULE OF VALUE WORKSHEET'!E80)</f>
        <v>529215.20000000007</v>
      </c>
      <c r="E84" s="106">
        <f>SUM('Draw #1'!E85)</f>
        <v>0</v>
      </c>
      <c r="F84" s="105">
        <v>0</v>
      </c>
      <c r="G84" s="104">
        <f>SUM('Draw #1'!F85)+F84</f>
        <v>529215.20000000007</v>
      </c>
      <c r="H84" s="109">
        <f t="shared" si="2"/>
        <v>529215.20000000007</v>
      </c>
      <c r="I84" s="110">
        <v>0</v>
      </c>
      <c r="J84" s="109">
        <f>SUM(I84+'Draw #1'!I85)</f>
        <v>0</v>
      </c>
      <c r="K84" s="101" t="str">
        <f t="shared" si="3"/>
        <v/>
      </c>
      <c r="L84" s="9"/>
      <c r="M84" s="9"/>
    </row>
    <row r="85" spans="1:13" ht="14.1" customHeight="1">
      <c r="A85" s="4">
        <f>'SCHEDULE OF VALUE WORKSHEET'!A81</f>
        <v>75</v>
      </c>
      <c r="B85" s="142" t="str">
        <f>'SCHEDULE OF VALUE WORKSHEET'!B81</f>
        <v>INSURANCE (GL w/auto, workers compl)</v>
      </c>
      <c r="C85" s="143"/>
      <c r="D85" s="104">
        <f>SUM('SCHEDULE OF VALUE WORKSHEET'!E81)</f>
        <v>97177.07</v>
      </c>
      <c r="E85" s="106">
        <f>SUM('Draw #1'!E86)</f>
        <v>0</v>
      </c>
      <c r="F85" s="105">
        <v>0</v>
      </c>
      <c r="G85" s="104">
        <f>SUM('Draw #1'!F86)+F85</f>
        <v>97177.07</v>
      </c>
      <c r="H85" s="109">
        <f t="shared" si="2"/>
        <v>97177.07</v>
      </c>
      <c r="I85" s="110">
        <v>0</v>
      </c>
      <c r="J85" s="109">
        <f>SUM(I85+'Draw #1'!I86)</f>
        <v>0</v>
      </c>
      <c r="K85" s="101" t="str">
        <f t="shared" si="3"/>
        <v/>
      </c>
      <c r="L85" s="9"/>
      <c r="M85" s="9"/>
    </row>
    <row r="86" spans="1:13" ht="14.1" customHeight="1">
      <c r="A86" s="4">
        <f>'SCHEDULE OF VALUE WORKSHEET'!A82</f>
        <v>76</v>
      </c>
      <c r="B86" s="142" t="str">
        <f>'SCHEDULE OF VALUE WORKSHEET'!B82</f>
        <v>GROSS RECEIPT TAX</v>
      </c>
      <c r="C86" s="143"/>
      <c r="D86" s="104">
        <f>SUM('SCHEDULE OF VALUE WORKSHEET'!E82)</f>
        <v>6543.26</v>
      </c>
      <c r="E86" s="106">
        <f>SUM('Draw #1'!E87)</f>
        <v>0</v>
      </c>
      <c r="F86" s="105">
        <v>0</v>
      </c>
      <c r="G86" s="104">
        <f>SUM('Draw #1'!F87)+F86</f>
        <v>6543.26</v>
      </c>
      <c r="H86" s="109">
        <f t="shared" si="2"/>
        <v>6543.26</v>
      </c>
      <c r="I86" s="110">
        <v>0</v>
      </c>
      <c r="J86" s="109">
        <f>SUM(I86+'Draw #1'!I87)</f>
        <v>0</v>
      </c>
      <c r="K86" s="101" t="str">
        <f t="shared" si="3"/>
        <v/>
      </c>
      <c r="L86" s="9"/>
      <c r="M86" s="9"/>
    </row>
    <row r="87" spans="1:13" ht="14.1" customHeight="1">
      <c r="A87" s="4">
        <f>'SCHEDULE OF VALUE WORKSHEET'!A83</f>
        <v>77</v>
      </c>
      <c r="B87" s="142" t="str">
        <f>'SCHEDULE OF VALUE WORKSHEET'!B83</f>
        <v>GC FEE</v>
      </c>
      <c r="C87" s="143"/>
      <c r="D87" s="104">
        <f>SUM('SCHEDULE OF VALUE WORKSHEET'!E83)</f>
        <v>388708.28</v>
      </c>
      <c r="E87" s="106">
        <f>SUM('Draw #1'!E88)</f>
        <v>0</v>
      </c>
      <c r="F87" s="105">
        <v>0</v>
      </c>
      <c r="G87" s="104">
        <f>SUM('Draw #1'!F88)+F87</f>
        <v>388708.28</v>
      </c>
      <c r="H87" s="109">
        <f t="shared" si="2"/>
        <v>388708.28</v>
      </c>
      <c r="I87" s="110">
        <v>0</v>
      </c>
      <c r="J87" s="109">
        <f>SUM(I87+'Draw #1'!I88)</f>
        <v>0</v>
      </c>
      <c r="K87" s="101" t="str">
        <f t="shared" si="3"/>
        <v/>
      </c>
      <c r="L87" s="9"/>
      <c r="M87" s="9"/>
    </row>
    <row r="88" spans="1:13" ht="14.1" customHeight="1">
      <c r="A88" s="4">
        <f>'SCHEDULE OF VALUE WORKSHEET'!A84</f>
        <v>78</v>
      </c>
      <c r="B88" s="142" t="str">
        <f>'SCHEDULE OF VALUE WORKSHEET'!B84</f>
        <v>DEVELOPMENT FEE</v>
      </c>
      <c r="C88" s="143"/>
      <c r="D88" s="104">
        <f>SUM('SCHEDULE OF VALUE WORKSHEET'!E84)</f>
        <v>180523.5</v>
      </c>
      <c r="E88" s="106">
        <f>SUM('Draw #1'!E89)</f>
        <v>0</v>
      </c>
      <c r="F88" s="105">
        <v>0</v>
      </c>
      <c r="G88" s="104">
        <f>SUM('Draw #1'!F89)+F88</f>
        <v>180523.5</v>
      </c>
      <c r="H88" s="109">
        <f t="shared" si="2"/>
        <v>180523.5</v>
      </c>
      <c r="I88" s="110">
        <v>0</v>
      </c>
      <c r="J88" s="109">
        <f>SUM(I88+'Draw #1'!I89)</f>
        <v>0</v>
      </c>
      <c r="K88" s="101" t="str">
        <f t="shared" si="3"/>
        <v/>
      </c>
      <c r="L88" s="9"/>
      <c r="M88" s="9"/>
    </row>
    <row r="89" spans="1:13" ht="14.1" customHeight="1">
      <c r="A89" s="4">
        <f>'SCHEDULE OF VALUE WORKSHEET'!A85</f>
        <v>79</v>
      </c>
      <c r="B89" s="142" t="str">
        <f>'SCHEDULE OF VALUE WORKSHEET'!B85</f>
        <v>CARRYING COSTS</v>
      </c>
      <c r="C89" s="143"/>
      <c r="D89" s="104">
        <f>SUM('SCHEDULE OF VALUE WORKSHEET'!E85)</f>
        <v>92885.53</v>
      </c>
      <c r="E89" s="106">
        <f>SUM('Draw #1'!E90)</f>
        <v>0</v>
      </c>
      <c r="F89" s="105">
        <v>0</v>
      </c>
      <c r="G89" s="104">
        <f>SUM('Draw #1'!F90)+F89</f>
        <v>92885.53</v>
      </c>
      <c r="H89" s="109">
        <f t="shared" si="2"/>
        <v>92885.53</v>
      </c>
      <c r="I89" s="110">
        <v>0</v>
      </c>
      <c r="J89" s="109">
        <f>SUM(I89+'Draw #1'!I90)</f>
        <v>0</v>
      </c>
      <c r="K89" s="101" t="str">
        <f t="shared" si="3"/>
        <v/>
      </c>
      <c r="L89" s="9"/>
      <c r="M89" s="9"/>
    </row>
    <row r="90" spans="1:13" ht="14.1" customHeight="1">
      <c r="A90" s="4">
        <f>'SCHEDULE OF VALUE WORKSHEET'!A86</f>
        <v>80</v>
      </c>
      <c r="B90" s="142" t="str">
        <f>'SCHEDULE OF VALUE WORKSHEET'!B86</f>
        <v>FINANCING COSTS</v>
      </c>
      <c r="C90" s="143"/>
      <c r="D90" s="104">
        <f>SUM('SCHEDULE OF VALUE WORKSHEET'!E86)</f>
        <v>0</v>
      </c>
      <c r="E90" s="106">
        <f>SUM('Draw #1'!E91)</f>
        <v>0</v>
      </c>
      <c r="F90" s="105">
        <v>0</v>
      </c>
      <c r="G90" s="104">
        <f>SUM('Draw #1'!F91)+F90</f>
        <v>0</v>
      </c>
      <c r="H90" s="109">
        <f t="shared" si="2"/>
        <v>0</v>
      </c>
      <c r="I90" s="110">
        <v>0</v>
      </c>
      <c r="J90" s="109">
        <f>SUM(I90+'Draw #1'!I91)</f>
        <v>0</v>
      </c>
      <c r="K90" s="101" t="str">
        <f t="shared" si="3"/>
        <v/>
      </c>
      <c r="L90" s="9"/>
      <c r="M90" s="9"/>
    </row>
    <row r="91" spans="1:13" ht="14.1" customHeight="1">
      <c r="A91" s="4" t="e">
        <f>'SCHEDULE OF VALUE WORKSHEET'!#REF!</f>
        <v>#REF!</v>
      </c>
      <c r="B91" s="142" t="e">
        <f>'SCHEDULE OF VALUE WORKSHEET'!#REF!</f>
        <v>#REF!</v>
      </c>
      <c r="C91" s="143"/>
      <c r="D91" s="104" t="e">
        <f>SUM('SCHEDULE OF VALUE WORKSHEET'!#REF!)</f>
        <v>#REF!</v>
      </c>
      <c r="E91" s="106">
        <f>SUM('Draw #1'!E92)</f>
        <v>0</v>
      </c>
      <c r="F91" s="105">
        <v>0</v>
      </c>
      <c r="G91" s="104" t="e">
        <f>SUM('Draw #1'!F92)+F91</f>
        <v>#REF!</v>
      </c>
      <c r="H91" s="109" t="e">
        <f t="shared" si="2"/>
        <v>#REF!</v>
      </c>
      <c r="I91" s="110">
        <v>0</v>
      </c>
      <c r="J91" s="109">
        <f>SUM(I91+'Draw #1'!I92)</f>
        <v>0</v>
      </c>
      <c r="K91" s="101" t="str">
        <f t="shared" si="3"/>
        <v/>
      </c>
      <c r="L91" s="9"/>
      <c r="M91" s="9"/>
    </row>
    <row r="92" spans="1:13" ht="14.1" customHeight="1">
      <c r="A92" s="4" t="e">
        <f>'SCHEDULE OF VALUE WORKSHEET'!#REF!</f>
        <v>#REF!</v>
      </c>
      <c r="B92" s="142" t="e">
        <f>'SCHEDULE OF VALUE WORKSHEET'!#REF!</f>
        <v>#REF!</v>
      </c>
      <c r="C92" s="143"/>
      <c r="D92" s="104" t="e">
        <f>SUM('SCHEDULE OF VALUE WORKSHEET'!#REF!)</f>
        <v>#REF!</v>
      </c>
      <c r="E92" s="106">
        <f>SUM('Draw #1'!E93)</f>
        <v>0</v>
      </c>
      <c r="F92" s="105">
        <v>0</v>
      </c>
      <c r="G92" s="104" t="e">
        <f>SUM('Draw #1'!F93)+F92</f>
        <v>#REF!</v>
      </c>
      <c r="H92" s="109" t="e">
        <f t="shared" si="2"/>
        <v>#REF!</v>
      </c>
      <c r="I92" s="110">
        <v>0</v>
      </c>
      <c r="J92" s="109">
        <f>SUM(I92+'Draw #1'!I93)</f>
        <v>0</v>
      </c>
      <c r="K92" s="101" t="str">
        <f t="shared" si="3"/>
        <v/>
      </c>
      <c r="L92" s="9"/>
      <c r="M92" s="9"/>
    </row>
    <row r="93" spans="1:13" ht="14.1" customHeight="1">
      <c r="A93" s="4" t="e">
        <f>'SCHEDULE OF VALUE WORKSHEET'!#REF!</f>
        <v>#REF!</v>
      </c>
      <c r="B93" s="142" t="e">
        <f>'SCHEDULE OF VALUE WORKSHEET'!#REF!</f>
        <v>#REF!</v>
      </c>
      <c r="C93" s="143"/>
      <c r="D93" s="104" t="e">
        <f>SUM('SCHEDULE OF VALUE WORKSHEET'!#REF!)</f>
        <v>#REF!</v>
      </c>
      <c r="E93" s="106">
        <f>SUM('Draw #1'!E94)</f>
        <v>0</v>
      </c>
      <c r="F93" s="105">
        <v>0</v>
      </c>
      <c r="G93" s="104" t="e">
        <f>SUM('Draw #1'!F94)+F93</f>
        <v>#REF!</v>
      </c>
      <c r="H93" s="109" t="e">
        <f t="shared" si="2"/>
        <v>#REF!</v>
      </c>
      <c r="I93" s="110">
        <v>0</v>
      </c>
      <c r="J93" s="109">
        <f>SUM(I93+'Draw #1'!I94)</f>
        <v>0</v>
      </c>
      <c r="K93" s="101" t="str">
        <f t="shared" si="3"/>
        <v/>
      </c>
      <c r="L93" s="9"/>
      <c r="M93" s="9"/>
    </row>
    <row r="94" spans="1:13" ht="14.1" customHeight="1">
      <c r="A94" s="4" t="e">
        <f>'SCHEDULE OF VALUE WORKSHEET'!#REF!</f>
        <v>#REF!</v>
      </c>
      <c r="B94" s="142" t="e">
        <f>'SCHEDULE OF VALUE WORKSHEET'!#REF!</f>
        <v>#REF!</v>
      </c>
      <c r="C94" s="143"/>
      <c r="D94" s="104" t="e">
        <f>SUM('SCHEDULE OF VALUE WORKSHEET'!#REF!)</f>
        <v>#REF!</v>
      </c>
      <c r="E94" s="106">
        <f>SUM('Draw #1'!E95)</f>
        <v>0</v>
      </c>
      <c r="F94" s="105">
        <v>0</v>
      </c>
      <c r="G94" s="104" t="e">
        <f>SUM('Draw #1'!F95)+F94</f>
        <v>#REF!</v>
      </c>
      <c r="H94" s="109" t="e">
        <f t="shared" si="2"/>
        <v>#REF!</v>
      </c>
      <c r="I94" s="110">
        <v>0</v>
      </c>
      <c r="J94" s="109">
        <f>SUM(I94+'Draw #1'!I95)</f>
        <v>0</v>
      </c>
      <c r="K94" s="101" t="str">
        <f t="shared" si="3"/>
        <v/>
      </c>
      <c r="L94" s="9"/>
      <c r="M94" s="9"/>
    </row>
    <row r="95" spans="1:13" ht="14.1" customHeight="1">
      <c r="A95" s="4" t="e">
        <f>'SCHEDULE OF VALUE WORKSHEET'!#REF!</f>
        <v>#REF!</v>
      </c>
      <c r="B95" s="142" t="e">
        <f>'SCHEDULE OF VALUE WORKSHEET'!#REF!</f>
        <v>#REF!</v>
      </c>
      <c r="C95" s="143"/>
      <c r="D95" s="104" t="e">
        <f>SUM('SCHEDULE OF VALUE WORKSHEET'!#REF!)</f>
        <v>#REF!</v>
      </c>
      <c r="E95" s="106">
        <f>SUM('Draw #1'!E96)</f>
        <v>0</v>
      </c>
      <c r="F95" s="105">
        <v>0</v>
      </c>
      <c r="G95" s="104" t="e">
        <f>SUM('Draw #1'!F96)+F95</f>
        <v>#REF!</v>
      </c>
      <c r="H95" s="109" t="e">
        <f t="shared" si="2"/>
        <v>#REF!</v>
      </c>
      <c r="I95" s="110">
        <v>0</v>
      </c>
      <c r="J95" s="109">
        <f>SUM(I95+'Draw #1'!I96)</f>
        <v>0</v>
      </c>
      <c r="K95" s="101" t="str">
        <f t="shared" si="3"/>
        <v/>
      </c>
      <c r="L95" s="9"/>
      <c r="M95" s="9"/>
    </row>
    <row r="96" spans="1:13" ht="14.1" customHeight="1">
      <c r="A96" s="4" t="e">
        <f>'SCHEDULE OF VALUE WORKSHEET'!#REF!</f>
        <v>#REF!</v>
      </c>
      <c r="B96" s="142" t="e">
        <f>'SCHEDULE OF VALUE WORKSHEET'!#REF!</f>
        <v>#REF!</v>
      </c>
      <c r="C96" s="143"/>
      <c r="D96" s="104" t="e">
        <f>SUM('SCHEDULE OF VALUE WORKSHEET'!#REF!)</f>
        <v>#REF!</v>
      </c>
      <c r="E96" s="106">
        <f>SUM('Draw #1'!E97)</f>
        <v>0</v>
      </c>
      <c r="F96" s="105">
        <v>0</v>
      </c>
      <c r="G96" s="104" t="e">
        <f>SUM('Draw #1'!F97)+F96</f>
        <v>#REF!</v>
      </c>
      <c r="H96" s="109" t="e">
        <f t="shared" si="2"/>
        <v>#REF!</v>
      </c>
      <c r="I96" s="110">
        <v>0</v>
      </c>
      <c r="J96" s="109">
        <f>SUM(I96+'Draw #1'!I97)</f>
        <v>0</v>
      </c>
      <c r="K96" s="101" t="str">
        <f t="shared" si="3"/>
        <v/>
      </c>
      <c r="L96" s="9"/>
      <c r="M96" s="9"/>
    </row>
    <row r="97" spans="1:13" ht="14.1" customHeight="1">
      <c r="A97" s="4" t="e">
        <f>'SCHEDULE OF VALUE WORKSHEET'!#REF!</f>
        <v>#REF!</v>
      </c>
      <c r="B97" s="142" t="e">
        <f>'SCHEDULE OF VALUE WORKSHEET'!#REF!</f>
        <v>#REF!</v>
      </c>
      <c r="C97" s="143"/>
      <c r="D97" s="104" t="e">
        <f>SUM('SCHEDULE OF VALUE WORKSHEET'!#REF!)</f>
        <v>#REF!</v>
      </c>
      <c r="E97" s="106">
        <f>SUM('Draw #1'!E98)</f>
        <v>0</v>
      </c>
      <c r="F97" s="105">
        <v>0</v>
      </c>
      <c r="G97" s="104" t="e">
        <f>SUM('Draw #1'!F98)+F97</f>
        <v>#REF!</v>
      </c>
      <c r="H97" s="109" t="e">
        <f t="shared" si="2"/>
        <v>#REF!</v>
      </c>
      <c r="I97" s="110">
        <v>0</v>
      </c>
      <c r="J97" s="109">
        <f>SUM(I97+'Draw #1'!I98)</f>
        <v>0</v>
      </c>
      <c r="K97" s="101" t="str">
        <f t="shared" si="3"/>
        <v/>
      </c>
      <c r="L97" s="9"/>
      <c r="M97" s="9"/>
    </row>
    <row r="98" spans="1:13" ht="14.1" customHeight="1">
      <c r="A98" s="4" t="e">
        <f>'SCHEDULE OF VALUE WORKSHEET'!#REF!</f>
        <v>#REF!</v>
      </c>
      <c r="B98" s="142" t="e">
        <f>'SCHEDULE OF VALUE WORKSHEET'!#REF!</f>
        <v>#REF!</v>
      </c>
      <c r="C98" s="143"/>
      <c r="D98" s="104" t="e">
        <f>SUM('SCHEDULE OF VALUE WORKSHEET'!#REF!)</f>
        <v>#REF!</v>
      </c>
      <c r="E98" s="106">
        <f>SUM('Draw #1'!E99)</f>
        <v>0</v>
      </c>
      <c r="F98" s="105">
        <v>0</v>
      </c>
      <c r="G98" s="104" t="e">
        <f>SUM('Draw #1'!F99)+F98</f>
        <v>#REF!</v>
      </c>
      <c r="H98" s="109" t="e">
        <f t="shared" si="2"/>
        <v>#REF!</v>
      </c>
      <c r="I98" s="110">
        <v>0</v>
      </c>
      <c r="J98" s="109">
        <f>SUM(I98+'Draw #1'!I99)</f>
        <v>0</v>
      </c>
      <c r="K98" s="101" t="str">
        <f t="shared" si="3"/>
        <v/>
      </c>
      <c r="L98" s="9"/>
      <c r="M98" s="9"/>
    </row>
    <row r="99" spans="1:13" ht="14.1" customHeight="1">
      <c r="A99" s="4" t="e">
        <f>'SCHEDULE OF VALUE WORKSHEET'!#REF!</f>
        <v>#REF!</v>
      </c>
      <c r="B99" s="142" t="e">
        <f>'SCHEDULE OF VALUE WORKSHEET'!#REF!</f>
        <v>#REF!</v>
      </c>
      <c r="C99" s="143"/>
      <c r="D99" s="104" t="e">
        <f>SUM('SCHEDULE OF VALUE WORKSHEET'!#REF!)</f>
        <v>#REF!</v>
      </c>
      <c r="E99" s="106">
        <f>SUM('Draw #1'!E100)</f>
        <v>0</v>
      </c>
      <c r="F99" s="105">
        <v>0</v>
      </c>
      <c r="G99" s="104" t="e">
        <f>SUM('Draw #1'!F100)+F99</f>
        <v>#REF!</v>
      </c>
      <c r="H99" s="109" t="e">
        <f t="shared" si="2"/>
        <v>#REF!</v>
      </c>
      <c r="I99" s="110">
        <v>0</v>
      </c>
      <c r="J99" s="109">
        <f>SUM(I99+'Draw #1'!I100)</f>
        <v>0</v>
      </c>
      <c r="K99" s="101" t="str">
        <f t="shared" si="3"/>
        <v/>
      </c>
      <c r="L99" s="9"/>
      <c r="M99" s="9"/>
    </row>
    <row r="100" spans="1:13" ht="14.1" customHeight="1">
      <c r="A100" s="4" t="e">
        <f>'SCHEDULE OF VALUE WORKSHEET'!#REF!</f>
        <v>#REF!</v>
      </c>
      <c r="B100" s="142" t="e">
        <f>'SCHEDULE OF VALUE WORKSHEET'!#REF!</f>
        <v>#REF!</v>
      </c>
      <c r="C100" s="143"/>
      <c r="D100" s="104" t="e">
        <f>SUM('SCHEDULE OF VALUE WORKSHEET'!#REF!)</f>
        <v>#REF!</v>
      </c>
      <c r="E100" s="106">
        <f>SUM('Draw #1'!E101)</f>
        <v>0</v>
      </c>
      <c r="F100" s="105">
        <v>0</v>
      </c>
      <c r="G100" s="104" t="e">
        <f>SUM('Draw #1'!F101)+F100</f>
        <v>#REF!</v>
      </c>
      <c r="H100" s="109" t="e">
        <f t="shared" si="2"/>
        <v>#REF!</v>
      </c>
      <c r="I100" s="110">
        <v>0</v>
      </c>
      <c r="J100" s="109">
        <f>SUM(I100+'Draw #1'!I101)</f>
        <v>0</v>
      </c>
      <c r="K100" s="101" t="str">
        <f t="shared" si="3"/>
        <v/>
      </c>
      <c r="L100" s="9"/>
      <c r="M100" s="9"/>
    </row>
    <row r="101" spans="1:13" ht="14.1" customHeight="1">
      <c r="A101" s="4" t="e">
        <f>'SCHEDULE OF VALUE WORKSHEET'!#REF!</f>
        <v>#REF!</v>
      </c>
      <c r="B101" s="142" t="e">
        <f>'SCHEDULE OF VALUE WORKSHEET'!#REF!</f>
        <v>#REF!</v>
      </c>
      <c r="C101" s="143"/>
      <c r="D101" s="104" t="e">
        <f>SUM('SCHEDULE OF VALUE WORKSHEET'!#REF!)</f>
        <v>#REF!</v>
      </c>
      <c r="E101" s="106">
        <f>SUM('Draw #1'!E102)</f>
        <v>0</v>
      </c>
      <c r="F101" s="105">
        <v>0</v>
      </c>
      <c r="G101" s="104" t="e">
        <f>SUM('Draw #1'!F102)+F101</f>
        <v>#REF!</v>
      </c>
      <c r="H101" s="109" t="e">
        <f t="shared" si="2"/>
        <v>#REF!</v>
      </c>
      <c r="I101" s="110">
        <v>0</v>
      </c>
      <c r="J101" s="109">
        <f>SUM(I101+'Draw #1'!I102)</f>
        <v>0</v>
      </c>
      <c r="K101" s="101" t="str">
        <f t="shared" si="3"/>
        <v/>
      </c>
      <c r="L101" s="9"/>
      <c r="M101" s="9"/>
    </row>
    <row r="102" spans="1:13" ht="14.1" customHeight="1">
      <c r="A102" s="4" t="e">
        <f>'SCHEDULE OF VALUE WORKSHEET'!#REF!</f>
        <v>#REF!</v>
      </c>
      <c r="B102" s="142" t="e">
        <f>'SCHEDULE OF VALUE WORKSHEET'!#REF!</f>
        <v>#REF!</v>
      </c>
      <c r="C102" s="143"/>
      <c r="D102" s="104" t="e">
        <f>SUM('SCHEDULE OF VALUE WORKSHEET'!#REF!)</f>
        <v>#REF!</v>
      </c>
      <c r="E102" s="106">
        <f>SUM('Draw #1'!E103)</f>
        <v>0</v>
      </c>
      <c r="F102" s="105">
        <v>0</v>
      </c>
      <c r="G102" s="104" t="e">
        <f>SUM('Draw #1'!F103)+F102</f>
        <v>#REF!</v>
      </c>
      <c r="H102" s="109" t="e">
        <f t="shared" si="2"/>
        <v>#REF!</v>
      </c>
      <c r="I102" s="110">
        <v>0</v>
      </c>
      <c r="J102" s="109">
        <f>SUM(I102+'Draw #1'!I103)</f>
        <v>0</v>
      </c>
      <c r="K102" s="101" t="str">
        <f t="shared" si="3"/>
        <v/>
      </c>
      <c r="L102" s="9"/>
      <c r="M102" s="9"/>
    </row>
    <row r="103" spans="1:13" ht="14.1" customHeight="1">
      <c r="A103" s="4" t="e">
        <f>'SCHEDULE OF VALUE WORKSHEET'!#REF!</f>
        <v>#REF!</v>
      </c>
      <c r="B103" s="142" t="e">
        <f>'SCHEDULE OF VALUE WORKSHEET'!#REF!</f>
        <v>#REF!</v>
      </c>
      <c r="C103" s="143"/>
      <c r="D103" s="104" t="e">
        <f>SUM('SCHEDULE OF VALUE WORKSHEET'!#REF!)</f>
        <v>#REF!</v>
      </c>
      <c r="E103" s="106">
        <f>SUM('Draw #1'!E104)</f>
        <v>0</v>
      </c>
      <c r="F103" s="105">
        <v>0</v>
      </c>
      <c r="G103" s="104" t="e">
        <f>SUM('Draw #1'!F104)+F103</f>
        <v>#REF!</v>
      </c>
      <c r="H103" s="109" t="e">
        <f t="shared" si="2"/>
        <v>#REF!</v>
      </c>
      <c r="I103" s="110">
        <v>0</v>
      </c>
      <c r="J103" s="109">
        <f>SUM(I103+'Draw #1'!I104)</f>
        <v>0</v>
      </c>
      <c r="K103" s="101" t="str">
        <f t="shared" si="3"/>
        <v/>
      </c>
      <c r="L103" s="9"/>
      <c r="M103" s="9"/>
    </row>
    <row r="104" spans="1:13" ht="14.1" customHeight="1">
      <c r="A104" s="4" t="e">
        <f>'SCHEDULE OF VALUE WORKSHEET'!#REF!</f>
        <v>#REF!</v>
      </c>
      <c r="B104" s="142" t="e">
        <f>'SCHEDULE OF VALUE WORKSHEET'!#REF!</f>
        <v>#REF!</v>
      </c>
      <c r="C104" s="143"/>
      <c r="D104" s="104" t="e">
        <f>SUM('SCHEDULE OF VALUE WORKSHEET'!#REF!)</f>
        <v>#REF!</v>
      </c>
      <c r="E104" s="106">
        <f>SUM('Draw #1'!E105)</f>
        <v>0</v>
      </c>
      <c r="F104" s="105">
        <v>0</v>
      </c>
      <c r="G104" s="104" t="e">
        <f>SUM('Draw #1'!F105)+F104</f>
        <v>#REF!</v>
      </c>
      <c r="H104" s="109" t="e">
        <f t="shared" si="2"/>
        <v>#REF!</v>
      </c>
      <c r="I104" s="110">
        <v>0</v>
      </c>
      <c r="J104" s="109">
        <f>SUM(I104+'Draw #1'!I105)</f>
        <v>0</v>
      </c>
      <c r="K104" s="101" t="str">
        <f t="shared" si="3"/>
        <v/>
      </c>
      <c r="L104" s="9"/>
      <c r="M104" s="9"/>
    </row>
    <row r="105" spans="1:13" ht="14.1" customHeight="1">
      <c r="A105" s="4" t="e">
        <f>'SCHEDULE OF VALUE WORKSHEET'!#REF!</f>
        <v>#REF!</v>
      </c>
      <c r="B105" s="142" t="e">
        <f>'SCHEDULE OF VALUE WORKSHEET'!#REF!</f>
        <v>#REF!</v>
      </c>
      <c r="C105" s="143"/>
      <c r="D105" s="104" t="e">
        <f>SUM('SCHEDULE OF VALUE WORKSHEET'!#REF!)</f>
        <v>#REF!</v>
      </c>
      <c r="E105" s="106">
        <f>SUM('Draw #1'!E106)</f>
        <v>0</v>
      </c>
      <c r="F105" s="105">
        <v>0</v>
      </c>
      <c r="G105" s="104" t="e">
        <f>SUM('Draw #1'!F106)+F105</f>
        <v>#REF!</v>
      </c>
      <c r="H105" s="109" t="e">
        <f t="shared" si="2"/>
        <v>#REF!</v>
      </c>
      <c r="I105" s="110">
        <v>0</v>
      </c>
      <c r="J105" s="109">
        <f>SUM(I105+'Draw #1'!I106)</f>
        <v>0</v>
      </c>
      <c r="K105" s="101" t="str">
        <f t="shared" si="3"/>
        <v/>
      </c>
      <c r="L105" s="9"/>
      <c r="M105" s="9"/>
    </row>
    <row r="106" spans="1:13" ht="14.1" customHeight="1">
      <c r="A106" s="4" t="e">
        <f>'SCHEDULE OF VALUE WORKSHEET'!#REF!</f>
        <v>#REF!</v>
      </c>
      <c r="B106" s="142" t="e">
        <f>'SCHEDULE OF VALUE WORKSHEET'!#REF!</f>
        <v>#REF!</v>
      </c>
      <c r="C106" s="143"/>
      <c r="D106" s="104" t="e">
        <f>SUM('SCHEDULE OF VALUE WORKSHEET'!#REF!)</f>
        <v>#REF!</v>
      </c>
      <c r="E106" s="106">
        <f>SUM('Draw #1'!E107)</f>
        <v>0</v>
      </c>
      <c r="F106" s="105">
        <v>0</v>
      </c>
      <c r="G106" s="104" t="e">
        <f>SUM('Draw #1'!F107)+F106</f>
        <v>#REF!</v>
      </c>
      <c r="H106" s="109" t="e">
        <f t="shared" si="2"/>
        <v>#REF!</v>
      </c>
      <c r="I106" s="110">
        <v>0</v>
      </c>
      <c r="J106" s="109">
        <f>SUM(I106+'Draw #1'!I107)</f>
        <v>0</v>
      </c>
      <c r="K106" s="101" t="str">
        <f t="shared" si="3"/>
        <v/>
      </c>
      <c r="L106" s="9"/>
      <c r="M106" s="9"/>
    </row>
    <row r="107" spans="1:13" ht="14.1" customHeight="1">
      <c r="A107" s="4" t="e">
        <f>'SCHEDULE OF VALUE WORKSHEET'!#REF!</f>
        <v>#REF!</v>
      </c>
      <c r="B107" s="142" t="e">
        <f>'SCHEDULE OF VALUE WORKSHEET'!#REF!</f>
        <v>#REF!</v>
      </c>
      <c r="C107" s="143"/>
      <c r="D107" s="104" t="e">
        <f>SUM('SCHEDULE OF VALUE WORKSHEET'!#REF!)</f>
        <v>#REF!</v>
      </c>
      <c r="E107" s="106">
        <f>SUM('Draw #1'!E108)</f>
        <v>0</v>
      </c>
      <c r="F107" s="105">
        <v>0</v>
      </c>
      <c r="G107" s="104" t="e">
        <f>SUM('Draw #1'!F108)+F107</f>
        <v>#REF!</v>
      </c>
      <c r="H107" s="109" t="e">
        <f t="shared" si="2"/>
        <v>#REF!</v>
      </c>
      <c r="I107" s="110">
        <v>0</v>
      </c>
      <c r="J107" s="109">
        <f>SUM(I107+'Draw #1'!I108)</f>
        <v>0</v>
      </c>
      <c r="K107" s="101" t="str">
        <f t="shared" si="3"/>
        <v/>
      </c>
      <c r="L107" s="9"/>
      <c r="M107" s="9"/>
    </row>
    <row r="108" spans="1:13" ht="14.1" customHeight="1">
      <c r="A108" s="4" t="e">
        <f>'SCHEDULE OF VALUE WORKSHEET'!#REF!</f>
        <v>#REF!</v>
      </c>
      <c r="B108" s="142" t="e">
        <f>'SCHEDULE OF VALUE WORKSHEET'!#REF!</f>
        <v>#REF!</v>
      </c>
      <c r="C108" s="143"/>
      <c r="D108" s="104" t="e">
        <f>SUM('SCHEDULE OF VALUE WORKSHEET'!#REF!)</f>
        <v>#REF!</v>
      </c>
      <c r="E108" s="106">
        <f>SUM('Draw #1'!E109)</f>
        <v>0</v>
      </c>
      <c r="F108" s="105">
        <v>0</v>
      </c>
      <c r="G108" s="104" t="e">
        <f>SUM('Draw #1'!F109)+F108</f>
        <v>#REF!</v>
      </c>
      <c r="H108" s="109" t="e">
        <f t="shared" si="2"/>
        <v>#REF!</v>
      </c>
      <c r="I108" s="110">
        <v>0</v>
      </c>
      <c r="J108" s="109">
        <f>SUM(I108+'Draw #1'!I109)</f>
        <v>0</v>
      </c>
      <c r="K108" s="101" t="str">
        <f t="shared" si="3"/>
        <v/>
      </c>
      <c r="L108" s="9"/>
      <c r="M108" s="9"/>
    </row>
    <row r="109" spans="1:13" ht="14.1" customHeight="1">
      <c r="A109" s="4" t="e">
        <f>'SCHEDULE OF VALUE WORKSHEET'!#REF!</f>
        <v>#REF!</v>
      </c>
      <c r="B109" s="142" t="e">
        <f>'SCHEDULE OF VALUE WORKSHEET'!#REF!</f>
        <v>#REF!</v>
      </c>
      <c r="C109" s="143"/>
      <c r="D109" s="104" t="e">
        <f>SUM('SCHEDULE OF VALUE WORKSHEET'!#REF!)</f>
        <v>#REF!</v>
      </c>
      <c r="E109" s="106">
        <f>SUM('Draw #1'!E110)</f>
        <v>0</v>
      </c>
      <c r="F109" s="105">
        <v>0</v>
      </c>
      <c r="G109" s="104" t="e">
        <f>SUM('Draw #1'!F110)+F109</f>
        <v>#REF!</v>
      </c>
      <c r="H109" s="109" t="e">
        <f t="shared" si="2"/>
        <v>#REF!</v>
      </c>
      <c r="I109" s="110">
        <v>0</v>
      </c>
      <c r="J109" s="109">
        <f>SUM(I109+'Draw #1'!I110)</f>
        <v>0</v>
      </c>
      <c r="K109" s="101" t="str">
        <f t="shared" si="3"/>
        <v/>
      </c>
      <c r="L109" s="9"/>
      <c r="M109" s="9"/>
    </row>
    <row r="110" spans="1:13" ht="14.1" customHeight="1">
      <c r="A110" s="4" t="e">
        <f>'SCHEDULE OF VALUE WORKSHEET'!#REF!</f>
        <v>#REF!</v>
      </c>
      <c r="B110" s="142" t="e">
        <f>'SCHEDULE OF VALUE WORKSHEET'!#REF!</f>
        <v>#REF!</v>
      </c>
      <c r="C110" s="143"/>
      <c r="D110" s="104" t="e">
        <f>SUM('SCHEDULE OF VALUE WORKSHEET'!#REF!)</f>
        <v>#REF!</v>
      </c>
      <c r="E110" s="106">
        <f>SUM('Draw #1'!E111)</f>
        <v>0</v>
      </c>
      <c r="F110" s="105">
        <v>0</v>
      </c>
      <c r="G110" s="104" t="e">
        <f>SUM('Draw #1'!F111)+F110</f>
        <v>#REF!</v>
      </c>
      <c r="H110" s="109" t="e">
        <f t="shared" si="2"/>
        <v>#REF!</v>
      </c>
      <c r="I110" s="110">
        <v>0</v>
      </c>
      <c r="J110" s="109">
        <f>SUM(I110+'Draw #1'!I111)</f>
        <v>0</v>
      </c>
      <c r="K110" s="101" t="str">
        <f t="shared" si="3"/>
        <v/>
      </c>
      <c r="L110" s="9"/>
      <c r="M110" s="9"/>
    </row>
    <row r="111" spans="1:13" ht="14.1" customHeight="1">
      <c r="A111" s="4" t="e">
        <f>'SCHEDULE OF VALUE WORKSHEET'!#REF!</f>
        <v>#REF!</v>
      </c>
      <c r="B111" s="142" t="e">
        <f>'SCHEDULE OF VALUE WORKSHEET'!#REF!</f>
        <v>#REF!</v>
      </c>
      <c r="C111" s="143"/>
      <c r="D111" s="104" t="e">
        <f>SUM('SCHEDULE OF VALUE WORKSHEET'!#REF!)</f>
        <v>#REF!</v>
      </c>
      <c r="E111" s="106">
        <f>SUM('Draw #1'!E112)</f>
        <v>0</v>
      </c>
      <c r="F111" s="105">
        <v>0</v>
      </c>
      <c r="G111" s="104" t="e">
        <f>SUM('Draw #1'!F112)+F111</f>
        <v>#REF!</v>
      </c>
      <c r="H111" s="109" t="e">
        <f t="shared" si="2"/>
        <v>#REF!</v>
      </c>
      <c r="I111" s="110">
        <v>0</v>
      </c>
      <c r="J111" s="109">
        <f>SUM(I111+'Draw #1'!I112)</f>
        <v>0</v>
      </c>
      <c r="K111" s="101" t="str">
        <f t="shared" si="3"/>
        <v/>
      </c>
      <c r="L111" s="9"/>
      <c r="M111" s="9"/>
    </row>
    <row r="112" spans="1:13" ht="14.1" customHeight="1">
      <c r="A112" s="4" t="e">
        <f>'SCHEDULE OF VALUE WORKSHEET'!#REF!</f>
        <v>#REF!</v>
      </c>
      <c r="B112" s="142" t="e">
        <f>'SCHEDULE OF VALUE WORKSHEET'!#REF!</f>
        <v>#REF!</v>
      </c>
      <c r="C112" s="143"/>
      <c r="D112" s="104" t="e">
        <f>SUM('SCHEDULE OF VALUE WORKSHEET'!#REF!)</f>
        <v>#REF!</v>
      </c>
      <c r="E112" s="106">
        <f>SUM('Draw #1'!E113)</f>
        <v>0</v>
      </c>
      <c r="F112" s="105">
        <v>0</v>
      </c>
      <c r="G112" s="104" t="e">
        <f>SUM('Draw #1'!F113)+F112</f>
        <v>#REF!</v>
      </c>
      <c r="H112" s="109" t="e">
        <f t="shared" si="2"/>
        <v>#REF!</v>
      </c>
      <c r="I112" s="110">
        <v>0</v>
      </c>
      <c r="J112" s="109">
        <f>SUM(I112+'Draw #1'!I113)</f>
        <v>0</v>
      </c>
      <c r="K112" s="101" t="str">
        <f t="shared" si="3"/>
        <v/>
      </c>
      <c r="L112" s="9"/>
      <c r="M112" s="9"/>
    </row>
    <row r="113" spans="1:13" ht="14.1" customHeight="1">
      <c r="A113" s="4" t="e">
        <f>'SCHEDULE OF VALUE WORKSHEET'!#REF!</f>
        <v>#REF!</v>
      </c>
      <c r="B113" s="142" t="e">
        <f>'SCHEDULE OF VALUE WORKSHEET'!#REF!</f>
        <v>#REF!</v>
      </c>
      <c r="C113" s="143"/>
      <c r="D113" s="104" t="e">
        <f>SUM('SCHEDULE OF VALUE WORKSHEET'!#REF!)</f>
        <v>#REF!</v>
      </c>
      <c r="E113" s="106">
        <f>SUM('Draw #1'!E114)</f>
        <v>0</v>
      </c>
      <c r="F113" s="105">
        <v>0</v>
      </c>
      <c r="G113" s="104" t="e">
        <f>SUM('Draw #1'!F114)+F113</f>
        <v>#REF!</v>
      </c>
      <c r="H113" s="109" t="e">
        <f t="shared" si="2"/>
        <v>#REF!</v>
      </c>
      <c r="I113" s="110">
        <v>0</v>
      </c>
      <c r="J113" s="109">
        <f>SUM(I113+'Draw #1'!I114)</f>
        <v>0</v>
      </c>
      <c r="K113" s="101" t="str">
        <f t="shared" si="3"/>
        <v/>
      </c>
      <c r="L113" s="9"/>
      <c r="M113" s="9"/>
    </row>
    <row r="114" spans="1:13" ht="14.1" customHeight="1">
      <c r="A114" s="4" t="e">
        <f>'SCHEDULE OF VALUE WORKSHEET'!#REF!</f>
        <v>#REF!</v>
      </c>
      <c r="B114" s="142" t="e">
        <f>'SCHEDULE OF VALUE WORKSHEET'!#REF!</f>
        <v>#REF!</v>
      </c>
      <c r="C114" s="143"/>
      <c r="D114" s="104" t="e">
        <f>SUM('SCHEDULE OF VALUE WORKSHEET'!#REF!)</f>
        <v>#REF!</v>
      </c>
      <c r="E114" s="106">
        <f>SUM('Draw #1'!E115)</f>
        <v>0</v>
      </c>
      <c r="F114" s="105">
        <v>0</v>
      </c>
      <c r="G114" s="104" t="e">
        <f>SUM('Draw #1'!F115)+F114</f>
        <v>#REF!</v>
      </c>
      <c r="H114" s="109" t="e">
        <f t="shared" si="2"/>
        <v>#REF!</v>
      </c>
      <c r="I114" s="110">
        <v>0</v>
      </c>
      <c r="J114" s="109">
        <f>SUM(I114+'Draw #1'!I115)</f>
        <v>0</v>
      </c>
      <c r="K114" s="101" t="str">
        <f t="shared" si="3"/>
        <v/>
      </c>
      <c r="L114" s="9"/>
      <c r="M114" s="9"/>
    </row>
    <row r="115" spans="1:13" ht="14.1" customHeight="1">
      <c r="A115" s="4" t="e">
        <f>'SCHEDULE OF VALUE WORKSHEET'!#REF!</f>
        <v>#REF!</v>
      </c>
      <c r="B115" s="142" t="e">
        <f>'SCHEDULE OF VALUE WORKSHEET'!#REF!</f>
        <v>#REF!</v>
      </c>
      <c r="C115" s="143"/>
      <c r="D115" s="104" t="e">
        <f>SUM('SCHEDULE OF VALUE WORKSHEET'!#REF!)</f>
        <v>#REF!</v>
      </c>
      <c r="E115" s="106">
        <f>SUM('Draw #1'!E116)</f>
        <v>0</v>
      </c>
      <c r="F115" s="105">
        <v>0</v>
      </c>
      <c r="G115" s="104" t="e">
        <f>SUM('Draw #1'!F116)+F115</f>
        <v>#REF!</v>
      </c>
      <c r="H115" s="109" t="e">
        <f t="shared" si="2"/>
        <v>#REF!</v>
      </c>
      <c r="I115" s="110">
        <v>0</v>
      </c>
      <c r="J115" s="109">
        <f>SUM(I115+'Draw #1'!I116)</f>
        <v>0</v>
      </c>
      <c r="K115" s="101" t="str">
        <f t="shared" si="3"/>
        <v/>
      </c>
      <c r="L115" s="9"/>
      <c r="M115" s="9"/>
    </row>
    <row r="116" spans="1:13" ht="14.1" customHeight="1">
      <c r="A116" s="4" t="e">
        <f>'SCHEDULE OF VALUE WORKSHEET'!#REF!</f>
        <v>#REF!</v>
      </c>
      <c r="B116" s="142" t="e">
        <f>'SCHEDULE OF VALUE WORKSHEET'!#REF!</f>
        <v>#REF!</v>
      </c>
      <c r="C116" s="143"/>
      <c r="D116" s="104" t="e">
        <f>SUM('SCHEDULE OF VALUE WORKSHEET'!#REF!)</f>
        <v>#REF!</v>
      </c>
      <c r="E116" s="106">
        <f>SUM('Draw #1'!E117)</f>
        <v>0</v>
      </c>
      <c r="F116" s="105">
        <v>0</v>
      </c>
      <c r="G116" s="104" t="e">
        <f>SUM('Draw #1'!F117)+F116</f>
        <v>#REF!</v>
      </c>
      <c r="H116" s="109" t="e">
        <f t="shared" si="2"/>
        <v>#REF!</v>
      </c>
      <c r="I116" s="110">
        <v>0</v>
      </c>
      <c r="J116" s="109">
        <f>SUM(I116+'Draw #1'!I117)</f>
        <v>0</v>
      </c>
      <c r="K116" s="101" t="str">
        <f t="shared" si="3"/>
        <v/>
      </c>
      <c r="L116" s="9"/>
      <c r="M116" s="9"/>
    </row>
    <row r="117" spans="1:13" ht="14.1" customHeight="1">
      <c r="A117" s="4">
        <f>'SCHEDULE OF VALUE WORKSHEET'!A87</f>
        <v>82</v>
      </c>
      <c r="B117" s="142" t="str">
        <f>'SCHEDULE OF VALUE WORKSHEET'!B87</f>
        <v xml:space="preserve">Open Item </v>
      </c>
      <c r="C117" s="143"/>
      <c r="D117" s="104">
        <f>SUM('SCHEDULE OF VALUE WORKSHEET'!E87)</f>
        <v>0</v>
      </c>
      <c r="E117" s="106">
        <f>SUM('Draw #1'!E118)</f>
        <v>0</v>
      </c>
      <c r="F117" s="105">
        <v>0</v>
      </c>
      <c r="G117" s="104">
        <f>SUM('Draw #1'!F118)+F117</f>
        <v>0</v>
      </c>
      <c r="H117" s="109">
        <f t="shared" si="2"/>
        <v>0</v>
      </c>
      <c r="I117" s="110">
        <v>0</v>
      </c>
      <c r="J117" s="109">
        <f>SUM(I117+'Draw #1'!I118)</f>
        <v>0</v>
      </c>
      <c r="K117" s="101" t="str">
        <f t="shared" si="3"/>
        <v/>
      </c>
      <c r="L117" s="9"/>
      <c r="M117" s="9"/>
    </row>
    <row r="118" spans="1:13" ht="14.1" customHeight="1">
      <c r="A118" s="4">
        <f>'SCHEDULE OF VALUE WORKSHEET'!A88</f>
        <v>83</v>
      </c>
      <c r="B118" s="142" t="str">
        <f>'SCHEDULE OF VALUE WORKSHEET'!B88</f>
        <v xml:space="preserve">Open Item </v>
      </c>
      <c r="C118" s="143"/>
      <c r="D118" s="104">
        <f>SUM('SCHEDULE OF VALUE WORKSHEET'!E88)</f>
        <v>0</v>
      </c>
      <c r="E118" s="106">
        <f>SUM('Draw #1'!E119)</f>
        <v>0</v>
      </c>
      <c r="F118" s="105">
        <v>0</v>
      </c>
      <c r="G118" s="104">
        <f>SUM('Draw #1'!F119)+F118</f>
        <v>0</v>
      </c>
      <c r="H118" s="109">
        <f t="shared" si="2"/>
        <v>0</v>
      </c>
      <c r="I118" s="110">
        <v>0</v>
      </c>
      <c r="J118" s="109">
        <f>SUM(I118+'Draw #1'!I119)</f>
        <v>0</v>
      </c>
      <c r="K118" s="101" t="str">
        <f t="shared" si="3"/>
        <v/>
      </c>
      <c r="L118" s="9"/>
      <c r="M118" s="9"/>
    </row>
    <row r="119" spans="1:13" ht="14.1" customHeight="1">
      <c r="A119" s="4">
        <f>'SCHEDULE OF VALUE WORKSHEET'!A89</f>
        <v>84</v>
      </c>
      <c r="B119" s="142" t="str">
        <f>'SCHEDULE OF VALUE WORKSHEET'!B89</f>
        <v xml:space="preserve">Open Item </v>
      </c>
      <c r="C119" s="143"/>
      <c r="D119" s="104">
        <f>SUM('SCHEDULE OF VALUE WORKSHEET'!E89)</f>
        <v>0</v>
      </c>
      <c r="E119" s="106">
        <f>SUM('Draw #1'!E120)</f>
        <v>0</v>
      </c>
      <c r="F119" s="105">
        <v>0</v>
      </c>
      <c r="G119" s="104">
        <f>SUM('Draw #1'!F120)+F119</f>
        <v>0</v>
      </c>
      <c r="H119" s="109">
        <f t="shared" si="2"/>
        <v>0</v>
      </c>
      <c r="I119" s="110">
        <v>0</v>
      </c>
      <c r="J119" s="109">
        <f>SUM(I119+'Draw #1'!I120)</f>
        <v>0</v>
      </c>
      <c r="K119" s="101" t="str">
        <f t="shared" si="3"/>
        <v/>
      </c>
      <c r="L119" s="9"/>
      <c r="M119" s="9"/>
    </row>
    <row r="120" spans="1:13" ht="14.1" customHeight="1">
      <c r="A120" s="4">
        <f>'SCHEDULE OF VALUE WORKSHEET'!A90</f>
        <v>85</v>
      </c>
      <c r="B120" s="142" t="str">
        <f>'SCHEDULE OF VALUE WORKSHEET'!B90</f>
        <v xml:space="preserve">Open Item </v>
      </c>
      <c r="C120" s="143"/>
      <c r="D120" s="104">
        <f>SUM('SCHEDULE OF VALUE WORKSHEET'!E90)</f>
        <v>0</v>
      </c>
      <c r="E120" s="106">
        <f>SUM('Draw #1'!E121)</f>
        <v>0</v>
      </c>
      <c r="F120" s="105">
        <v>0</v>
      </c>
      <c r="G120" s="104">
        <f>SUM('Draw #1'!F121)+F120</f>
        <v>0</v>
      </c>
      <c r="H120" s="109">
        <f t="shared" si="2"/>
        <v>0</v>
      </c>
      <c r="I120" s="110">
        <v>0</v>
      </c>
      <c r="J120" s="109">
        <f>SUM(I120+'Draw #1'!I121)</f>
        <v>0</v>
      </c>
      <c r="K120" s="101" t="str">
        <f t="shared" si="3"/>
        <v/>
      </c>
      <c r="L120" s="9"/>
      <c r="M120" s="9"/>
    </row>
    <row r="121" spans="1:13" ht="14.1" customHeight="1">
      <c r="A121" s="4">
        <f>'SCHEDULE OF VALUE WORKSHEET'!A91</f>
        <v>86</v>
      </c>
      <c r="B121" s="142" t="str">
        <f>'SCHEDULE OF VALUE WORKSHEET'!B91</f>
        <v xml:space="preserve">Open Item </v>
      </c>
      <c r="C121" s="143"/>
      <c r="D121" s="104">
        <f>SUM('SCHEDULE OF VALUE WORKSHEET'!E91)</f>
        <v>0</v>
      </c>
      <c r="E121" s="106">
        <f>SUM('Draw #1'!E122)</f>
        <v>0</v>
      </c>
      <c r="F121" s="105">
        <v>0</v>
      </c>
      <c r="G121" s="104">
        <f>SUM('Draw #1'!F122)+F121</f>
        <v>0</v>
      </c>
      <c r="H121" s="109">
        <f t="shared" si="2"/>
        <v>0</v>
      </c>
      <c r="I121" s="110">
        <v>0</v>
      </c>
      <c r="J121" s="109">
        <f>SUM(I121+'Draw #1'!I122)</f>
        <v>0</v>
      </c>
      <c r="K121" s="101" t="str">
        <f t="shared" si="3"/>
        <v/>
      </c>
      <c r="L121" s="9"/>
      <c r="M121" s="9"/>
    </row>
    <row r="122" spans="1:13" ht="14.1" customHeight="1">
      <c r="A122" s="4">
        <f>'SCHEDULE OF VALUE WORKSHEET'!A92</f>
        <v>87</v>
      </c>
      <c r="B122" s="142" t="str">
        <f>'SCHEDULE OF VALUE WORKSHEET'!B92</f>
        <v xml:space="preserve">Open Item </v>
      </c>
      <c r="C122" s="143"/>
      <c r="D122" s="104">
        <f>SUM('SCHEDULE OF VALUE WORKSHEET'!E92)</f>
        <v>0</v>
      </c>
      <c r="E122" s="106">
        <f>SUM('Draw #1'!E123)</f>
        <v>0</v>
      </c>
      <c r="F122" s="105">
        <v>0</v>
      </c>
      <c r="G122" s="104">
        <f>SUM('Draw #1'!F123)+F122</f>
        <v>0</v>
      </c>
      <c r="H122" s="109">
        <f t="shared" si="2"/>
        <v>0</v>
      </c>
      <c r="I122" s="110">
        <v>0</v>
      </c>
      <c r="J122" s="109">
        <f>SUM(I122+'Draw #1'!I123)</f>
        <v>0</v>
      </c>
      <c r="K122" s="101" t="str">
        <f t="shared" si="3"/>
        <v/>
      </c>
      <c r="L122" s="9"/>
      <c r="M122" s="9"/>
    </row>
    <row r="123" spans="1:13" ht="14.1" customHeight="1">
      <c r="A123" s="4">
        <f>'SCHEDULE OF VALUE WORKSHEET'!A93</f>
        <v>88</v>
      </c>
      <c r="B123" s="142" t="str">
        <f>'SCHEDULE OF VALUE WORKSHEET'!B93</f>
        <v xml:space="preserve">Open Item </v>
      </c>
      <c r="C123" s="143"/>
      <c r="D123" s="104">
        <f>SUM('SCHEDULE OF VALUE WORKSHEET'!E93)</f>
        <v>0</v>
      </c>
      <c r="E123" s="106">
        <f>SUM('Draw #1'!E124)</f>
        <v>0</v>
      </c>
      <c r="F123" s="105">
        <v>0</v>
      </c>
      <c r="G123" s="104">
        <f>SUM('Draw #1'!F124)+F123</f>
        <v>0</v>
      </c>
      <c r="H123" s="109">
        <f t="shared" si="2"/>
        <v>0</v>
      </c>
      <c r="I123" s="110">
        <v>0</v>
      </c>
      <c r="J123" s="109">
        <f>SUM(I123+'Draw #1'!I124)</f>
        <v>0</v>
      </c>
      <c r="K123" s="101" t="str">
        <f t="shared" si="3"/>
        <v/>
      </c>
      <c r="L123" s="9"/>
      <c r="M123" s="9"/>
    </row>
    <row r="124" spans="1:13" ht="14.1" customHeight="1">
      <c r="A124" s="4">
        <f>'SCHEDULE OF VALUE WORKSHEET'!A94</f>
        <v>89</v>
      </c>
      <c r="B124" s="142" t="str">
        <f>'SCHEDULE OF VALUE WORKSHEET'!B94</f>
        <v xml:space="preserve">Open Item </v>
      </c>
      <c r="C124" s="143"/>
      <c r="D124" s="104">
        <f>SUM('SCHEDULE OF VALUE WORKSHEET'!E94)</f>
        <v>0</v>
      </c>
      <c r="E124" s="106">
        <f>SUM('Draw #1'!E125)</f>
        <v>0</v>
      </c>
      <c r="F124" s="105">
        <v>0</v>
      </c>
      <c r="G124" s="104">
        <f>SUM('Draw #1'!F125)+F124</f>
        <v>0</v>
      </c>
      <c r="H124" s="109">
        <f t="shared" si="2"/>
        <v>0</v>
      </c>
      <c r="I124" s="110">
        <v>0</v>
      </c>
      <c r="J124" s="109">
        <f>SUM(I124+'Draw #1'!I125)</f>
        <v>0</v>
      </c>
      <c r="K124" s="101" t="str">
        <f t="shared" si="3"/>
        <v/>
      </c>
      <c r="L124" s="9"/>
      <c r="M124" s="9"/>
    </row>
    <row r="125" spans="1:13" ht="14.1" customHeight="1">
      <c r="A125" s="4">
        <f>'SCHEDULE OF VALUE WORKSHEET'!A95</f>
        <v>90</v>
      </c>
      <c r="B125" s="142" t="str">
        <f>'SCHEDULE OF VALUE WORKSHEET'!B95</f>
        <v xml:space="preserve">Open Item </v>
      </c>
      <c r="C125" s="143"/>
      <c r="D125" s="104">
        <f>SUM('SCHEDULE OF VALUE WORKSHEET'!E95)</f>
        <v>0</v>
      </c>
      <c r="E125" s="106">
        <f>SUM('Draw #1'!E126)</f>
        <v>0</v>
      </c>
      <c r="F125" s="105">
        <v>0</v>
      </c>
      <c r="G125" s="104">
        <f>SUM('Draw #1'!F126)+F125</f>
        <v>0</v>
      </c>
      <c r="H125" s="109">
        <f t="shared" si="2"/>
        <v>0</v>
      </c>
      <c r="I125" s="110">
        <v>0</v>
      </c>
      <c r="J125" s="109">
        <f>SUM(I125+'Draw #1'!I126)</f>
        <v>0</v>
      </c>
      <c r="K125" s="101" t="str">
        <f t="shared" si="3"/>
        <v/>
      </c>
      <c r="L125" s="9"/>
      <c r="M125" s="9"/>
    </row>
    <row r="126" spans="1:13" ht="14.1" customHeight="1">
      <c r="A126" s="4">
        <f>'SCHEDULE OF VALUE WORKSHEET'!A96</f>
        <v>91</v>
      </c>
      <c r="B126" s="142" t="str">
        <f>'SCHEDULE OF VALUE WORKSHEET'!B96</f>
        <v xml:space="preserve">Open Item </v>
      </c>
      <c r="C126" s="143"/>
      <c r="D126" s="104">
        <f>SUM('SCHEDULE OF VALUE WORKSHEET'!E96)</f>
        <v>0</v>
      </c>
      <c r="E126" s="106">
        <f>SUM('Draw #1'!E127)</f>
        <v>0</v>
      </c>
      <c r="F126" s="105">
        <v>0</v>
      </c>
      <c r="G126" s="104">
        <f>SUM('Draw #1'!F127)+F126</f>
        <v>0</v>
      </c>
      <c r="H126" s="109">
        <f t="shared" si="2"/>
        <v>0</v>
      </c>
      <c r="I126" s="110">
        <v>0</v>
      </c>
      <c r="J126" s="109">
        <f>SUM(I126+'Draw #1'!I127)</f>
        <v>0</v>
      </c>
      <c r="K126" s="101" t="str">
        <f t="shared" si="3"/>
        <v/>
      </c>
      <c r="L126" s="9"/>
      <c r="M126" s="9"/>
    </row>
    <row r="127" spans="1:13" ht="14.1" customHeight="1">
      <c r="A127" s="4">
        <f>'SCHEDULE OF VALUE WORKSHEET'!A97</f>
        <v>92</v>
      </c>
      <c r="B127" s="142" t="str">
        <f>'SCHEDULE OF VALUE WORKSHEET'!B97</f>
        <v xml:space="preserve">Open Item </v>
      </c>
      <c r="C127" s="143"/>
      <c r="D127" s="104">
        <f>SUM('SCHEDULE OF VALUE WORKSHEET'!E97)</f>
        <v>0</v>
      </c>
      <c r="E127" s="106">
        <f>SUM('Draw #1'!E128)</f>
        <v>0</v>
      </c>
      <c r="F127" s="105">
        <v>0</v>
      </c>
      <c r="G127" s="104">
        <f>SUM('Draw #1'!F128)+F127</f>
        <v>0</v>
      </c>
      <c r="H127" s="109">
        <f t="shared" si="2"/>
        <v>0</v>
      </c>
      <c r="I127" s="110">
        <v>0</v>
      </c>
      <c r="J127" s="109">
        <f>SUM(I127+'Draw #1'!I128)</f>
        <v>0</v>
      </c>
      <c r="K127" s="101" t="str">
        <f t="shared" si="3"/>
        <v/>
      </c>
      <c r="L127" s="9"/>
      <c r="M127" s="9"/>
    </row>
    <row r="128" spans="1:13" ht="14.1" customHeight="1">
      <c r="A128" s="4">
        <f>'SCHEDULE OF VALUE WORKSHEET'!A98</f>
        <v>93</v>
      </c>
      <c r="B128" s="142" t="str">
        <f>'SCHEDULE OF VALUE WORKSHEET'!B98</f>
        <v xml:space="preserve">Open Item </v>
      </c>
      <c r="C128" s="143"/>
      <c r="D128" s="104">
        <f>SUM('SCHEDULE OF VALUE WORKSHEET'!E98)</f>
        <v>0</v>
      </c>
      <c r="E128" s="106">
        <f>SUM('Draw #1'!E129)</f>
        <v>0</v>
      </c>
      <c r="F128" s="105">
        <v>0</v>
      </c>
      <c r="G128" s="104">
        <f>SUM('Draw #1'!F129)+F128</f>
        <v>0</v>
      </c>
      <c r="H128" s="109">
        <f t="shared" si="2"/>
        <v>0</v>
      </c>
      <c r="I128" s="110">
        <v>0</v>
      </c>
      <c r="J128" s="109">
        <f>SUM(I128+'Draw #1'!I129)</f>
        <v>0</v>
      </c>
      <c r="K128" s="101" t="str">
        <f t="shared" si="3"/>
        <v/>
      </c>
      <c r="L128" s="9"/>
      <c r="M128" s="9"/>
    </row>
    <row r="129" spans="1:13" ht="14.1" customHeight="1">
      <c r="A129" s="4">
        <f>'SCHEDULE OF VALUE WORKSHEET'!A99</f>
        <v>94</v>
      </c>
      <c r="B129" s="142" t="str">
        <f>'SCHEDULE OF VALUE WORKSHEET'!B99</f>
        <v xml:space="preserve">Open Item </v>
      </c>
      <c r="C129" s="143"/>
      <c r="D129" s="104">
        <f>SUM('SCHEDULE OF VALUE WORKSHEET'!E99)</f>
        <v>0</v>
      </c>
      <c r="E129" s="106">
        <f>SUM('Draw #1'!E130)</f>
        <v>0</v>
      </c>
      <c r="F129" s="105">
        <v>0</v>
      </c>
      <c r="G129" s="104">
        <f>SUM('Draw #1'!F130)+F129</f>
        <v>0</v>
      </c>
      <c r="H129" s="109">
        <f t="shared" si="2"/>
        <v>0</v>
      </c>
      <c r="I129" s="110">
        <v>0</v>
      </c>
      <c r="J129" s="109">
        <f>SUM(I129+'Draw #1'!I130)</f>
        <v>0</v>
      </c>
      <c r="K129" s="101" t="str">
        <f t="shared" si="3"/>
        <v/>
      </c>
      <c r="L129" s="9"/>
      <c r="M129" s="9"/>
    </row>
    <row r="130" spans="1:13" ht="14.1" customHeight="1">
      <c r="A130" s="4">
        <f>'SCHEDULE OF VALUE WORKSHEET'!A100</f>
        <v>95</v>
      </c>
      <c r="B130" s="142" t="str">
        <f>'SCHEDULE OF VALUE WORKSHEET'!B100</f>
        <v xml:space="preserve">Open Item </v>
      </c>
      <c r="C130" s="143"/>
      <c r="D130" s="104">
        <f>SUM('SCHEDULE OF VALUE WORKSHEET'!E100)</f>
        <v>0</v>
      </c>
      <c r="E130" s="106">
        <f>SUM('Draw #1'!E131)</f>
        <v>0</v>
      </c>
      <c r="F130" s="105">
        <v>0</v>
      </c>
      <c r="G130" s="104">
        <f>SUM('Draw #1'!F131)+F130</f>
        <v>0</v>
      </c>
      <c r="H130" s="109">
        <f t="shared" si="2"/>
        <v>0</v>
      </c>
      <c r="I130" s="110">
        <v>0</v>
      </c>
      <c r="J130" s="109">
        <f>SUM(I130+'Draw #1'!I131)</f>
        <v>0</v>
      </c>
      <c r="K130" s="101" t="str">
        <f t="shared" si="3"/>
        <v/>
      </c>
      <c r="L130" s="9"/>
      <c r="M130" s="9"/>
    </row>
    <row r="131" spans="1:13" ht="14.1" customHeight="1">
      <c r="A131" s="4">
        <f>'SCHEDULE OF VALUE WORKSHEET'!A101</f>
        <v>96</v>
      </c>
      <c r="B131" s="142" t="str">
        <f>'SCHEDULE OF VALUE WORKSHEET'!B101</f>
        <v xml:space="preserve">Open Item </v>
      </c>
      <c r="C131" s="143"/>
      <c r="D131" s="104">
        <f>SUM('SCHEDULE OF VALUE WORKSHEET'!E101)</f>
        <v>0</v>
      </c>
      <c r="E131" s="106">
        <f>SUM('Draw #1'!E132)</f>
        <v>0</v>
      </c>
      <c r="F131" s="105">
        <v>0</v>
      </c>
      <c r="G131" s="104">
        <f>SUM('Draw #1'!F132)+F131</f>
        <v>0</v>
      </c>
      <c r="H131" s="109">
        <f t="shared" si="2"/>
        <v>0</v>
      </c>
      <c r="I131" s="110">
        <v>0</v>
      </c>
      <c r="J131" s="109">
        <f>SUM(I131+'Draw #1'!I132)</f>
        <v>0</v>
      </c>
      <c r="K131" s="101" t="str">
        <f t="shared" si="3"/>
        <v/>
      </c>
      <c r="L131" s="9"/>
      <c r="M131" s="9"/>
    </row>
    <row r="132" spans="1:13" ht="14.1" customHeight="1">
      <c r="A132" s="4">
        <f>'SCHEDULE OF VALUE WORKSHEET'!A102</f>
        <v>97</v>
      </c>
      <c r="B132" s="142" t="str">
        <f>'SCHEDULE OF VALUE WORKSHEET'!B102</f>
        <v xml:space="preserve">Open Item </v>
      </c>
      <c r="C132" s="143"/>
      <c r="D132" s="104">
        <f>SUM('SCHEDULE OF VALUE WORKSHEET'!E102)</f>
        <v>0</v>
      </c>
      <c r="E132" s="106">
        <f>SUM('Draw #1'!E133)</f>
        <v>0</v>
      </c>
      <c r="F132" s="105">
        <v>0</v>
      </c>
      <c r="G132" s="104">
        <f>SUM('Draw #1'!F133)+F132</f>
        <v>0</v>
      </c>
      <c r="H132" s="109">
        <f t="shared" si="2"/>
        <v>0</v>
      </c>
      <c r="I132" s="110">
        <v>0</v>
      </c>
      <c r="J132" s="109">
        <f>SUM(I132+'Draw #1'!I133)</f>
        <v>0</v>
      </c>
      <c r="K132" s="101" t="str">
        <f t="shared" si="3"/>
        <v/>
      </c>
      <c r="L132" s="9"/>
      <c r="M132" s="9"/>
    </row>
    <row r="133" spans="1:13" ht="14.1" customHeight="1">
      <c r="A133" s="4">
        <f>'SCHEDULE OF VALUE WORKSHEET'!A103</f>
        <v>98</v>
      </c>
      <c r="B133" s="142" t="str">
        <f>'SCHEDULE OF VALUE WORKSHEET'!B103</f>
        <v xml:space="preserve">Open Item </v>
      </c>
      <c r="C133" s="143"/>
      <c r="D133" s="104">
        <f>SUM('SCHEDULE OF VALUE WORKSHEET'!E103)</f>
        <v>0</v>
      </c>
      <c r="E133" s="106">
        <f>SUM('Draw #1'!E134)</f>
        <v>0</v>
      </c>
      <c r="F133" s="105">
        <v>0</v>
      </c>
      <c r="G133" s="104">
        <f>SUM('Draw #1'!F134)+F133</f>
        <v>0</v>
      </c>
      <c r="H133" s="109">
        <f t="shared" si="2"/>
        <v>0</v>
      </c>
      <c r="I133" s="110">
        <v>0</v>
      </c>
      <c r="J133" s="109">
        <f>SUM(I133+'Draw #1'!I134)</f>
        <v>0</v>
      </c>
      <c r="K133" s="101" t="str">
        <f t="shared" si="3"/>
        <v/>
      </c>
      <c r="L133" s="9"/>
      <c r="M133" s="9"/>
    </row>
    <row r="134" spans="1:13" ht="14.1" customHeight="1">
      <c r="A134" s="4">
        <f>'SCHEDULE OF VALUE WORKSHEET'!A104</f>
        <v>99</v>
      </c>
      <c r="B134" s="142" t="str">
        <f>'SCHEDULE OF VALUE WORKSHEET'!B104</f>
        <v xml:space="preserve">Open Item </v>
      </c>
      <c r="C134" s="143"/>
      <c r="D134" s="104">
        <f>SUM('SCHEDULE OF VALUE WORKSHEET'!E104)</f>
        <v>0</v>
      </c>
      <c r="E134" s="106">
        <f>SUM('Draw #1'!E135)</f>
        <v>0</v>
      </c>
      <c r="F134" s="105">
        <v>0</v>
      </c>
      <c r="G134" s="104">
        <f>SUM('Draw #1'!F135)+F134</f>
        <v>0</v>
      </c>
      <c r="H134" s="109">
        <f t="shared" si="2"/>
        <v>0</v>
      </c>
      <c r="I134" s="110">
        <v>0</v>
      </c>
      <c r="J134" s="109">
        <f>SUM(I134+'Draw #1'!I135)</f>
        <v>0</v>
      </c>
      <c r="K134" s="101" t="str">
        <f t="shared" si="3"/>
        <v/>
      </c>
      <c r="L134" s="9"/>
      <c r="M134" s="9"/>
    </row>
    <row r="135" spans="1:13" ht="14.1" customHeight="1">
      <c r="A135" s="4" t="e">
        <f>'SCHEDULE OF VALUE WORKSHEET'!#REF!</f>
        <v>#REF!</v>
      </c>
      <c r="B135" s="142" t="e">
        <f>'SCHEDULE OF VALUE WORKSHEET'!#REF!</f>
        <v>#REF!</v>
      </c>
      <c r="C135" s="143"/>
      <c r="D135" s="104" t="e">
        <f>SUM('SCHEDULE OF VALUE WORKSHEET'!#REF!)</f>
        <v>#REF!</v>
      </c>
      <c r="E135" s="106">
        <f>SUM('Draw #1'!E136)</f>
        <v>0</v>
      </c>
      <c r="F135" s="105">
        <v>0</v>
      </c>
      <c r="G135" s="104" t="e">
        <f>SUM('Draw #1'!F136)+F135</f>
        <v>#REF!</v>
      </c>
      <c r="H135" s="109" t="e">
        <f t="shared" si="2"/>
        <v>#REF!</v>
      </c>
      <c r="I135" s="110">
        <v>0</v>
      </c>
      <c r="J135" s="109">
        <f>SUM(I135+'Draw #1'!I136)</f>
        <v>0</v>
      </c>
      <c r="K135" s="101" t="str">
        <f t="shared" si="3"/>
        <v/>
      </c>
      <c r="L135" s="9"/>
      <c r="M135" s="9"/>
    </row>
    <row r="136" spans="1:13" ht="14.1" customHeight="1">
      <c r="A136" s="165"/>
      <c r="B136" s="166"/>
      <c r="C136" s="166"/>
      <c r="D136" s="166"/>
      <c r="E136" s="166"/>
      <c r="F136" s="166"/>
      <c r="G136" s="166"/>
      <c r="H136" s="166"/>
      <c r="I136" s="166"/>
      <c r="J136" s="166"/>
      <c r="K136" s="167"/>
      <c r="L136" s="10"/>
      <c r="M136" s="10"/>
    </row>
    <row r="137" spans="1:13" ht="18.75" customHeight="1">
      <c r="A137" s="7"/>
      <c r="B137" s="168" t="s">
        <v>2</v>
      </c>
      <c r="C137" s="168"/>
      <c r="D137" s="25" t="e">
        <f t="shared" ref="D137:J137" si="4">SUM(D10:D135)</f>
        <v>#REF!</v>
      </c>
      <c r="E137" s="25">
        <f t="shared" si="4"/>
        <v>0</v>
      </c>
      <c r="F137" s="25">
        <f t="shared" si="4"/>
        <v>0</v>
      </c>
      <c r="G137" s="25" t="e">
        <f t="shared" si="4"/>
        <v>#REF!</v>
      </c>
      <c r="H137" s="25" t="e">
        <f t="shared" si="4"/>
        <v>#REF!</v>
      </c>
      <c r="I137" s="25">
        <f t="shared" si="4"/>
        <v>0</v>
      </c>
      <c r="J137" s="25">
        <f t="shared" si="4"/>
        <v>0</v>
      </c>
      <c r="K137" s="21"/>
      <c r="L137" s="11"/>
      <c r="M137" s="11"/>
    </row>
    <row r="138" spans="1:13" ht="14.1" customHeight="1">
      <c r="A138" s="2"/>
      <c r="B138" s="2"/>
      <c r="C138" s="2"/>
      <c r="D138" s="2"/>
      <c r="E138" s="107"/>
      <c r="F138" s="26"/>
      <c r="G138" s="2"/>
    </row>
    <row r="139" spans="1:13" ht="14.1" customHeight="1">
      <c r="G139" s="2"/>
      <c r="H139" s="140"/>
      <c r="I139" s="140"/>
      <c r="J139" s="140"/>
    </row>
    <row r="140" spans="1:13" ht="14.1" customHeight="1">
      <c r="G140" s="2"/>
    </row>
    <row r="141" spans="1:13" ht="14.1" customHeight="1">
      <c r="G141" s="2"/>
      <c r="H141" s="8"/>
    </row>
    <row r="142" spans="1:13" ht="14.1" customHeight="1">
      <c r="G142" s="2"/>
      <c r="H142" s="8"/>
    </row>
    <row r="143" spans="1:13" ht="14.1" customHeight="1">
      <c r="G143" s="2"/>
    </row>
    <row r="144" spans="1:13" ht="14.1" customHeight="1">
      <c r="G144" s="2"/>
    </row>
    <row r="145" spans="7:7" ht="14.1" customHeight="1">
      <c r="G145" s="2"/>
    </row>
    <row r="146" spans="7:7" ht="14.1" customHeight="1">
      <c r="G146" s="2"/>
    </row>
    <row r="147" spans="7:7" ht="14.1" customHeight="1">
      <c r="G147" s="2"/>
    </row>
    <row r="148" spans="7:7" ht="14.1" customHeight="1">
      <c r="G148" s="3"/>
    </row>
  </sheetData>
  <sheetProtection algorithmName="SHA-512" hashValue="NAe1Tg33/WZ2yqQR6zgEuk9ScKUxpnvcUOt1Axd2WRVCKgtHjh5jA8Am8iTs9qAEmhNYCkmUUEWVVMtiar1QUQ==" saltValue="IzKAJpwE2F/tZi8sJQiGQg==" spinCount="100000" sheet="1" selectLockedCells="1"/>
  <mergeCells count="136">
    <mergeCell ref="A1:K2"/>
    <mergeCell ref="F8:F9"/>
    <mergeCell ref="B47:C47"/>
    <mergeCell ref="B48:C48"/>
    <mergeCell ref="B49:C49"/>
    <mergeCell ref="B127:C127"/>
    <mergeCell ref="B128:C128"/>
    <mergeCell ref="B52:C52"/>
    <mergeCell ref="B53:C53"/>
    <mergeCell ref="B54:C54"/>
    <mergeCell ref="B55:C55"/>
    <mergeCell ref="B56:C56"/>
    <mergeCell ref="B61:C61"/>
    <mergeCell ref="B62:C62"/>
    <mergeCell ref="B63:C63"/>
    <mergeCell ref="B122:C122"/>
    <mergeCell ref="B123:C123"/>
    <mergeCell ref="B124:C124"/>
    <mergeCell ref="B125:C125"/>
    <mergeCell ref="D8:D9"/>
    <mergeCell ref="G8:G9"/>
    <mergeCell ref="J8:K8"/>
    <mergeCell ref="J9:K9"/>
    <mergeCell ref="B10:C10"/>
    <mergeCell ref="B11:C11"/>
    <mergeCell ref="B50:C50"/>
    <mergeCell ref="B14:C14"/>
    <mergeCell ref="B15:C15"/>
    <mergeCell ref="B16:C16"/>
    <mergeCell ref="B17:C17"/>
    <mergeCell ref="B8:C9"/>
    <mergeCell ref="B12:C12"/>
    <mergeCell ref="B13:C13"/>
    <mergeCell ref="B18:C18"/>
    <mergeCell ref="B19:C19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32:C32"/>
    <mergeCell ref="B33:C33"/>
    <mergeCell ref="B45:C45"/>
    <mergeCell ref="B34:C34"/>
    <mergeCell ref="B35:C35"/>
    <mergeCell ref="B36:C36"/>
    <mergeCell ref="B37:C37"/>
    <mergeCell ref="B38:C38"/>
    <mergeCell ref="B39:C39"/>
    <mergeCell ref="B46:C46"/>
    <mergeCell ref="A136:K136"/>
    <mergeCell ref="B137:C137"/>
    <mergeCell ref="H139:J139"/>
    <mergeCell ref="B40:C40"/>
    <mergeCell ref="B41:C41"/>
    <mergeCell ref="B42:C42"/>
    <mergeCell ref="B43:C43"/>
    <mergeCell ref="B44:C44"/>
    <mergeCell ref="B51:C51"/>
    <mergeCell ref="B130:C130"/>
    <mergeCell ref="B57:C57"/>
    <mergeCell ref="B58:C58"/>
    <mergeCell ref="B59:C59"/>
    <mergeCell ref="B60:C60"/>
    <mergeCell ref="B135:C135"/>
    <mergeCell ref="B129:C129"/>
    <mergeCell ref="B131:C131"/>
    <mergeCell ref="B132:C132"/>
    <mergeCell ref="B133:C133"/>
    <mergeCell ref="B134:C134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106:C106"/>
    <mergeCell ref="B107:C107"/>
    <mergeCell ref="B108:C108"/>
    <mergeCell ref="B109:C109"/>
    <mergeCell ref="B110:C110"/>
    <mergeCell ref="B111:C111"/>
    <mergeCell ref="B100:C100"/>
    <mergeCell ref="B101:C101"/>
    <mergeCell ref="B102:C102"/>
    <mergeCell ref="B103:C103"/>
    <mergeCell ref="B104:C104"/>
    <mergeCell ref="B105:C105"/>
    <mergeCell ref="B118:C118"/>
    <mergeCell ref="B119:C119"/>
    <mergeCell ref="B126:C126"/>
    <mergeCell ref="B120:C120"/>
    <mergeCell ref="B121:C121"/>
    <mergeCell ref="B112:C112"/>
    <mergeCell ref="B113:C113"/>
    <mergeCell ref="B114:C114"/>
    <mergeCell ref="B115:C115"/>
    <mergeCell ref="B116:C116"/>
    <mergeCell ref="B117:C117"/>
  </mergeCells>
  <conditionalFormatting sqref="B10:E135">
    <cfRule type="expression" dxfId="92" priority="8" stopIfTrue="1">
      <formula>$I10&gt;0</formula>
    </cfRule>
    <cfRule type="expression" dxfId="91" priority="9" stopIfTrue="1">
      <formula>$K10=100%</formula>
    </cfRule>
  </conditionalFormatting>
  <conditionalFormatting sqref="D10:E135">
    <cfRule type="expression" dxfId="90" priority="6" stopIfTrue="1">
      <formula>$K10=""</formula>
    </cfRule>
    <cfRule type="expression" dxfId="89" priority="7" stopIfTrue="1">
      <formula>$K10&gt;100%</formula>
    </cfRule>
  </conditionalFormatting>
  <conditionalFormatting sqref="E10:E135">
    <cfRule type="cellIs" dxfId="88" priority="5" stopIfTrue="1" operator="lessThan">
      <formula>0</formula>
    </cfRule>
  </conditionalFormatting>
  <conditionalFormatting sqref="F10:F135">
    <cfRule type="expression" dxfId="87" priority="1" stopIfTrue="1">
      <formula>$K10=""</formula>
    </cfRule>
    <cfRule type="expression" dxfId="86" priority="2" stopIfTrue="1">
      <formula>$K10&gt;100%</formula>
    </cfRule>
    <cfRule type="expression" dxfId="85" priority="3" stopIfTrue="1">
      <formula>$I10&gt;0</formula>
    </cfRule>
    <cfRule type="expression" dxfId="84" priority="4" stopIfTrue="1">
      <formula>$K10=100%</formula>
    </cfRule>
  </conditionalFormatting>
  <conditionalFormatting sqref="F137">
    <cfRule type="cellIs" dxfId="83" priority="86" stopIfTrue="1" operator="lessThan">
      <formula>0</formula>
    </cfRule>
    <cfRule type="cellIs" dxfId="82" priority="93" stopIfTrue="1" operator="greaterThan">
      <formula>0</formula>
    </cfRule>
  </conditionalFormatting>
  <conditionalFormatting sqref="G10:H135">
    <cfRule type="cellIs" dxfId="81" priority="10" stopIfTrue="1" operator="lessThan">
      <formula>0</formula>
    </cfRule>
  </conditionalFormatting>
  <conditionalFormatting sqref="G10:K135">
    <cfRule type="expression" dxfId="80" priority="12" stopIfTrue="1">
      <formula>$K10=""</formula>
    </cfRule>
    <cfRule type="expression" dxfId="79" priority="13" stopIfTrue="1">
      <formula>$K10&gt;100%</formula>
    </cfRule>
    <cfRule type="expression" dxfId="78" priority="14" stopIfTrue="1">
      <formula>$I10&gt;0</formula>
    </cfRule>
    <cfRule type="expression" dxfId="77" priority="15" stopIfTrue="1">
      <formula>$K10=100%</formula>
    </cfRule>
  </conditionalFormatting>
  <pageMargins left="0.7" right="0.7" top="0.75" bottom="0.75" header="0.3" footer="0.3"/>
  <pageSetup scale="7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8"/>
  <sheetViews>
    <sheetView showGridLines="0" zoomScale="90" zoomScaleNormal="90" zoomScaleSheetLayoutView="107" workbookViewId="0">
      <selection activeCell="I18" sqref="I18"/>
    </sheetView>
  </sheetViews>
  <sheetFormatPr defaultColWidth="6.59765625" defaultRowHeight="15.75"/>
  <cols>
    <col min="1" max="1" width="4.8984375" style="1" customWidth="1"/>
    <col min="2" max="2" width="5.69921875" style="1" customWidth="1"/>
    <col min="3" max="3" width="15.19921875" style="1" customWidth="1"/>
    <col min="4" max="5" width="10.59765625" style="1" customWidth="1"/>
    <col min="6" max="9" width="10.69921875" style="1" customWidth="1"/>
    <col min="10" max="10" width="10.59765625" style="1" customWidth="1"/>
    <col min="11" max="11" width="5.09765625" style="18" customWidth="1"/>
    <col min="12" max="13" width="4.69921875" style="1" customWidth="1"/>
    <col min="14" max="16384" width="6.59765625" style="1"/>
  </cols>
  <sheetData>
    <row r="1" spans="1:13">
      <c r="A1" s="171" t="s">
        <v>18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</row>
    <row r="2" spans="1:13">
      <c r="A2" s="174"/>
      <c r="B2" s="153"/>
      <c r="C2" s="153"/>
      <c r="D2" s="153"/>
      <c r="E2" s="153"/>
      <c r="F2" s="153"/>
      <c r="G2" s="153"/>
      <c r="H2" s="153"/>
      <c r="I2" s="153"/>
      <c r="J2" s="153"/>
      <c r="K2" s="175"/>
    </row>
    <row r="3" spans="1:13">
      <c r="A3" s="74"/>
      <c r="B3" s="13" t="s">
        <v>7</v>
      </c>
      <c r="C3" s="35" t="str">
        <f>'SCHEDULE OF VALUE WORKSHEET'!$B$3</f>
        <v>Angeleno Investments</v>
      </c>
      <c r="F3" s="6"/>
      <c r="G3" s="28"/>
      <c r="H3" s="55"/>
      <c r="I3" s="41" t="s">
        <v>5</v>
      </c>
      <c r="J3" s="38">
        <f>SUM(J137)</f>
        <v>0</v>
      </c>
      <c r="K3" s="80" t="e">
        <f>SUM(J3)/J7</f>
        <v>#REF!</v>
      </c>
    </row>
    <row r="4" spans="1:13" ht="16.350000000000001" customHeight="1">
      <c r="A4" s="74"/>
      <c r="B4" s="34" t="s">
        <v>0</v>
      </c>
      <c r="C4" s="36">
        <f ca="1">TODAY()</f>
        <v>45978</v>
      </c>
      <c r="D4" s="36"/>
      <c r="E4" s="36"/>
      <c r="F4" s="15"/>
      <c r="G4" s="3"/>
      <c r="H4" s="75"/>
      <c r="I4" s="41" t="s">
        <v>13</v>
      </c>
      <c r="J4" s="38" t="e">
        <f>SUM(H137)</f>
        <v>#REF!</v>
      </c>
      <c r="K4" s="80"/>
    </row>
    <row r="5" spans="1:13">
      <c r="A5" s="74"/>
      <c r="B5" s="34" t="s">
        <v>6</v>
      </c>
      <c r="C5" s="37" t="str">
        <f>'SCHEDULE OF VALUE WORKSHEET'!B5</f>
        <v>10910 Huston Street</v>
      </c>
      <c r="F5" s="56"/>
      <c r="G5" s="57"/>
      <c r="H5" s="75"/>
      <c r="I5" s="41" t="s">
        <v>14</v>
      </c>
      <c r="J5" s="38" t="e">
        <f>SUM(D137)</f>
        <v>#REF!</v>
      </c>
      <c r="K5" s="80"/>
    </row>
    <row r="6" spans="1:13">
      <c r="A6" s="74"/>
      <c r="B6" s="34" t="s">
        <v>20</v>
      </c>
      <c r="C6" s="48">
        <f>SUM(I137)</f>
        <v>0</v>
      </c>
      <c r="D6" s="6"/>
      <c r="E6" s="6"/>
      <c r="F6" s="6"/>
      <c r="G6" s="57"/>
      <c r="H6" s="75"/>
      <c r="I6" s="42" t="s">
        <v>17</v>
      </c>
      <c r="J6" s="38">
        <f>SUM(F137)</f>
        <v>0</v>
      </c>
      <c r="K6" s="80"/>
    </row>
    <row r="7" spans="1:13">
      <c r="A7" s="78"/>
      <c r="G7" s="28"/>
      <c r="H7" s="20"/>
      <c r="I7" s="34" t="s">
        <v>15</v>
      </c>
      <c r="J7" s="29" t="e">
        <f>SUM(G137)</f>
        <v>#REF!</v>
      </c>
      <c r="K7" s="80"/>
    </row>
    <row r="8" spans="1:13">
      <c r="A8" s="19"/>
      <c r="B8" s="169" t="s">
        <v>1</v>
      </c>
      <c r="C8" s="170"/>
      <c r="D8" s="177" t="s">
        <v>8</v>
      </c>
      <c r="E8" s="102" t="s">
        <v>24</v>
      </c>
      <c r="F8" s="176" t="s">
        <v>26</v>
      </c>
      <c r="G8" s="177" t="s">
        <v>9</v>
      </c>
      <c r="H8" s="30" t="s">
        <v>10</v>
      </c>
      <c r="I8" s="31" t="s">
        <v>12</v>
      </c>
      <c r="J8" s="178" t="s">
        <v>3</v>
      </c>
      <c r="K8" s="179"/>
      <c r="L8" s="12"/>
      <c r="M8" s="12"/>
    </row>
    <row r="9" spans="1:13" ht="14.1" customHeight="1">
      <c r="A9" s="19"/>
      <c r="B9" s="146"/>
      <c r="C9" s="147"/>
      <c r="D9" s="162"/>
      <c r="E9" s="103" t="s">
        <v>25</v>
      </c>
      <c r="F9" s="164"/>
      <c r="G9" s="162"/>
      <c r="H9" s="32" t="s">
        <v>22</v>
      </c>
      <c r="I9" s="33">
        <v>3</v>
      </c>
      <c r="J9" s="180" t="s">
        <v>4</v>
      </c>
      <c r="K9" s="181"/>
      <c r="L9" s="12"/>
      <c r="M9" s="12"/>
    </row>
    <row r="10" spans="1:13" ht="14.1" customHeight="1">
      <c r="A10" s="4">
        <f>'SCHEDULE OF VALUE WORKSHEET'!A7</f>
        <v>1</v>
      </c>
      <c r="B10" s="142" t="str">
        <f>'SCHEDULE OF VALUE WORKSHEET'!B7</f>
        <v>SOFT COSTS</v>
      </c>
      <c r="C10" s="143"/>
      <c r="D10" s="104">
        <f>SUM('SCHEDULE OF VALUE WORKSHEET'!E7)</f>
        <v>0</v>
      </c>
      <c r="E10" s="104">
        <f>SUM('Draw #2'!E10:F10)</f>
        <v>0</v>
      </c>
      <c r="F10" s="105">
        <v>0</v>
      </c>
      <c r="G10" s="104">
        <f>SUM('Draw #2'!G10)+F10</f>
        <v>0</v>
      </c>
      <c r="H10" s="109">
        <f>SUM(G10-J10)</f>
        <v>0</v>
      </c>
      <c r="I10" s="110">
        <v>0</v>
      </c>
      <c r="J10" s="109">
        <f>SUM(I10+'Draw #2'!J10)</f>
        <v>0</v>
      </c>
      <c r="K10" s="101" t="str">
        <f>IF(J10=0,"",J10/G10)</f>
        <v/>
      </c>
      <c r="L10" s="9"/>
      <c r="M10" s="9"/>
    </row>
    <row r="11" spans="1:13" ht="14.1" customHeight="1">
      <c r="A11" s="4">
        <f>'SCHEDULE OF VALUE WORKSHEET'!A8</f>
        <v>2</v>
      </c>
      <c r="B11" s="142" t="str">
        <f>'SCHEDULE OF VALUE WORKSHEET'!B8</f>
        <v>Site Security</v>
      </c>
      <c r="C11" s="143"/>
      <c r="D11" s="104">
        <f>SUM('SCHEDULE OF VALUE WORKSHEET'!E8)</f>
        <v>10580.63</v>
      </c>
      <c r="E11" s="104">
        <f>SUM('Draw #2'!E11:F11)</f>
        <v>0</v>
      </c>
      <c r="F11" s="105">
        <v>0</v>
      </c>
      <c r="G11" s="104">
        <f>SUM('Draw #2'!G11)+F11</f>
        <v>10580.63</v>
      </c>
      <c r="H11" s="109">
        <f t="shared" ref="H11:H74" si="0">SUM(G11-J11)</f>
        <v>10580.63</v>
      </c>
      <c r="I11" s="110">
        <v>0</v>
      </c>
      <c r="J11" s="109">
        <f>SUM(I11+'Draw #2'!J11)</f>
        <v>0</v>
      </c>
      <c r="K11" s="101" t="str">
        <f t="shared" ref="K11:K74" si="1">IF(J11=0,"",J11/G11)</f>
        <v/>
      </c>
      <c r="L11" s="9"/>
      <c r="M11" s="9"/>
    </row>
    <row r="12" spans="1:13" ht="14.1" customHeight="1">
      <c r="A12" s="4">
        <f>'SCHEDULE OF VALUE WORKSHEET'!A9</f>
        <v>3</v>
      </c>
      <c r="B12" s="142" t="str">
        <f>'SCHEDULE OF VALUE WORKSHEET'!B9</f>
        <v>Soils Inspection</v>
      </c>
      <c r="C12" s="143"/>
      <c r="D12" s="104">
        <f>SUM('SCHEDULE OF VALUE WORKSHEET'!E9)</f>
        <v>0</v>
      </c>
      <c r="E12" s="104">
        <f>SUM('Draw #2'!E12:F12)</f>
        <v>0</v>
      </c>
      <c r="F12" s="105">
        <v>0</v>
      </c>
      <c r="G12" s="104">
        <f>SUM('Draw #2'!G12)+F12</f>
        <v>0</v>
      </c>
      <c r="H12" s="109">
        <f t="shared" si="0"/>
        <v>0</v>
      </c>
      <c r="I12" s="110">
        <v>0</v>
      </c>
      <c r="J12" s="109">
        <f>SUM(I12+'Draw #2'!J12)</f>
        <v>0</v>
      </c>
      <c r="K12" s="101" t="str">
        <f t="shared" si="1"/>
        <v/>
      </c>
      <c r="L12" s="9"/>
      <c r="M12" s="9"/>
    </row>
    <row r="13" spans="1:13" ht="14.1" customHeight="1">
      <c r="A13" s="4">
        <f>'SCHEDULE OF VALUE WORKSHEET'!A10</f>
        <v>4</v>
      </c>
      <c r="B13" s="142" t="str">
        <f>'SCHEDULE OF VALUE WORKSHEET'!B10</f>
        <v>Offsites (Transformer)</v>
      </c>
      <c r="C13" s="143"/>
      <c r="D13" s="104">
        <f>SUM('SCHEDULE OF VALUE WORKSHEET'!E10)</f>
        <v>20000</v>
      </c>
      <c r="E13" s="104">
        <f>SUM('Draw #2'!E13:F13)</f>
        <v>0</v>
      </c>
      <c r="F13" s="105">
        <v>0</v>
      </c>
      <c r="G13" s="104">
        <f>SUM('Draw #2'!G13)+F13</f>
        <v>20000</v>
      </c>
      <c r="H13" s="109">
        <f t="shared" si="0"/>
        <v>20000</v>
      </c>
      <c r="I13" s="110">
        <v>0</v>
      </c>
      <c r="J13" s="109">
        <f>SUM(I13+'Draw #2'!J13)</f>
        <v>0</v>
      </c>
      <c r="K13" s="101" t="str">
        <f t="shared" si="1"/>
        <v/>
      </c>
      <c r="L13" s="9"/>
      <c r="M13" s="9"/>
    </row>
    <row r="14" spans="1:13" ht="14.1" customHeight="1">
      <c r="A14" s="4">
        <f>'SCHEDULE OF VALUE WORKSHEET'!A11</f>
        <v>5</v>
      </c>
      <c r="B14" s="142" t="str">
        <f>'SCHEDULE OF VALUE WORKSHEET'!B11</f>
        <v>Plan Check Fees</v>
      </c>
      <c r="C14" s="143"/>
      <c r="D14" s="104">
        <f>SUM('SCHEDULE OF VALUE WORKSHEET'!E11)</f>
        <v>0</v>
      </c>
      <c r="E14" s="104">
        <f>SUM('Draw #2'!E14:F14)</f>
        <v>0</v>
      </c>
      <c r="F14" s="105">
        <v>0</v>
      </c>
      <c r="G14" s="104">
        <f>SUM('Draw #2'!G14)+F14</f>
        <v>0</v>
      </c>
      <c r="H14" s="109">
        <f t="shared" si="0"/>
        <v>0</v>
      </c>
      <c r="I14" s="110">
        <v>0</v>
      </c>
      <c r="J14" s="109">
        <f>SUM(I14+'Draw #2'!J14)</f>
        <v>0</v>
      </c>
      <c r="K14" s="101" t="str">
        <f t="shared" si="1"/>
        <v/>
      </c>
      <c r="L14" s="9"/>
      <c r="M14" s="9"/>
    </row>
    <row r="15" spans="1:13" ht="14.1" customHeight="1">
      <c r="A15" s="4">
        <f>'SCHEDULE OF VALUE WORKSHEET'!A12</f>
        <v>6</v>
      </c>
      <c r="B15" s="142" t="str">
        <f>'SCHEDULE OF VALUE WORKSHEET'!B12</f>
        <v>Permits</v>
      </c>
      <c r="C15" s="143"/>
      <c r="D15" s="104">
        <f>SUM('SCHEDULE OF VALUE WORKSHEET'!E12)</f>
        <v>0</v>
      </c>
      <c r="E15" s="104">
        <f>SUM('Draw #2'!E15:F15)</f>
        <v>0</v>
      </c>
      <c r="F15" s="105">
        <v>0</v>
      </c>
      <c r="G15" s="104">
        <f>SUM('Draw #2'!G15)+F15</f>
        <v>0</v>
      </c>
      <c r="H15" s="109">
        <f t="shared" si="0"/>
        <v>0</v>
      </c>
      <c r="I15" s="110">
        <v>0</v>
      </c>
      <c r="J15" s="109">
        <f>SUM(I15+'Draw #2'!J15)</f>
        <v>0</v>
      </c>
      <c r="K15" s="101" t="str">
        <f t="shared" si="1"/>
        <v/>
      </c>
      <c r="L15" s="9"/>
      <c r="M15" s="9"/>
    </row>
    <row r="16" spans="1:13" ht="14.1" customHeight="1">
      <c r="A16" s="4">
        <f>'SCHEDULE OF VALUE WORKSHEET'!A13</f>
        <v>7</v>
      </c>
      <c r="B16" s="142" t="str">
        <f>'SCHEDULE OF VALUE WORKSHEET'!B13</f>
        <v>Survey</v>
      </c>
      <c r="C16" s="143"/>
      <c r="D16" s="104">
        <f>SUM('SCHEDULE OF VALUE WORKSHEET'!E13)</f>
        <v>0</v>
      </c>
      <c r="E16" s="104">
        <f>SUM('Draw #2'!E16:F16)</f>
        <v>0</v>
      </c>
      <c r="F16" s="105">
        <v>0</v>
      </c>
      <c r="G16" s="104">
        <f>SUM('Draw #2'!G16)+F16</f>
        <v>0</v>
      </c>
      <c r="H16" s="109">
        <f t="shared" si="0"/>
        <v>0</v>
      </c>
      <c r="I16" s="110">
        <v>0</v>
      </c>
      <c r="J16" s="109">
        <f>SUM(I16+'Draw #2'!J16)</f>
        <v>0</v>
      </c>
      <c r="K16" s="101" t="str">
        <f t="shared" si="1"/>
        <v/>
      </c>
      <c r="L16" s="9"/>
      <c r="M16" s="9"/>
    </row>
    <row r="17" spans="1:13" ht="14.1" customHeight="1">
      <c r="A17" s="4">
        <f>'SCHEDULE OF VALUE WORKSHEET'!A14</f>
        <v>8</v>
      </c>
      <c r="B17" s="142" t="str">
        <f>'SCHEDULE OF VALUE WORKSHEET'!B14</f>
        <v>Soils Engineer</v>
      </c>
      <c r="C17" s="143"/>
      <c r="D17" s="104">
        <f>SUM('SCHEDULE OF VALUE WORKSHEET'!E14)</f>
        <v>0</v>
      </c>
      <c r="E17" s="104">
        <f>SUM('Draw #2'!E17:F17)</f>
        <v>0</v>
      </c>
      <c r="F17" s="105">
        <v>0</v>
      </c>
      <c r="G17" s="104">
        <f>SUM('Draw #2'!G17)+F17</f>
        <v>0</v>
      </c>
      <c r="H17" s="109">
        <f t="shared" si="0"/>
        <v>0</v>
      </c>
      <c r="I17" s="110">
        <v>0</v>
      </c>
      <c r="J17" s="109">
        <f>SUM(I17+'Draw #2'!J17)</f>
        <v>0</v>
      </c>
      <c r="K17" s="101" t="str">
        <f t="shared" si="1"/>
        <v/>
      </c>
      <c r="L17" s="9"/>
      <c r="M17" s="9"/>
    </row>
    <row r="18" spans="1:13" ht="14.1" customHeight="1">
      <c r="A18" s="4">
        <f>'SCHEDULE OF VALUE WORKSHEET'!A15</f>
        <v>9</v>
      </c>
      <c r="B18" s="142" t="str">
        <f>'SCHEDULE OF VALUE WORKSHEET'!B15</f>
        <v>Soils Permit + T24</v>
      </c>
      <c r="C18" s="143"/>
      <c r="D18" s="104">
        <f>SUM('SCHEDULE OF VALUE WORKSHEET'!E15)</f>
        <v>2500</v>
      </c>
      <c r="E18" s="104">
        <f>SUM('Draw #2'!E18:F18)</f>
        <v>0</v>
      </c>
      <c r="F18" s="105">
        <v>0</v>
      </c>
      <c r="G18" s="104">
        <f>SUM('Draw #2'!G18)+F18</f>
        <v>2500</v>
      </c>
      <c r="H18" s="109">
        <f t="shared" si="0"/>
        <v>2500</v>
      </c>
      <c r="I18" s="110">
        <v>0</v>
      </c>
      <c r="J18" s="109">
        <f>SUM(I18+'Draw #2'!J18)</f>
        <v>0</v>
      </c>
      <c r="K18" s="101" t="str">
        <f t="shared" si="1"/>
        <v/>
      </c>
      <c r="L18" s="9"/>
      <c r="M18" s="9"/>
    </row>
    <row r="19" spans="1:13" ht="14.1" customHeight="1">
      <c r="A19" s="4">
        <f>'SCHEDULE OF VALUE WORKSHEET'!A16</f>
        <v>10</v>
      </c>
      <c r="B19" s="142" t="str">
        <f>'SCHEDULE OF VALUE WORKSHEET'!B16</f>
        <v>Special Inspections - Deputy</v>
      </c>
      <c r="C19" s="143"/>
      <c r="D19" s="104">
        <f>SUM('SCHEDULE OF VALUE WORKSHEET'!E16)</f>
        <v>15000</v>
      </c>
      <c r="E19" s="104">
        <f>SUM('Draw #2'!E19:F19)</f>
        <v>0</v>
      </c>
      <c r="F19" s="105">
        <v>0</v>
      </c>
      <c r="G19" s="104">
        <f>SUM('Draw #2'!G19)+F19</f>
        <v>15000</v>
      </c>
      <c r="H19" s="109">
        <f t="shared" si="0"/>
        <v>15000</v>
      </c>
      <c r="I19" s="110">
        <v>0</v>
      </c>
      <c r="J19" s="109">
        <f>SUM(I19+'Draw #2'!J19)</f>
        <v>0</v>
      </c>
      <c r="K19" s="101" t="str">
        <f t="shared" si="1"/>
        <v/>
      </c>
      <c r="L19" s="9"/>
      <c r="M19" s="9"/>
    </row>
    <row r="20" spans="1:13" ht="14.1" customHeight="1">
      <c r="A20" s="4">
        <f>'SCHEDULE OF VALUE WORKSHEET'!A17</f>
        <v>11</v>
      </c>
      <c r="B20" s="142" t="str">
        <f>'SCHEDULE OF VALUE WORKSHEET'!B17</f>
        <v>Architect</v>
      </c>
      <c r="C20" s="143"/>
      <c r="D20" s="104">
        <f>SUM('SCHEDULE OF VALUE WORKSHEET'!E17)</f>
        <v>0</v>
      </c>
      <c r="E20" s="104">
        <f>SUM('Draw #2'!E20:F20)</f>
        <v>0</v>
      </c>
      <c r="F20" s="105">
        <v>0</v>
      </c>
      <c r="G20" s="104">
        <f>SUM('Draw #2'!G20)+F20</f>
        <v>0</v>
      </c>
      <c r="H20" s="109">
        <f t="shared" si="0"/>
        <v>0</v>
      </c>
      <c r="I20" s="110">
        <v>0</v>
      </c>
      <c r="J20" s="109">
        <f>SUM(I20+'Draw #2'!J20)</f>
        <v>0</v>
      </c>
      <c r="K20" s="101" t="str">
        <f t="shared" si="1"/>
        <v/>
      </c>
      <c r="L20" s="9"/>
      <c r="M20" s="9"/>
    </row>
    <row r="21" spans="1:13" ht="14.1" customHeight="1">
      <c r="A21" s="4">
        <f>'SCHEDULE OF VALUE WORKSHEET'!A18</f>
        <v>12</v>
      </c>
      <c r="B21" s="142" t="str">
        <f>'SCHEDULE OF VALUE WORKSHEET'!B18</f>
        <v>Structural Engineer</v>
      </c>
      <c r="C21" s="143"/>
      <c r="D21" s="104">
        <f>SUM('SCHEDULE OF VALUE WORKSHEET'!E18)</f>
        <v>0</v>
      </c>
      <c r="E21" s="104">
        <f>SUM('Draw #2'!E21:F21)</f>
        <v>0</v>
      </c>
      <c r="F21" s="105">
        <v>0</v>
      </c>
      <c r="G21" s="104">
        <f>SUM('Draw #2'!G21)+F21</f>
        <v>0</v>
      </c>
      <c r="H21" s="109">
        <f t="shared" si="0"/>
        <v>0</v>
      </c>
      <c r="I21" s="110">
        <v>0</v>
      </c>
      <c r="J21" s="109">
        <f>SUM(I21+'Draw #2'!J21)</f>
        <v>0</v>
      </c>
      <c r="K21" s="101" t="str">
        <f t="shared" si="1"/>
        <v/>
      </c>
      <c r="L21" s="9"/>
      <c r="M21" s="9"/>
    </row>
    <row r="22" spans="1:13" ht="14.1" customHeight="1">
      <c r="A22" s="4">
        <f>'SCHEDULE OF VALUE WORKSHEET'!A19</f>
        <v>13</v>
      </c>
      <c r="B22" s="142" t="str">
        <f>'SCHEDULE OF VALUE WORKSHEET'!B19</f>
        <v>Structural Observation</v>
      </c>
      <c r="C22" s="143"/>
      <c r="D22" s="104">
        <f>SUM('SCHEDULE OF VALUE WORKSHEET'!E19)</f>
        <v>8000</v>
      </c>
      <c r="E22" s="104">
        <f>SUM('Draw #2'!E22:F22)</f>
        <v>0</v>
      </c>
      <c r="F22" s="105">
        <v>0</v>
      </c>
      <c r="G22" s="104">
        <f>SUM('Draw #2'!G22)+F22</f>
        <v>8000</v>
      </c>
      <c r="H22" s="109">
        <f t="shared" si="0"/>
        <v>8000</v>
      </c>
      <c r="I22" s="110">
        <v>0</v>
      </c>
      <c r="J22" s="109">
        <f>SUM(I22+'Draw #2'!J22)</f>
        <v>0</v>
      </c>
      <c r="K22" s="101" t="str">
        <f t="shared" si="1"/>
        <v/>
      </c>
      <c r="L22" s="9"/>
      <c r="M22" s="9"/>
    </row>
    <row r="23" spans="1:13" ht="14.1" customHeight="1">
      <c r="A23" s="4">
        <f>'SCHEDULE OF VALUE WORKSHEET'!A20</f>
        <v>14</v>
      </c>
      <c r="B23" s="142" t="str">
        <f>'SCHEDULE OF VALUE WORKSHEET'!B20</f>
        <v>Civil Engineering</v>
      </c>
      <c r="C23" s="143"/>
      <c r="D23" s="104">
        <f>SUM('SCHEDULE OF VALUE WORKSHEET'!E20)</f>
        <v>0</v>
      </c>
      <c r="E23" s="104">
        <f>SUM('Draw #2'!E23:F23)</f>
        <v>0</v>
      </c>
      <c r="F23" s="105">
        <v>0</v>
      </c>
      <c r="G23" s="104">
        <f>SUM('Draw #2'!G23)+F23</f>
        <v>0</v>
      </c>
      <c r="H23" s="109">
        <f t="shared" si="0"/>
        <v>0</v>
      </c>
      <c r="I23" s="110">
        <v>0</v>
      </c>
      <c r="J23" s="109">
        <f>SUM(I23+'Draw #2'!J23)</f>
        <v>0</v>
      </c>
      <c r="K23" s="101" t="str">
        <f t="shared" si="1"/>
        <v/>
      </c>
      <c r="L23" s="9"/>
      <c r="M23" s="9"/>
    </row>
    <row r="24" spans="1:13" ht="14.1" customHeight="1">
      <c r="A24" s="4">
        <f>'SCHEDULE OF VALUE WORKSHEET'!A21</f>
        <v>15</v>
      </c>
      <c r="B24" s="142" t="str">
        <f>'SCHEDULE OF VALUE WORKSHEET'!B21</f>
        <v>Grading Permit</v>
      </c>
      <c r="C24" s="143"/>
      <c r="D24" s="104">
        <f>SUM('SCHEDULE OF VALUE WORKSHEET'!E21)</f>
        <v>0</v>
      </c>
      <c r="E24" s="104">
        <f>SUM('Draw #2'!E24:F24)</f>
        <v>0</v>
      </c>
      <c r="F24" s="105">
        <v>0</v>
      </c>
      <c r="G24" s="104">
        <f>SUM('Draw #2'!G24)+F24</f>
        <v>0</v>
      </c>
      <c r="H24" s="109">
        <f t="shared" si="0"/>
        <v>0</v>
      </c>
      <c r="I24" s="110">
        <v>0</v>
      </c>
      <c r="J24" s="109">
        <f>SUM(I24+'Draw #2'!J24)</f>
        <v>0</v>
      </c>
      <c r="K24" s="101" t="str">
        <f t="shared" si="1"/>
        <v/>
      </c>
      <c r="L24" s="9"/>
      <c r="M24" s="9"/>
    </row>
    <row r="25" spans="1:13" ht="14.1" customHeight="1">
      <c r="A25" s="4">
        <f>'SCHEDULE OF VALUE WORKSHEET'!A22</f>
        <v>16</v>
      </c>
      <c r="B25" s="142" t="str">
        <f>'SCHEDULE OF VALUE WORKSHEET'!B22</f>
        <v>Landscape Architect/Designer</v>
      </c>
      <c r="C25" s="143"/>
      <c r="D25" s="104">
        <f>SUM('SCHEDULE OF VALUE WORKSHEET'!E22)</f>
        <v>0</v>
      </c>
      <c r="E25" s="104">
        <f>SUM('Draw #2'!E25:F25)</f>
        <v>0</v>
      </c>
      <c r="F25" s="105">
        <v>0</v>
      </c>
      <c r="G25" s="104">
        <f>SUM('Draw #2'!G25)+F25</f>
        <v>0</v>
      </c>
      <c r="H25" s="109">
        <f t="shared" si="0"/>
        <v>0</v>
      </c>
      <c r="I25" s="110">
        <v>0</v>
      </c>
      <c r="J25" s="109">
        <f>SUM(I25+'Draw #2'!J25)</f>
        <v>0</v>
      </c>
      <c r="K25" s="101" t="str">
        <f t="shared" si="1"/>
        <v/>
      </c>
      <c r="L25" s="9"/>
      <c r="M25" s="9"/>
    </row>
    <row r="26" spans="1:13" ht="14.1" customHeight="1">
      <c r="A26" s="4">
        <f>'SCHEDULE OF VALUE WORKSHEET'!A23</f>
        <v>17</v>
      </c>
      <c r="B26" s="142" t="str">
        <f>'SCHEDULE OF VALUE WORKSHEET'!B23</f>
        <v>Driveway Apron Permit</v>
      </c>
      <c r="C26" s="143"/>
      <c r="D26" s="104">
        <f>SUM('SCHEDULE OF VALUE WORKSHEET'!E23)</f>
        <v>2500</v>
      </c>
      <c r="E26" s="104">
        <f>SUM('Draw #2'!E26:F26)</f>
        <v>0</v>
      </c>
      <c r="F26" s="105">
        <v>0</v>
      </c>
      <c r="G26" s="104">
        <f>SUM('Draw #2'!G26)+F26</f>
        <v>2500</v>
      </c>
      <c r="H26" s="109">
        <f t="shared" si="0"/>
        <v>2500</v>
      </c>
      <c r="I26" s="110">
        <v>0</v>
      </c>
      <c r="J26" s="109">
        <f>SUM(I26+'Draw #2'!J26)</f>
        <v>0</v>
      </c>
      <c r="K26" s="101" t="str">
        <f t="shared" si="1"/>
        <v/>
      </c>
      <c r="L26" s="9"/>
      <c r="M26" s="9"/>
    </row>
    <row r="27" spans="1:13" ht="14.1" customHeight="1">
      <c r="A27" s="4">
        <f>'SCHEDULE OF VALUE WORKSHEET'!A24</f>
        <v>18</v>
      </c>
      <c r="B27" s="142" t="str">
        <f>'SCHEDULE OF VALUE WORKSHEET'!B24</f>
        <v>Punch List - Misc.</v>
      </c>
      <c r="C27" s="143"/>
      <c r="D27" s="104">
        <f>SUM('SCHEDULE OF VALUE WORKSHEET'!E24)</f>
        <v>21962.77</v>
      </c>
      <c r="E27" s="104">
        <f>SUM('Draw #2'!E27:F27)</f>
        <v>0</v>
      </c>
      <c r="F27" s="105">
        <v>0</v>
      </c>
      <c r="G27" s="104">
        <f>SUM('Draw #2'!G27)+F27</f>
        <v>21962.77</v>
      </c>
      <c r="H27" s="109">
        <f t="shared" si="0"/>
        <v>21962.77</v>
      </c>
      <c r="I27" s="110">
        <v>0</v>
      </c>
      <c r="J27" s="109">
        <f>SUM(I27+'Draw #2'!J27)</f>
        <v>0</v>
      </c>
      <c r="K27" s="101" t="str">
        <f t="shared" si="1"/>
        <v/>
      </c>
      <c r="L27" s="9"/>
      <c r="M27" s="9"/>
    </row>
    <row r="28" spans="1:13" ht="14.1" customHeight="1">
      <c r="A28" s="4">
        <f>'SCHEDULE OF VALUE WORKSHEET'!A25</f>
        <v>19</v>
      </c>
      <c r="B28" s="142" t="str">
        <f>'SCHEDULE OF VALUE WORKSHEET'!B25</f>
        <v>EBM, Low Voltage, Landscape, Waterproofing CA</v>
      </c>
      <c r="C28" s="143"/>
      <c r="D28" s="104">
        <f>SUM('SCHEDULE OF VALUE WORKSHEET'!E25)</f>
        <v>0</v>
      </c>
      <c r="E28" s="104">
        <f>SUM('Draw #2'!E28:F28)</f>
        <v>0</v>
      </c>
      <c r="F28" s="105">
        <v>0</v>
      </c>
      <c r="G28" s="104">
        <f>SUM('Draw #2'!G28)+F28</f>
        <v>0</v>
      </c>
      <c r="H28" s="109">
        <f t="shared" si="0"/>
        <v>0</v>
      </c>
      <c r="I28" s="110">
        <v>0</v>
      </c>
      <c r="J28" s="109">
        <f>SUM(I28+'Draw #2'!J28)</f>
        <v>0</v>
      </c>
      <c r="K28" s="101" t="str">
        <f t="shared" si="1"/>
        <v/>
      </c>
      <c r="L28" s="9"/>
      <c r="M28" s="9"/>
    </row>
    <row r="29" spans="1:13" ht="14.1" customHeight="1">
      <c r="A29" s="4">
        <f>'SCHEDULE OF VALUE WORKSHEET'!A26</f>
        <v>20</v>
      </c>
      <c r="B29" s="142" t="str">
        <f>'SCHEDULE OF VALUE WORKSHEET'!B26</f>
        <v>Project Accounting/Tax Filing</v>
      </c>
      <c r="C29" s="143"/>
      <c r="D29" s="104">
        <f>SUM('SCHEDULE OF VALUE WORKSHEET'!E26)</f>
        <v>12994.01</v>
      </c>
      <c r="E29" s="104">
        <f>SUM('Draw #2'!E29:F29)</f>
        <v>0</v>
      </c>
      <c r="F29" s="105">
        <v>0</v>
      </c>
      <c r="G29" s="104">
        <f>SUM('Draw #2'!G29)+F29</f>
        <v>12994.01</v>
      </c>
      <c r="H29" s="109">
        <f t="shared" si="0"/>
        <v>12994.01</v>
      </c>
      <c r="I29" s="110">
        <v>0</v>
      </c>
      <c r="J29" s="109">
        <f>SUM(I29+'Draw #2'!J29)</f>
        <v>0</v>
      </c>
      <c r="K29" s="101" t="str">
        <f t="shared" si="1"/>
        <v/>
      </c>
      <c r="L29" s="9"/>
      <c r="M29" s="9"/>
    </row>
    <row r="30" spans="1:13" ht="14.1" customHeight="1">
      <c r="A30" s="4">
        <f>'SCHEDULE OF VALUE WORKSHEET'!A27</f>
        <v>21</v>
      </c>
      <c r="B30" s="142" t="str">
        <f>'SCHEDULE OF VALUE WORKSHEET'!B27</f>
        <v>Legal &amp; Professional Fees</v>
      </c>
      <c r="C30" s="143"/>
      <c r="D30" s="104">
        <f>SUM('SCHEDULE OF VALUE WORKSHEET'!E27)</f>
        <v>873.38999999999942</v>
      </c>
      <c r="E30" s="104">
        <f>SUM('Draw #2'!E30:F30)</f>
        <v>0</v>
      </c>
      <c r="F30" s="105">
        <v>0</v>
      </c>
      <c r="G30" s="104">
        <f>SUM('Draw #2'!G30)+F30</f>
        <v>873.38999999999942</v>
      </c>
      <c r="H30" s="109">
        <f t="shared" si="0"/>
        <v>873.38999999999942</v>
      </c>
      <c r="I30" s="110">
        <v>0</v>
      </c>
      <c r="J30" s="109">
        <f>SUM(I30+'Draw #2'!J30)</f>
        <v>0</v>
      </c>
      <c r="K30" s="101" t="str">
        <f t="shared" si="1"/>
        <v/>
      </c>
      <c r="L30" s="9"/>
      <c r="M30" s="9"/>
    </row>
    <row r="31" spans="1:13" ht="14.1" customHeight="1">
      <c r="A31" s="4">
        <f>'SCHEDULE OF VALUE WORKSHEET'!A28</f>
        <v>22</v>
      </c>
      <c r="B31" s="142" t="str">
        <f>'SCHEDULE OF VALUE WORKSHEET'!B28</f>
        <v>Sewer CCTV and inspection</v>
      </c>
      <c r="C31" s="143"/>
      <c r="D31" s="104">
        <f>SUM('SCHEDULE OF VALUE WORKSHEET'!E28)</f>
        <v>0</v>
      </c>
      <c r="E31" s="104">
        <f>SUM('Draw #2'!E31:F31)</f>
        <v>0</v>
      </c>
      <c r="F31" s="105">
        <v>0</v>
      </c>
      <c r="G31" s="104">
        <f>SUM('Draw #2'!G31)+F31</f>
        <v>0</v>
      </c>
      <c r="H31" s="109">
        <f t="shared" si="0"/>
        <v>0</v>
      </c>
      <c r="I31" s="110">
        <v>0</v>
      </c>
      <c r="J31" s="109">
        <f>SUM(I31+'Draw #2'!J31)</f>
        <v>0</v>
      </c>
      <c r="K31" s="101" t="str">
        <f t="shared" si="1"/>
        <v/>
      </c>
      <c r="L31" s="9"/>
      <c r="M31" s="9"/>
    </row>
    <row r="32" spans="1:13" ht="14.1" customHeight="1">
      <c r="A32" s="4">
        <f>'SCHEDULE OF VALUE WORKSHEET'!A29</f>
        <v>23</v>
      </c>
      <c r="B32" s="142" t="str">
        <f>'SCHEDULE OF VALUE WORKSHEET'!B29</f>
        <v>Environmental Phase I</v>
      </c>
      <c r="C32" s="143"/>
      <c r="D32" s="104">
        <f>SUM('SCHEDULE OF VALUE WORKSHEET'!E29)</f>
        <v>0</v>
      </c>
      <c r="E32" s="104">
        <f>SUM('Draw #2'!E32:F32)</f>
        <v>0</v>
      </c>
      <c r="F32" s="105">
        <v>0</v>
      </c>
      <c r="G32" s="104">
        <f>SUM('Draw #2'!G32)+F32</f>
        <v>0</v>
      </c>
      <c r="H32" s="109">
        <f t="shared" si="0"/>
        <v>0</v>
      </c>
      <c r="I32" s="110">
        <v>0</v>
      </c>
      <c r="J32" s="109">
        <f>SUM(I32+'Draw #2'!J32)</f>
        <v>0</v>
      </c>
      <c r="K32" s="101" t="str">
        <f t="shared" si="1"/>
        <v/>
      </c>
      <c r="L32" s="9"/>
      <c r="M32" s="9"/>
    </row>
    <row r="33" spans="1:13" ht="14.1" customHeight="1">
      <c r="A33" s="4">
        <f>'SCHEDULE OF VALUE WORKSHEET'!A30</f>
        <v>24</v>
      </c>
      <c r="B33" s="142" t="str">
        <f>'SCHEDULE OF VALUE WORKSHEET'!B30</f>
        <v>Dry Utility Consultant</v>
      </c>
      <c r="C33" s="143"/>
      <c r="D33" s="104">
        <f>SUM('SCHEDULE OF VALUE WORKSHEET'!E30)</f>
        <v>0</v>
      </c>
      <c r="E33" s="104">
        <f>SUM('Draw #2'!E33:F33)</f>
        <v>0</v>
      </c>
      <c r="F33" s="105">
        <v>0</v>
      </c>
      <c r="G33" s="104">
        <f>SUM('Draw #2'!G33)+F33</f>
        <v>0</v>
      </c>
      <c r="H33" s="109">
        <f t="shared" si="0"/>
        <v>0</v>
      </c>
      <c r="I33" s="110">
        <v>0</v>
      </c>
      <c r="J33" s="109">
        <f>SUM(I33+'Draw #2'!J33)</f>
        <v>0</v>
      </c>
      <c r="K33" s="101" t="str">
        <f t="shared" si="1"/>
        <v/>
      </c>
      <c r="L33" s="9"/>
      <c r="M33" s="9"/>
    </row>
    <row r="34" spans="1:13" ht="14.1" customHeight="1">
      <c r="A34" s="4">
        <f>'SCHEDULE OF VALUE WORKSHEET'!A31</f>
        <v>25</v>
      </c>
      <c r="B34" s="142" t="str">
        <f>'SCHEDULE OF VALUE WORKSHEET'!B31</f>
        <v>Dry Utility Survey</v>
      </c>
      <c r="C34" s="143"/>
      <c r="D34" s="104">
        <f>SUM('SCHEDULE OF VALUE WORKSHEET'!E31)</f>
        <v>5000</v>
      </c>
      <c r="E34" s="104">
        <f>SUM('Draw #2'!E34:F34)</f>
        <v>0</v>
      </c>
      <c r="F34" s="105">
        <v>0</v>
      </c>
      <c r="G34" s="104">
        <f>SUM('Draw #2'!G34)+F34</f>
        <v>5000</v>
      </c>
      <c r="H34" s="109">
        <f t="shared" si="0"/>
        <v>5000</v>
      </c>
      <c r="I34" s="110">
        <v>0</v>
      </c>
      <c r="J34" s="109">
        <f>SUM(I34+'Draw #2'!J34)</f>
        <v>0</v>
      </c>
      <c r="K34" s="101" t="str">
        <f t="shared" si="1"/>
        <v/>
      </c>
      <c r="L34" s="9"/>
      <c r="M34" s="9"/>
    </row>
    <row r="35" spans="1:13" ht="14.1" customHeight="1">
      <c r="A35" s="4">
        <f>'SCHEDULE OF VALUE WORKSHEET'!A32</f>
        <v>26</v>
      </c>
      <c r="B35" s="142" t="str">
        <f>'SCHEDULE OF VALUE WORKSHEET'!B32</f>
        <v>MEP</v>
      </c>
      <c r="C35" s="143"/>
      <c r="D35" s="104">
        <f>SUM('SCHEDULE OF VALUE WORKSHEET'!E32)</f>
        <v>0</v>
      </c>
      <c r="E35" s="104">
        <f>SUM('Draw #2'!E35:F35)</f>
        <v>0</v>
      </c>
      <c r="F35" s="105">
        <v>0</v>
      </c>
      <c r="G35" s="104">
        <f>SUM('Draw #2'!G35)+F35</f>
        <v>0</v>
      </c>
      <c r="H35" s="109">
        <f t="shared" si="0"/>
        <v>0</v>
      </c>
      <c r="I35" s="110">
        <v>0</v>
      </c>
      <c r="J35" s="109">
        <f>SUM(I35+'Draw #2'!J35)</f>
        <v>0</v>
      </c>
      <c r="K35" s="101" t="str">
        <f t="shared" si="1"/>
        <v/>
      </c>
      <c r="L35" s="9"/>
      <c r="M35" s="9"/>
    </row>
    <row r="36" spans="1:13" ht="14.1" customHeight="1">
      <c r="A36" s="4">
        <f>'SCHEDULE OF VALUE WORKSHEET'!A33</f>
        <v>27</v>
      </c>
      <c r="B36" s="142" t="str">
        <f>'SCHEDULE OF VALUE WORKSHEET'!B33</f>
        <v>Civil Construction Administration</v>
      </c>
      <c r="C36" s="143"/>
      <c r="D36" s="104">
        <f>SUM('SCHEDULE OF VALUE WORKSHEET'!E33)</f>
        <v>5000</v>
      </c>
      <c r="E36" s="104">
        <f>SUM('Draw #2'!E36:F36)</f>
        <v>0</v>
      </c>
      <c r="F36" s="105">
        <v>0</v>
      </c>
      <c r="G36" s="104">
        <f>SUM('Draw #2'!G36)+F36</f>
        <v>5000</v>
      </c>
      <c r="H36" s="109">
        <f t="shared" si="0"/>
        <v>5000</v>
      </c>
      <c r="I36" s="110">
        <v>0</v>
      </c>
      <c r="J36" s="109">
        <f>SUM(I36+'Draw #2'!J36)</f>
        <v>0</v>
      </c>
      <c r="K36" s="101" t="str">
        <f t="shared" si="1"/>
        <v/>
      </c>
      <c r="L36" s="9"/>
      <c r="M36" s="9"/>
    </row>
    <row r="37" spans="1:13" ht="14.1" customHeight="1">
      <c r="A37" s="4">
        <f>'SCHEDULE OF VALUE WORKSHEET'!A34</f>
        <v>28</v>
      </c>
      <c r="B37" s="142" t="str">
        <f>'SCHEDULE OF VALUE WORKSHEET'!B34</f>
        <v>Permit Clearances &amp; Agency Reviews</v>
      </c>
      <c r="C37" s="143"/>
      <c r="D37" s="104">
        <f>SUM('SCHEDULE OF VALUE WORKSHEET'!E34)</f>
        <v>0</v>
      </c>
      <c r="E37" s="104">
        <f>SUM('Draw #2'!E37:F37)</f>
        <v>0</v>
      </c>
      <c r="F37" s="105">
        <v>0</v>
      </c>
      <c r="G37" s="104">
        <f>SUM('Draw #2'!G37)+F37</f>
        <v>0</v>
      </c>
      <c r="H37" s="109">
        <f t="shared" si="0"/>
        <v>0</v>
      </c>
      <c r="I37" s="110">
        <v>0</v>
      </c>
      <c r="J37" s="109">
        <f>SUM(I37+'Draw #2'!J37)</f>
        <v>0</v>
      </c>
      <c r="K37" s="101" t="str">
        <f t="shared" si="1"/>
        <v/>
      </c>
      <c r="L37" s="9"/>
      <c r="M37" s="9"/>
    </row>
    <row r="38" spans="1:13" ht="14.1" customHeight="1">
      <c r="A38" s="4">
        <f>'SCHEDULE OF VALUE WORKSHEET'!A35</f>
        <v>29</v>
      </c>
      <c r="B38" s="142" t="str">
        <f>'SCHEDULE OF VALUE WORKSHEET'!B35</f>
        <v>Demo Permit Fees</v>
      </c>
      <c r="C38" s="143"/>
      <c r="D38" s="104">
        <f>SUM('SCHEDULE OF VALUE WORKSHEET'!E35)</f>
        <v>500</v>
      </c>
      <c r="E38" s="104">
        <f>SUM('Draw #2'!E38:F38)</f>
        <v>0</v>
      </c>
      <c r="F38" s="105">
        <v>0</v>
      </c>
      <c r="G38" s="104">
        <f>SUM('Draw #2'!G38)+F38</f>
        <v>500</v>
      </c>
      <c r="H38" s="109">
        <f t="shared" si="0"/>
        <v>500</v>
      </c>
      <c r="I38" s="110">
        <v>0</v>
      </c>
      <c r="J38" s="109">
        <f>SUM(I38+'Draw #2'!J38)</f>
        <v>0</v>
      </c>
      <c r="K38" s="101" t="str">
        <f t="shared" si="1"/>
        <v/>
      </c>
      <c r="L38" s="9"/>
      <c r="M38" s="9"/>
    </row>
    <row r="39" spans="1:13" ht="14.1" customHeight="1">
      <c r="A39" s="4">
        <f>'SCHEDULE OF VALUE WORKSHEET'!A36</f>
        <v>30</v>
      </c>
      <c r="B39" s="142" t="str">
        <f>'SCHEDULE OF VALUE WORKSHEET'!B36</f>
        <v>MEP Fees</v>
      </c>
      <c r="C39" s="143"/>
      <c r="D39" s="104">
        <f>SUM('SCHEDULE OF VALUE WORKSHEET'!E36)</f>
        <v>0</v>
      </c>
      <c r="E39" s="104">
        <f>SUM('Draw #2'!E39:F39)</f>
        <v>0</v>
      </c>
      <c r="F39" s="105">
        <v>0</v>
      </c>
      <c r="G39" s="104">
        <f>SUM('Draw #2'!G39)+F39</f>
        <v>0</v>
      </c>
      <c r="H39" s="109">
        <f t="shared" si="0"/>
        <v>0</v>
      </c>
      <c r="I39" s="110">
        <v>0</v>
      </c>
      <c r="J39" s="109">
        <f>SUM(I39+'Draw #2'!J39)</f>
        <v>0</v>
      </c>
      <c r="K39" s="101" t="str">
        <f t="shared" si="1"/>
        <v/>
      </c>
      <c r="L39" s="9"/>
      <c r="M39" s="9"/>
    </row>
    <row r="40" spans="1:13" ht="14.1" customHeight="1">
      <c r="A40" s="4">
        <f>'SCHEDULE OF VALUE WORKSHEET'!A37</f>
        <v>31</v>
      </c>
      <c r="B40" s="142" t="str">
        <f>'SCHEDULE OF VALUE WORKSHEET'!B37</f>
        <v>Agency Signoffs</v>
      </c>
      <c r="C40" s="143"/>
      <c r="D40" s="104">
        <f>SUM('SCHEDULE OF VALUE WORKSHEET'!E37)</f>
        <v>0</v>
      </c>
      <c r="E40" s="104">
        <f>SUM('Draw #2'!E40:F40)</f>
        <v>0</v>
      </c>
      <c r="F40" s="105">
        <v>0</v>
      </c>
      <c r="G40" s="104">
        <f>SUM('Draw #2'!G40)+F40</f>
        <v>0</v>
      </c>
      <c r="H40" s="109">
        <f t="shared" si="0"/>
        <v>0</v>
      </c>
      <c r="I40" s="110">
        <v>0</v>
      </c>
      <c r="J40" s="109">
        <f>SUM(I40+'Draw #2'!J40)</f>
        <v>0</v>
      </c>
      <c r="K40" s="101" t="str">
        <f t="shared" si="1"/>
        <v/>
      </c>
      <c r="L40" s="9"/>
      <c r="M40" s="9"/>
    </row>
    <row r="41" spans="1:13" ht="14.1" customHeight="1">
      <c r="A41" s="4">
        <f>'SCHEDULE OF VALUE WORKSHEET'!A38</f>
        <v>32</v>
      </c>
      <c r="B41" s="142" t="str">
        <f>'SCHEDULE OF VALUE WORKSHEET'!B38</f>
        <v>Specifications Writer Consultant</v>
      </c>
      <c r="C41" s="143"/>
      <c r="D41" s="104">
        <f>SUM('SCHEDULE OF VALUE WORKSHEET'!E38)</f>
        <v>2000</v>
      </c>
      <c r="E41" s="104">
        <f>SUM('Draw #2'!E41:F41)</f>
        <v>0</v>
      </c>
      <c r="F41" s="105">
        <v>0</v>
      </c>
      <c r="G41" s="104">
        <f>SUM('Draw #2'!G41)+F41</f>
        <v>2000</v>
      </c>
      <c r="H41" s="109">
        <f t="shared" si="0"/>
        <v>2000</v>
      </c>
      <c r="I41" s="110">
        <v>0</v>
      </c>
      <c r="J41" s="109">
        <f>SUM(I41+'Draw #2'!J41)</f>
        <v>0</v>
      </c>
      <c r="K41" s="101" t="str">
        <f t="shared" si="1"/>
        <v/>
      </c>
      <c r="L41" s="9"/>
      <c r="M41" s="9"/>
    </row>
    <row r="42" spans="1:13" ht="14.1" customHeight="1">
      <c r="A42" s="4">
        <f>'SCHEDULE OF VALUE WORKSHEET'!A39</f>
        <v>33</v>
      </c>
      <c r="B42" s="142" t="str">
        <f>'SCHEDULE OF VALUE WORKSHEET'!B39</f>
        <v>Construction Consultant</v>
      </c>
      <c r="C42" s="143"/>
      <c r="D42" s="104">
        <f>SUM('SCHEDULE OF VALUE WORKSHEET'!E39)</f>
        <v>0</v>
      </c>
      <c r="E42" s="104">
        <f>SUM('Draw #2'!E42:F42)</f>
        <v>0</v>
      </c>
      <c r="F42" s="105">
        <v>0</v>
      </c>
      <c r="G42" s="104">
        <f>SUM('Draw #2'!G42)+F42</f>
        <v>0</v>
      </c>
      <c r="H42" s="109">
        <f t="shared" si="0"/>
        <v>0</v>
      </c>
      <c r="I42" s="110">
        <v>0</v>
      </c>
      <c r="J42" s="109">
        <f>SUM(I42+'Draw #2'!J42)</f>
        <v>0</v>
      </c>
      <c r="K42" s="101" t="str">
        <f t="shared" si="1"/>
        <v/>
      </c>
      <c r="L42" s="9"/>
      <c r="M42" s="9"/>
    </row>
    <row r="43" spans="1:13" ht="14.1" customHeight="1">
      <c r="A43" s="4">
        <f>'SCHEDULE OF VALUE WORKSHEET'!A40</f>
        <v>34</v>
      </c>
      <c r="B43" s="142" t="str">
        <f>'SCHEDULE OF VALUE WORKSHEET'!B40</f>
        <v>Low Voltage Consultant</v>
      </c>
      <c r="C43" s="143"/>
      <c r="D43" s="104">
        <f>SUM('SCHEDULE OF VALUE WORKSHEET'!E40)</f>
        <v>15524</v>
      </c>
      <c r="E43" s="104">
        <f>SUM('Draw #2'!E43:F43)</f>
        <v>0</v>
      </c>
      <c r="F43" s="105">
        <v>0</v>
      </c>
      <c r="G43" s="104">
        <f>SUM('Draw #2'!G43)+F43</f>
        <v>15524</v>
      </c>
      <c r="H43" s="109">
        <f t="shared" si="0"/>
        <v>15524</v>
      </c>
      <c r="I43" s="110">
        <v>0</v>
      </c>
      <c r="J43" s="109">
        <f>SUM(I43+'Draw #2'!J43)</f>
        <v>0</v>
      </c>
      <c r="K43" s="101" t="str">
        <f t="shared" si="1"/>
        <v/>
      </c>
      <c r="L43" s="9"/>
      <c r="M43" s="9"/>
    </row>
    <row r="44" spans="1:13" ht="14.1" customHeight="1">
      <c r="A44" s="4">
        <f>'SCHEDULE OF VALUE WORKSHEET'!A41</f>
        <v>35</v>
      </c>
      <c r="B44" s="142" t="str">
        <f>'SCHEDULE OF VALUE WORKSHEET'!B41</f>
        <v>Photovoltaic Consultant</v>
      </c>
      <c r="C44" s="143"/>
      <c r="D44" s="104">
        <f>SUM('SCHEDULE OF VALUE WORKSHEET'!E41)</f>
        <v>5000</v>
      </c>
      <c r="E44" s="104">
        <f>SUM('Draw #2'!E44:F44)</f>
        <v>0</v>
      </c>
      <c r="F44" s="105">
        <v>0</v>
      </c>
      <c r="G44" s="104">
        <f>SUM('Draw #2'!G44)+F44</f>
        <v>5000</v>
      </c>
      <c r="H44" s="109">
        <f t="shared" si="0"/>
        <v>5000</v>
      </c>
      <c r="I44" s="110">
        <v>0</v>
      </c>
      <c r="J44" s="109">
        <f>SUM(I44+'Draw #2'!J44)</f>
        <v>0</v>
      </c>
      <c r="K44" s="101" t="str">
        <f t="shared" si="1"/>
        <v/>
      </c>
      <c r="L44" s="9"/>
      <c r="M44" s="9"/>
    </row>
    <row r="45" spans="1:13" ht="14.1" customHeight="1">
      <c r="A45" s="4">
        <f>'SCHEDULE OF VALUE WORKSHEET'!A42</f>
        <v>36</v>
      </c>
      <c r="B45" s="142" t="str">
        <f>'SCHEDULE OF VALUE WORKSHEET'!B42</f>
        <v>Construction Management / Observation (OO)</v>
      </c>
      <c r="C45" s="143"/>
      <c r="D45" s="104">
        <f>SUM('SCHEDULE OF VALUE WORKSHEET'!E42)</f>
        <v>49427.9</v>
      </c>
      <c r="E45" s="104">
        <f>SUM('Draw #2'!E45:F45)</f>
        <v>0</v>
      </c>
      <c r="F45" s="105">
        <v>0</v>
      </c>
      <c r="G45" s="104">
        <f>SUM('Draw #2'!G45)+F45</f>
        <v>49427.9</v>
      </c>
      <c r="H45" s="109">
        <f t="shared" si="0"/>
        <v>49427.9</v>
      </c>
      <c r="I45" s="110">
        <v>0</v>
      </c>
      <c r="J45" s="109">
        <f>SUM(I45+'Draw #2'!J45)</f>
        <v>0</v>
      </c>
      <c r="K45" s="101" t="str">
        <f t="shared" si="1"/>
        <v/>
      </c>
      <c r="L45" s="9"/>
      <c r="M45" s="9"/>
    </row>
    <row r="46" spans="1:13" ht="14.1" customHeight="1">
      <c r="A46" s="4" t="e">
        <f>'SCHEDULE OF VALUE WORKSHEET'!#REF!</f>
        <v>#REF!</v>
      </c>
      <c r="B46" s="142" t="e">
        <f>'SCHEDULE OF VALUE WORKSHEET'!#REF!</f>
        <v>#REF!</v>
      </c>
      <c r="C46" s="143"/>
      <c r="D46" s="104" t="e">
        <f>SUM('SCHEDULE OF VALUE WORKSHEET'!#REF!)</f>
        <v>#REF!</v>
      </c>
      <c r="E46" s="104">
        <f>SUM('Draw #2'!E46:F46)</f>
        <v>0</v>
      </c>
      <c r="F46" s="105">
        <v>0</v>
      </c>
      <c r="G46" s="104" t="e">
        <f>SUM('Draw #2'!G46)+F46</f>
        <v>#REF!</v>
      </c>
      <c r="H46" s="109" t="e">
        <f t="shared" si="0"/>
        <v>#REF!</v>
      </c>
      <c r="I46" s="110">
        <v>0</v>
      </c>
      <c r="J46" s="109">
        <f>SUM(I46+'Draw #2'!J46)</f>
        <v>0</v>
      </c>
      <c r="K46" s="101" t="str">
        <f t="shared" si="1"/>
        <v/>
      </c>
      <c r="L46" s="9"/>
      <c r="M46" s="9"/>
    </row>
    <row r="47" spans="1:13" ht="14.1" customHeight="1">
      <c r="A47" s="4">
        <f>'SCHEDULE OF VALUE WORKSHEET'!A43</f>
        <v>37</v>
      </c>
      <c r="B47" s="142" t="str">
        <f>'SCHEDULE OF VALUE WORKSHEET'!B43</f>
        <v>CMFA Startup Fee</v>
      </c>
      <c r="C47" s="143"/>
      <c r="D47" s="104">
        <f>SUM('SCHEDULE OF VALUE WORKSHEET'!E43)</f>
        <v>22800</v>
      </c>
      <c r="E47" s="104">
        <f>SUM('Draw #2'!E47:F47)</f>
        <v>0</v>
      </c>
      <c r="F47" s="105">
        <v>0</v>
      </c>
      <c r="G47" s="104">
        <f>SUM('Draw #2'!G47)+F47</f>
        <v>22800</v>
      </c>
      <c r="H47" s="109">
        <f t="shared" si="0"/>
        <v>22800</v>
      </c>
      <c r="I47" s="110">
        <v>0</v>
      </c>
      <c r="J47" s="109">
        <f>SUM(I47+'Draw #2'!J47)</f>
        <v>0</v>
      </c>
      <c r="K47" s="101" t="str">
        <f t="shared" si="1"/>
        <v/>
      </c>
      <c r="L47" s="9"/>
      <c r="M47" s="9"/>
    </row>
    <row r="48" spans="1:13" ht="14.1" customHeight="1">
      <c r="A48" s="4">
        <f>'SCHEDULE OF VALUE WORKSHEET'!A44</f>
        <v>38</v>
      </c>
      <c r="B48" s="142" t="str">
        <f>'SCHEDULE OF VALUE WORKSHEET'!B44</f>
        <v>Non-Profit Start Up Fee</v>
      </c>
      <c r="C48" s="143"/>
      <c r="D48" s="104">
        <f>SUM('SCHEDULE OF VALUE WORKSHEET'!E44)</f>
        <v>25000</v>
      </c>
      <c r="E48" s="104">
        <f>SUM('Draw #2'!E48:F48)</f>
        <v>0</v>
      </c>
      <c r="F48" s="105">
        <v>0</v>
      </c>
      <c r="G48" s="104">
        <f>SUM('Draw #2'!G48)+F48</f>
        <v>25000</v>
      </c>
      <c r="H48" s="109">
        <f t="shared" si="0"/>
        <v>25000</v>
      </c>
      <c r="I48" s="110">
        <v>0</v>
      </c>
      <c r="J48" s="109">
        <f>SUM(I48+'Draw #2'!J48)</f>
        <v>0</v>
      </c>
      <c r="K48" s="101" t="str">
        <f t="shared" si="1"/>
        <v/>
      </c>
      <c r="L48" s="9"/>
      <c r="M48" s="9"/>
    </row>
    <row r="49" spans="1:13" ht="14.1" customHeight="1">
      <c r="A49" s="4">
        <f>'SCHEDULE OF VALUE WORKSHEET'!A45</f>
        <v>39</v>
      </c>
      <c r="B49" s="142" t="str">
        <f>'SCHEDULE OF VALUE WORKSHEET'!B45</f>
        <v>CMFA Construction Fee</v>
      </c>
      <c r="C49" s="143"/>
      <c r="D49" s="104">
        <f>SUM('SCHEDULE OF VALUE WORKSHEET'!E45)</f>
        <v>12000</v>
      </c>
      <c r="E49" s="104">
        <f>SUM('Draw #2'!E49:F49)</f>
        <v>0</v>
      </c>
      <c r="F49" s="105">
        <v>0</v>
      </c>
      <c r="G49" s="104">
        <f>SUM('Draw #2'!G49)+F49</f>
        <v>12000</v>
      </c>
      <c r="H49" s="109">
        <f t="shared" si="0"/>
        <v>12000</v>
      </c>
      <c r="I49" s="110">
        <v>0</v>
      </c>
      <c r="J49" s="109">
        <f>SUM(I49+'Draw #2'!J49)</f>
        <v>0</v>
      </c>
      <c r="K49" s="101" t="str">
        <f t="shared" si="1"/>
        <v/>
      </c>
      <c r="L49" s="9"/>
      <c r="M49" s="9"/>
    </row>
    <row r="50" spans="1:13" ht="14.1" customHeight="1">
      <c r="A50" s="4">
        <f>'SCHEDULE OF VALUE WORKSHEET'!A46</f>
        <v>40</v>
      </c>
      <c r="B50" s="142" t="str">
        <f>'SCHEDULE OF VALUE WORKSHEET'!B46</f>
        <v>Non-Profit Construction Fee</v>
      </c>
      <c r="C50" s="143"/>
      <c r="D50" s="104">
        <f>SUM('SCHEDULE OF VALUE WORKSHEET'!E46)</f>
        <v>10000</v>
      </c>
      <c r="E50" s="104">
        <f>SUM('Draw #2'!E50:F50)</f>
        <v>0</v>
      </c>
      <c r="F50" s="105">
        <v>0</v>
      </c>
      <c r="G50" s="104">
        <f>SUM('Draw #2'!G50)+F50</f>
        <v>10000</v>
      </c>
      <c r="H50" s="109">
        <f t="shared" si="0"/>
        <v>10000</v>
      </c>
      <c r="I50" s="110">
        <v>0</v>
      </c>
      <c r="J50" s="109">
        <f>SUM(I50+'Draw #2'!J50)</f>
        <v>0</v>
      </c>
      <c r="K50" s="101" t="str">
        <f t="shared" si="1"/>
        <v/>
      </c>
      <c r="L50" s="9"/>
      <c r="M50" s="9"/>
    </row>
    <row r="51" spans="1:13" ht="14.1" customHeight="1">
      <c r="A51" s="4">
        <f>'SCHEDULE OF VALUE WORKSHEET'!A47</f>
        <v>41</v>
      </c>
      <c r="B51" s="142" t="str">
        <f>'SCHEDULE OF VALUE WORKSHEET'!B47</f>
        <v>WTE Legal Costs for CMFA &amp; Non-Profit Partner</v>
      </c>
      <c r="C51" s="143"/>
      <c r="D51" s="104">
        <f>SUM('SCHEDULE OF VALUE WORKSHEET'!E47)</f>
        <v>20000</v>
      </c>
      <c r="E51" s="104">
        <f>SUM('Draw #2'!E51:F51)</f>
        <v>0</v>
      </c>
      <c r="F51" s="105">
        <v>0</v>
      </c>
      <c r="G51" s="104">
        <f>SUM('Draw #2'!G51)+F51</f>
        <v>20000</v>
      </c>
      <c r="H51" s="109">
        <f t="shared" si="0"/>
        <v>20000</v>
      </c>
      <c r="I51" s="110">
        <v>0</v>
      </c>
      <c r="J51" s="109">
        <f>SUM(I51+'Draw #2'!J51)</f>
        <v>0</v>
      </c>
      <c r="K51" s="101" t="str">
        <f t="shared" si="1"/>
        <v/>
      </c>
      <c r="L51" s="9"/>
      <c r="M51" s="9"/>
    </row>
    <row r="52" spans="1:13" ht="14.1" customHeight="1">
      <c r="A52" s="4" t="e">
        <f>'SCHEDULE OF VALUE WORKSHEET'!#REF!</f>
        <v>#REF!</v>
      </c>
      <c r="B52" s="142" t="e">
        <f>'SCHEDULE OF VALUE WORKSHEET'!#REF!</f>
        <v>#REF!</v>
      </c>
      <c r="C52" s="143"/>
      <c r="D52" s="104" t="e">
        <f>SUM('SCHEDULE OF VALUE WORKSHEET'!#REF!)</f>
        <v>#REF!</v>
      </c>
      <c r="E52" s="104">
        <f>SUM('Draw #2'!E52:F52)</f>
        <v>0</v>
      </c>
      <c r="F52" s="105">
        <v>0</v>
      </c>
      <c r="G52" s="104" t="e">
        <f>SUM('Draw #2'!G52)+F52</f>
        <v>#REF!</v>
      </c>
      <c r="H52" s="109" t="e">
        <f t="shared" si="0"/>
        <v>#REF!</v>
      </c>
      <c r="I52" s="110">
        <v>0</v>
      </c>
      <c r="J52" s="109">
        <f>SUM(I52+'Draw #2'!J52)</f>
        <v>0</v>
      </c>
      <c r="K52" s="101" t="str">
        <f t="shared" si="1"/>
        <v/>
      </c>
      <c r="L52" s="9"/>
      <c r="M52" s="9"/>
    </row>
    <row r="53" spans="1:13" ht="14.1" customHeight="1">
      <c r="A53" s="4">
        <f>'SCHEDULE OF VALUE WORKSHEET'!A49</f>
        <v>43</v>
      </c>
      <c r="B53" s="142" t="str">
        <f>'SCHEDULE OF VALUE WORKSHEET'!B49</f>
        <v>GENERAL CONDITIONS</v>
      </c>
      <c r="C53" s="143"/>
      <c r="D53" s="104">
        <f>SUM('SCHEDULE OF VALUE WORKSHEET'!E49)</f>
        <v>362115.24</v>
      </c>
      <c r="E53" s="104">
        <f>SUM('Draw #2'!E53:F53)</f>
        <v>0</v>
      </c>
      <c r="F53" s="105">
        <v>0</v>
      </c>
      <c r="G53" s="104">
        <f>SUM('Draw #2'!G53)+F53</f>
        <v>362115.24</v>
      </c>
      <c r="H53" s="109">
        <f t="shared" si="0"/>
        <v>362115.24</v>
      </c>
      <c r="I53" s="110">
        <v>0</v>
      </c>
      <c r="J53" s="109">
        <f>SUM(I53+'Draw #2'!J53)</f>
        <v>0</v>
      </c>
      <c r="K53" s="101" t="str">
        <f t="shared" si="1"/>
        <v/>
      </c>
      <c r="L53" s="9"/>
      <c r="M53" s="9"/>
    </row>
    <row r="54" spans="1:13" ht="14.1" customHeight="1">
      <c r="A54" s="4">
        <f>'SCHEDULE OF VALUE WORKSHEET'!A50</f>
        <v>44</v>
      </c>
      <c r="B54" s="142" t="str">
        <f>'SCHEDULE OF VALUE WORKSHEET'!B50</f>
        <v>GENERAL REQUIREMENT</v>
      </c>
      <c r="C54" s="143"/>
      <c r="D54" s="104">
        <f>SUM('SCHEDULE OF VALUE WORKSHEET'!E50)</f>
        <v>124657.88</v>
      </c>
      <c r="E54" s="104">
        <f>SUM('Draw #2'!E54:F54)</f>
        <v>0</v>
      </c>
      <c r="F54" s="105">
        <v>0</v>
      </c>
      <c r="G54" s="104">
        <f>SUM('Draw #2'!G54)+F54</f>
        <v>124657.88</v>
      </c>
      <c r="H54" s="109">
        <f t="shared" si="0"/>
        <v>124657.88</v>
      </c>
      <c r="I54" s="110">
        <v>0</v>
      </c>
      <c r="J54" s="109">
        <f>SUM(I54+'Draw #2'!J54)</f>
        <v>0</v>
      </c>
      <c r="K54" s="101" t="str">
        <f t="shared" si="1"/>
        <v/>
      </c>
      <c r="L54" s="9"/>
      <c r="M54" s="9"/>
    </row>
    <row r="55" spans="1:13" ht="14.1" customHeight="1">
      <c r="A55" s="4">
        <f>'SCHEDULE OF VALUE WORKSHEET'!A51</f>
        <v>45</v>
      </c>
      <c r="B55" s="142" t="str">
        <f>'SCHEDULE OF VALUE WORKSHEET'!B51</f>
        <v>SITE WORK</v>
      </c>
      <c r="C55" s="143"/>
      <c r="D55" s="104">
        <f>SUM('SCHEDULE OF VALUE WORKSHEET'!E51)</f>
        <v>139049.51</v>
      </c>
      <c r="E55" s="104">
        <f>SUM('Draw #2'!E55:F55)</f>
        <v>0</v>
      </c>
      <c r="F55" s="105">
        <v>0</v>
      </c>
      <c r="G55" s="104">
        <f>SUM('Draw #2'!G55)+F55</f>
        <v>139049.51</v>
      </c>
      <c r="H55" s="109">
        <f t="shared" si="0"/>
        <v>139049.51</v>
      </c>
      <c r="I55" s="110">
        <v>0</v>
      </c>
      <c r="J55" s="109">
        <f>SUM(I55+'Draw #2'!J55)</f>
        <v>0</v>
      </c>
      <c r="K55" s="101" t="str">
        <f t="shared" si="1"/>
        <v/>
      </c>
      <c r="L55" s="9"/>
      <c r="M55" s="9"/>
    </row>
    <row r="56" spans="1:13" ht="14.1" customHeight="1">
      <c r="A56" s="4">
        <f>'SCHEDULE OF VALUE WORKSHEET'!A52</f>
        <v>46</v>
      </c>
      <c r="B56" s="142" t="str">
        <f>'SCHEDULE OF VALUE WORKSHEET'!B52</f>
        <v>CONCRETE</v>
      </c>
      <c r="C56" s="143"/>
      <c r="D56" s="104">
        <f>SUM('SCHEDULE OF VALUE WORKSHEET'!E52)</f>
        <v>253182</v>
      </c>
      <c r="E56" s="104">
        <f>SUM('Draw #2'!E56:F56)</f>
        <v>0</v>
      </c>
      <c r="F56" s="105">
        <v>0</v>
      </c>
      <c r="G56" s="104">
        <f>SUM('Draw #2'!G56)+F56</f>
        <v>253182</v>
      </c>
      <c r="H56" s="109">
        <f t="shared" si="0"/>
        <v>253182</v>
      </c>
      <c r="I56" s="110">
        <v>0</v>
      </c>
      <c r="J56" s="109">
        <f>SUM(I56+'Draw #2'!J56)</f>
        <v>0</v>
      </c>
      <c r="K56" s="101" t="str">
        <f t="shared" si="1"/>
        <v/>
      </c>
      <c r="L56" s="9"/>
      <c r="M56" s="9"/>
    </row>
    <row r="57" spans="1:13" ht="14.1" customHeight="1">
      <c r="A57" s="4">
        <f>'SCHEDULE OF VALUE WORKSHEET'!A53</f>
        <v>47</v>
      </c>
      <c r="B57" s="142" t="str">
        <f>'SCHEDULE OF VALUE WORKSHEET'!B53</f>
        <v>MASONRY</v>
      </c>
      <c r="C57" s="143"/>
      <c r="D57" s="104">
        <f>SUM('SCHEDULE OF VALUE WORKSHEET'!E53)</f>
        <v>3562.64</v>
      </c>
      <c r="E57" s="104">
        <f>SUM('Draw #2'!E57:F57)</f>
        <v>0</v>
      </c>
      <c r="F57" s="105">
        <v>0</v>
      </c>
      <c r="G57" s="104">
        <f>SUM('Draw #2'!G57)+F57</f>
        <v>3562.64</v>
      </c>
      <c r="H57" s="109">
        <f t="shared" si="0"/>
        <v>3562.64</v>
      </c>
      <c r="I57" s="110">
        <v>0</v>
      </c>
      <c r="J57" s="109">
        <f>SUM(I57+'Draw #2'!J57)</f>
        <v>0</v>
      </c>
      <c r="K57" s="101" t="str">
        <f t="shared" si="1"/>
        <v/>
      </c>
      <c r="L57" s="9"/>
      <c r="M57" s="9"/>
    </row>
    <row r="58" spans="1:13" ht="14.1" customHeight="1">
      <c r="A58" s="4">
        <f>'SCHEDULE OF VALUE WORKSHEET'!A54</f>
        <v>48</v>
      </c>
      <c r="B58" s="142" t="str">
        <f>'SCHEDULE OF VALUE WORKSHEET'!B54</f>
        <v>METALS</v>
      </c>
      <c r="C58" s="143"/>
      <c r="D58" s="104">
        <f>SUM('SCHEDULE OF VALUE WORKSHEET'!E54)</f>
        <v>324100</v>
      </c>
      <c r="E58" s="104">
        <f>SUM('Draw #2'!E58:F58)</f>
        <v>0</v>
      </c>
      <c r="F58" s="105">
        <v>0</v>
      </c>
      <c r="G58" s="104">
        <f>SUM('Draw #2'!G58)+F58</f>
        <v>324100</v>
      </c>
      <c r="H58" s="109">
        <f t="shared" si="0"/>
        <v>324100</v>
      </c>
      <c r="I58" s="110">
        <v>0</v>
      </c>
      <c r="J58" s="109">
        <f>SUM(I58+'Draw #2'!J58)</f>
        <v>0</v>
      </c>
      <c r="K58" s="101" t="str">
        <f t="shared" si="1"/>
        <v/>
      </c>
      <c r="L58" s="9"/>
      <c r="M58" s="9"/>
    </row>
    <row r="59" spans="1:13" ht="14.1" customHeight="1">
      <c r="A59" s="4">
        <f>'SCHEDULE OF VALUE WORKSHEET'!A55</f>
        <v>49</v>
      </c>
      <c r="B59" s="142" t="str">
        <f>'SCHEDULE OF VALUE WORKSHEET'!B55</f>
        <v>FRAMING</v>
      </c>
      <c r="C59" s="143"/>
      <c r="D59" s="104">
        <f>SUM('SCHEDULE OF VALUE WORKSHEET'!E55)</f>
        <v>818554</v>
      </c>
      <c r="E59" s="104">
        <f>SUM('Draw #2'!E59:F59)</f>
        <v>0</v>
      </c>
      <c r="F59" s="105">
        <v>0</v>
      </c>
      <c r="G59" s="104">
        <f>SUM('Draw #2'!G59)+F59</f>
        <v>818554</v>
      </c>
      <c r="H59" s="109">
        <f t="shared" si="0"/>
        <v>818554</v>
      </c>
      <c r="I59" s="110">
        <v>0</v>
      </c>
      <c r="J59" s="109">
        <f>SUM(I59+'Draw #2'!J59)</f>
        <v>0</v>
      </c>
      <c r="K59" s="101" t="str">
        <f t="shared" si="1"/>
        <v/>
      </c>
      <c r="L59" s="9"/>
      <c r="M59" s="9"/>
    </row>
    <row r="60" spans="1:13" ht="14.1" customHeight="1">
      <c r="A60" s="4">
        <f>'SCHEDULE OF VALUE WORKSHEET'!A56</f>
        <v>50</v>
      </c>
      <c r="B60" s="142" t="str">
        <f>'SCHEDULE OF VALUE WORKSHEET'!B56</f>
        <v>COUNTERTOPS</v>
      </c>
      <c r="C60" s="143"/>
      <c r="D60" s="104">
        <f>SUM('SCHEDULE OF VALUE WORKSHEET'!E56)</f>
        <v>56930</v>
      </c>
      <c r="E60" s="104">
        <f>SUM('Draw #2'!E60:F60)</f>
        <v>0</v>
      </c>
      <c r="F60" s="105">
        <v>0</v>
      </c>
      <c r="G60" s="104">
        <f>SUM('Draw #2'!G60)+F60</f>
        <v>56930</v>
      </c>
      <c r="H60" s="109">
        <f t="shared" si="0"/>
        <v>56930</v>
      </c>
      <c r="I60" s="110">
        <v>0</v>
      </c>
      <c r="J60" s="109">
        <f>SUM(I60+'Draw #2'!J60)</f>
        <v>0</v>
      </c>
      <c r="K60" s="101" t="str">
        <f t="shared" si="1"/>
        <v/>
      </c>
      <c r="L60" s="9"/>
      <c r="M60" s="9"/>
    </row>
    <row r="61" spans="1:13" ht="14.1" customHeight="1">
      <c r="A61" s="4">
        <f>'SCHEDULE OF VALUE WORKSHEET'!A57</f>
        <v>51</v>
      </c>
      <c r="B61" s="142" t="str">
        <f>'SCHEDULE OF VALUE WORKSHEET'!B57</f>
        <v>CABINETS</v>
      </c>
      <c r="C61" s="143"/>
      <c r="D61" s="104">
        <f>SUM('SCHEDULE OF VALUE WORKSHEET'!E57)</f>
        <v>56930</v>
      </c>
      <c r="E61" s="104">
        <f>SUM('Draw #2'!E61:F61)</f>
        <v>0</v>
      </c>
      <c r="F61" s="105">
        <v>0</v>
      </c>
      <c r="G61" s="104">
        <f>SUM('Draw #2'!G61)+F61</f>
        <v>56930</v>
      </c>
      <c r="H61" s="109">
        <f t="shared" si="0"/>
        <v>56930</v>
      </c>
      <c r="I61" s="110">
        <v>0</v>
      </c>
      <c r="J61" s="109">
        <f>SUM(I61+'Draw #2'!J61)</f>
        <v>0</v>
      </c>
      <c r="K61" s="101" t="str">
        <f t="shared" si="1"/>
        <v/>
      </c>
      <c r="L61" s="9"/>
      <c r="M61" s="9"/>
    </row>
    <row r="62" spans="1:13" ht="14.1" customHeight="1">
      <c r="A62" s="4">
        <f>'SCHEDULE OF VALUE WORKSHEET'!A58</f>
        <v>52</v>
      </c>
      <c r="B62" s="142" t="str">
        <f>'SCHEDULE OF VALUE WORKSHEET'!B58</f>
        <v>THERMAL MOISTURE PROTECTION</v>
      </c>
      <c r="C62" s="143"/>
      <c r="D62" s="104">
        <f>SUM('SCHEDULE OF VALUE WORKSHEET'!E58)</f>
        <v>173148</v>
      </c>
      <c r="E62" s="104">
        <f>SUM('Draw #2'!E62:F62)</f>
        <v>0</v>
      </c>
      <c r="F62" s="105">
        <v>0</v>
      </c>
      <c r="G62" s="104">
        <f>SUM('Draw #2'!G62)+F62</f>
        <v>173148</v>
      </c>
      <c r="H62" s="109">
        <f t="shared" si="0"/>
        <v>173148</v>
      </c>
      <c r="I62" s="110">
        <v>0</v>
      </c>
      <c r="J62" s="109">
        <f>SUM(I62+'Draw #2'!J62)</f>
        <v>0</v>
      </c>
      <c r="K62" s="101" t="str">
        <f t="shared" si="1"/>
        <v/>
      </c>
      <c r="L62" s="9"/>
      <c r="M62" s="9"/>
    </row>
    <row r="63" spans="1:13" ht="14.1" customHeight="1">
      <c r="A63" s="4">
        <f>'SCHEDULE OF VALUE WORKSHEET'!A59</f>
        <v>53</v>
      </c>
      <c r="B63" s="142" t="str">
        <f>'SCHEDULE OF VALUE WORKSHEET'!B59</f>
        <v>DOORS</v>
      </c>
      <c r="C63" s="143"/>
      <c r="D63" s="104">
        <f>SUM('SCHEDULE OF VALUE WORKSHEET'!E59)</f>
        <v>204087.33</v>
      </c>
      <c r="E63" s="104">
        <f>SUM('Draw #2'!E63:F63)</f>
        <v>0</v>
      </c>
      <c r="F63" s="105">
        <v>0</v>
      </c>
      <c r="G63" s="104">
        <f>SUM('Draw #2'!G63)+F63</f>
        <v>204087.33</v>
      </c>
      <c r="H63" s="109">
        <f t="shared" si="0"/>
        <v>204087.33</v>
      </c>
      <c r="I63" s="110">
        <v>0</v>
      </c>
      <c r="J63" s="109">
        <f>SUM(I63+'Draw #2'!J63)</f>
        <v>0</v>
      </c>
      <c r="K63" s="101" t="str">
        <f t="shared" si="1"/>
        <v/>
      </c>
      <c r="L63" s="9"/>
      <c r="M63" s="9"/>
    </row>
    <row r="64" spans="1:13" ht="14.1" customHeight="1">
      <c r="A64" s="4">
        <f>'SCHEDULE OF VALUE WORKSHEET'!A60</f>
        <v>54</v>
      </c>
      <c r="B64" s="142" t="str">
        <f>'SCHEDULE OF VALUE WORKSHEET'!B60</f>
        <v>WINDOWS</v>
      </c>
      <c r="C64" s="143"/>
      <c r="D64" s="104">
        <f>SUM('SCHEDULE OF VALUE WORKSHEET'!E60)</f>
        <v>106274.25</v>
      </c>
      <c r="E64" s="104">
        <f>SUM('Draw #2'!E64:F64)</f>
        <v>0</v>
      </c>
      <c r="F64" s="105">
        <v>0</v>
      </c>
      <c r="G64" s="104">
        <f>SUM('Draw #2'!G64)+F64</f>
        <v>106274.25</v>
      </c>
      <c r="H64" s="109">
        <f t="shared" si="0"/>
        <v>106274.25</v>
      </c>
      <c r="I64" s="110">
        <v>0</v>
      </c>
      <c r="J64" s="109">
        <f>SUM(I64+'Draw #2'!J64)</f>
        <v>0</v>
      </c>
      <c r="K64" s="101" t="str">
        <f t="shared" si="1"/>
        <v/>
      </c>
      <c r="L64" s="9"/>
      <c r="M64" s="9"/>
    </row>
    <row r="65" spans="1:13" ht="14.1" customHeight="1">
      <c r="A65" s="4">
        <f>'SCHEDULE OF VALUE WORKSHEET'!A61</f>
        <v>55</v>
      </c>
      <c r="B65" s="142" t="str">
        <f>'SCHEDULE OF VALUE WORKSHEET'!B61</f>
        <v>STUCCO</v>
      </c>
      <c r="C65" s="143"/>
      <c r="D65" s="104">
        <f>SUM('SCHEDULE OF VALUE WORKSHEET'!E61)</f>
        <v>208002</v>
      </c>
      <c r="E65" s="104">
        <f>SUM('Draw #2'!E65:F65)</f>
        <v>0</v>
      </c>
      <c r="F65" s="105">
        <v>0</v>
      </c>
      <c r="G65" s="104">
        <f>SUM('Draw #2'!G65)+F65</f>
        <v>208002</v>
      </c>
      <c r="H65" s="109">
        <f t="shared" si="0"/>
        <v>208002</v>
      </c>
      <c r="I65" s="110">
        <v>0</v>
      </c>
      <c r="J65" s="109">
        <f>SUM(I65+'Draw #2'!J65)</f>
        <v>0</v>
      </c>
      <c r="K65" s="101" t="str">
        <f t="shared" si="1"/>
        <v/>
      </c>
      <c r="L65" s="9"/>
      <c r="M65" s="9"/>
    </row>
    <row r="66" spans="1:13" ht="14.1" customHeight="1">
      <c r="A66" s="4">
        <f>'SCHEDULE OF VALUE WORKSHEET'!A62</f>
        <v>56</v>
      </c>
      <c r="B66" s="142" t="str">
        <f>'SCHEDULE OF VALUE WORKSHEET'!B62</f>
        <v>DRYWALL</v>
      </c>
      <c r="C66" s="143"/>
      <c r="D66" s="104">
        <f>SUM('SCHEDULE OF VALUE WORKSHEET'!E62)</f>
        <v>416355</v>
      </c>
      <c r="E66" s="104">
        <f>SUM('Draw #2'!E66:F66)</f>
        <v>0</v>
      </c>
      <c r="F66" s="105">
        <v>0</v>
      </c>
      <c r="G66" s="104">
        <f>SUM('Draw #2'!G66)+F66</f>
        <v>416355</v>
      </c>
      <c r="H66" s="109">
        <f t="shared" si="0"/>
        <v>416355</v>
      </c>
      <c r="I66" s="110">
        <v>0</v>
      </c>
      <c r="J66" s="109">
        <f>SUM(I66+'Draw #2'!J66)</f>
        <v>0</v>
      </c>
      <c r="K66" s="101" t="str">
        <f t="shared" si="1"/>
        <v/>
      </c>
      <c r="L66" s="9"/>
      <c r="M66" s="9"/>
    </row>
    <row r="67" spans="1:13" ht="14.1" customHeight="1">
      <c r="A67" s="4">
        <f>'SCHEDULE OF VALUE WORKSHEET'!A63</f>
        <v>57</v>
      </c>
      <c r="B67" s="142" t="str">
        <f>'SCHEDULE OF VALUE WORKSHEET'!B63</f>
        <v>PAINTING</v>
      </c>
      <c r="C67" s="143"/>
      <c r="D67" s="104">
        <f>SUM('SCHEDULE OF VALUE WORKSHEET'!E63)</f>
        <v>120700</v>
      </c>
      <c r="E67" s="104">
        <f>SUM('Draw #2'!E67:F67)</f>
        <v>0</v>
      </c>
      <c r="F67" s="105">
        <v>0</v>
      </c>
      <c r="G67" s="104">
        <f>SUM('Draw #2'!G67)+F67</f>
        <v>120700</v>
      </c>
      <c r="H67" s="109">
        <f t="shared" si="0"/>
        <v>120700</v>
      </c>
      <c r="I67" s="110">
        <v>0</v>
      </c>
      <c r="J67" s="109">
        <f>SUM(I67+'Draw #2'!J67)</f>
        <v>0</v>
      </c>
      <c r="K67" s="101" t="str">
        <f t="shared" si="1"/>
        <v/>
      </c>
      <c r="L67" s="9"/>
      <c r="M67" s="9"/>
    </row>
    <row r="68" spans="1:13" ht="14.1" customHeight="1">
      <c r="A68" s="4">
        <f>'SCHEDULE OF VALUE WORKSHEET'!A64</f>
        <v>58</v>
      </c>
      <c r="B68" s="142" t="str">
        <f>'SCHEDULE OF VALUE WORKSHEET'!B64</f>
        <v>FLOORING - common areas</v>
      </c>
      <c r="C68" s="143"/>
      <c r="D68" s="104">
        <f>SUM('SCHEDULE OF VALUE WORKSHEET'!E64)</f>
        <v>45150</v>
      </c>
      <c r="E68" s="104">
        <f>SUM('Draw #2'!E68:F68)</f>
        <v>0</v>
      </c>
      <c r="F68" s="105">
        <v>0</v>
      </c>
      <c r="G68" s="104">
        <f>SUM('Draw #2'!G68)+F68</f>
        <v>45150</v>
      </c>
      <c r="H68" s="109">
        <f t="shared" si="0"/>
        <v>45150</v>
      </c>
      <c r="I68" s="110">
        <v>0</v>
      </c>
      <c r="J68" s="109">
        <f>SUM(I68+'Draw #2'!J68)</f>
        <v>0</v>
      </c>
      <c r="K68" s="101" t="str">
        <f t="shared" si="1"/>
        <v/>
      </c>
      <c r="L68" s="9"/>
      <c r="M68" s="9"/>
    </row>
    <row r="69" spans="1:13" ht="14.1" customHeight="1">
      <c r="A69" s="4">
        <f>'SCHEDULE OF VALUE WORKSHEET'!A65</f>
        <v>59</v>
      </c>
      <c r="B69" s="142" t="str">
        <f>'SCHEDULE OF VALUE WORKSHEET'!B65</f>
        <v>FLOORING - Units with baseboards</v>
      </c>
      <c r="C69" s="143"/>
      <c r="D69" s="104">
        <f>SUM('SCHEDULE OF VALUE WORKSHEET'!E65)</f>
        <v>93335</v>
      </c>
      <c r="E69" s="104">
        <f>SUM('Draw #2'!E69:F69)</f>
        <v>0</v>
      </c>
      <c r="F69" s="105">
        <v>0</v>
      </c>
      <c r="G69" s="104">
        <f>SUM('Draw #2'!G69)+F69</f>
        <v>93335</v>
      </c>
      <c r="H69" s="109">
        <f t="shared" si="0"/>
        <v>93335</v>
      </c>
      <c r="I69" s="110">
        <v>0</v>
      </c>
      <c r="J69" s="109">
        <f>SUM(I69+'Draw #2'!J69)</f>
        <v>0</v>
      </c>
      <c r="K69" s="101" t="str">
        <f t="shared" si="1"/>
        <v/>
      </c>
      <c r="L69" s="9"/>
      <c r="M69" s="9"/>
    </row>
    <row r="70" spans="1:13" ht="14.1" customHeight="1">
      <c r="A70" s="4">
        <f>'SCHEDULE OF VALUE WORKSHEET'!A66</f>
        <v>60</v>
      </c>
      <c r="B70" s="142" t="str">
        <f>'SCHEDULE OF VALUE WORKSHEET'!B66</f>
        <v>SPECIALTIES</v>
      </c>
      <c r="C70" s="143"/>
      <c r="D70" s="104">
        <f>SUM('SCHEDULE OF VALUE WORKSHEET'!E66)</f>
        <v>25109.21</v>
      </c>
      <c r="E70" s="104">
        <f>SUM('Draw #2'!E70:F70)</f>
        <v>0</v>
      </c>
      <c r="F70" s="105">
        <v>0</v>
      </c>
      <c r="G70" s="104">
        <f>SUM('Draw #2'!G70)+F70</f>
        <v>25109.21</v>
      </c>
      <c r="H70" s="109">
        <f t="shared" si="0"/>
        <v>25109.21</v>
      </c>
      <c r="I70" s="110">
        <v>0</v>
      </c>
      <c r="J70" s="109">
        <f>SUM(I70+'Draw #2'!J70)</f>
        <v>0</v>
      </c>
      <c r="K70" s="101" t="str">
        <f t="shared" si="1"/>
        <v/>
      </c>
      <c r="L70" s="9"/>
      <c r="M70" s="9"/>
    </row>
    <row r="71" spans="1:13" ht="14.1" customHeight="1">
      <c r="A71" s="4">
        <f>'SCHEDULE OF VALUE WORKSHEET'!A67</f>
        <v>61</v>
      </c>
      <c r="B71" s="142" t="str">
        <f>'SCHEDULE OF VALUE WORKSHEET'!B67</f>
        <v>EQUIPMENT</v>
      </c>
      <c r="C71" s="143"/>
      <c r="D71" s="104">
        <f>SUM('SCHEDULE OF VALUE WORKSHEET'!E67)</f>
        <v>153636</v>
      </c>
      <c r="E71" s="104">
        <f>SUM('Draw #2'!E71:F71)</f>
        <v>0</v>
      </c>
      <c r="F71" s="105">
        <v>0</v>
      </c>
      <c r="G71" s="104">
        <f>SUM('Draw #2'!G71)+F71</f>
        <v>153636</v>
      </c>
      <c r="H71" s="109">
        <f t="shared" si="0"/>
        <v>153636</v>
      </c>
      <c r="I71" s="110">
        <v>0</v>
      </c>
      <c r="J71" s="109">
        <f>SUM(I71+'Draw #2'!J71)</f>
        <v>0</v>
      </c>
      <c r="K71" s="101" t="str">
        <f t="shared" si="1"/>
        <v/>
      </c>
      <c r="L71" s="9"/>
      <c r="M71" s="9"/>
    </row>
    <row r="72" spans="1:13" ht="14.1" customHeight="1">
      <c r="A72" s="4">
        <f>'SCHEDULE OF VALUE WORKSHEET'!A68</f>
        <v>62</v>
      </c>
      <c r="B72" s="142" t="str">
        <f>'SCHEDULE OF VALUE WORKSHEET'!B68</f>
        <v>FURNISHING</v>
      </c>
      <c r="C72" s="143"/>
      <c r="D72" s="104">
        <f>SUM('SCHEDULE OF VALUE WORKSHEET'!E68)</f>
        <v>0</v>
      </c>
      <c r="E72" s="104">
        <f>SUM('Draw #2'!E72:F72)</f>
        <v>0</v>
      </c>
      <c r="F72" s="105">
        <v>0</v>
      </c>
      <c r="G72" s="104">
        <f>SUM('Draw #2'!G72)+F72</f>
        <v>0</v>
      </c>
      <c r="H72" s="109">
        <f t="shared" si="0"/>
        <v>0</v>
      </c>
      <c r="I72" s="110">
        <v>0</v>
      </c>
      <c r="J72" s="109">
        <f>SUM(I72+'Draw #2'!J72)</f>
        <v>0</v>
      </c>
      <c r="K72" s="101" t="str">
        <f t="shared" si="1"/>
        <v/>
      </c>
      <c r="L72" s="9"/>
      <c r="M72" s="9"/>
    </row>
    <row r="73" spans="1:13" ht="14.1" customHeight="1">
      <c r="A73" s="4">
        <f>'SCHEDULE OF VALUE WORKSHEET'!A69</f>
        <v>63</v>
      </c>
      <c r="B73" s="142" t="str">
        <f>'SCHEDULE OF VALUE WORKSHEET'!B69</f>
        <v>FIRE SPRINKLERS</v>
      </c>
      <c r="C73" s="143"/>
      <c r="D73" s="104">
        <f>SUM('SCHEDULE OF VALUE WORKSHEET'!E69)</f>
        <v>108500</v>
      </c>
      <c r="E73" s="104">
        <f>SUM('Draw #2'!E73:F73)</f>
        <v>0</v>
      </c>
      <c r="F73" s="105">
        <v>0</v>
      </c>
      <c r="G73" s="104">
        <f>SUM('Draw #2'!G73)+F73</f>
        <v>108500</v>
      </c>
      <c r="H73" s="109">
        <f t="shared" si="0"/>
        <v>108500</v>
      </c>
      <c r="I73" s="110">
        <v>0</v>
      </c>
      <c r="J73" s="109">
        <f>SUM(I73+'Draw #2'!J73)</f>
        <v>0</v>
      </c>
      <c r="K73" s="101" t="str">
        <f t="shared" si="1"/>
        <v/>
      </c>
      <c r="L73" s="9"/>
      <c r="M73" s="9"/>
    </row>
    <row r="74" spans="1:13" ht="14.1" customHeight="1">
      <c r="A74" s="4">
        <f>'SCHEDULE OF VALUE WORKSHEET'!A70</f>
        <v>64</v>
      </c>
      <c r="B74" s="142" t="str">
        <f>'SCHEDULE OF VALUE WORKSHEET'!B70</f>
        <v>FIRE ALARM</v>
      </c>
      <c r="C74" s="143"/>
      <c r="D74" s="104">
        <f>SUM('SCHEDULE OF VALUE WORKSHEET'!E70)</f>
        <v>68401</v>
      </c>
      <c r="E74" s="104">
        <f>SUM('Draw #2'!E74:F74)</f>
        <v>0</v>
      </c>
      <c r="F74" s="105">
        <v>0</v>
      </c>
      <c r="G74" s="104">
        <f>SUM('Draw #2'!G74)+F74</f>
        <v>68401</v>
      </c>
      <c r="H74" s="109">
        <f t="shared" si="0"/>
        <v>68401</v>
      </c>
      <c r="I74" s="110">
        <v>0</v>
      </c>
      <c r="J74" s="109">
        <f>SUM(I74+'Draw #2'!J74)</f>
        <v>0</v>
      </c>
      <c r="K74" s="101" t="str">
        <f t="shared" si="1"/>
        <v/>
      </c>
      <c r="L74" s="9"/>
      <c r="M74" s="9"/>
    </row>
    <row r="75" spans="1:13" ht="14.1" customHeight="1">
      <c r="A75" s="4">
        <f>'SCHEDULE OF VALUE WORKSHEET'!A71</f>
        <v>65</v>
      </c>
      <c r="B75" s="142" t="str">
        <f>'SCHEDULE OF VALUE WORKSHEET'!B71</f>
        <v>SOLAR PANELS</v>
      </c>
      <c r="C75" s="143"/>
      <c r="D75" s="104">
        <f>SUM('SCHEDULE OF VALUE WORKSHEET'!E71)</f>
        <v>97000</v>
      </c>
      <c r="E75" s="104">
        <f>SUM('Draw #2'!E75:F75)</f>
        <v>0</v>
      </c>
      <c r="F75" s="105">
        <v>0</v>
      </c>
      <c r="G75" s="104">
        <f>SUM('Draw #2'!G75)+F75</f>
        <v>97000</v>
      </c>
      <c r="H75" s="109">
        <f t="shared" ref="H75:H135" si="2">SUM(G75-J75)</f>
        <v>97000</v>
      </c>
      <c r="I75" s="110">
        <v>0</v>
      </c>
      <c r="J75" s="109">
        <f>SUM(I75+'Draw #2'!J75)</f>
        <v>0</v>
      </c>
      <c r="K75" s="101" t="str">
        <f t="shared" ref="K75:K135" si="3">IF(J75=0,"",J75/G75)</f>
        <v/>
      </c>
      <c r="L75" s="9"/>
      <c r="M75" s="9"/>
    </row>
    <row r="76" spans="1:13" ht="14.1" customHeight="1">
      <c r="A76" s="4">
        <f>'SCHEDULE OF VALUE WORKSHEET'!A72</f>
        <v>66</v>
      </c>
      <c r="B76" s="142" t="str">
        <f>'SCHEDULE OF VALUE WORKSHEET'!B72</f>
        <v>SECURITY ACCESS &amp; SURVEILLANCE</v>
      </c>
      <c r="C76" s="143"/>
      <c r="D76" s="104">
        <f>SUM('SCHEDULE OF VALUE WORKSHEET'!E72)</f>
        <v>136430</v>
      </c>
      <c r="E76" s="104">
        <f>SUM('Draw #2'!E76:F76)</f>
        <v>0</v>
      </c>
      <c r="F76" s="105">
        <v>0</v>
      </c>
      <c r="G76" s="104">
        <f>SUM('Draw #2'!G76)+F76</f>
        <v>136430</v>
      </c>
      <c r="H76" s="109">
        <f t="shared" si="2"/>
        <v>136430</v>
      </c>
      <c r="I76" s="110">
        <v>0</v>
      </c>
      <c r="J76" s="109">
        <f>SUM(I76+'Draw #2'!J76)</f>
        <v>0</v>
      </c>
      <c r="K76" s="101" t="str">
        <f t="shared" si="3"/>
        <v/>
      </c>
      <c r="L76" s="9"/>
      <c r="M76" s="9"/>
    </row>
    <row r="77" spans="1:13" ht="14.1" customHeight="1">
      <c r="A77" s="4">
        <f>'SCHEDULE OF VALUE WORKSHEET'!A73</f>
        <v>67</v>
      </c>
      <c r="B77" s="142" t="str">
        <f>'SCHEDULE OF VALUE WORKSHEET'!B73</f>
        <v>ELEVATORS &amp; LIFT</v>
      </c>
      <c r="C77" s="143"/>
      <c r="D77" s="104">
        <f>SUM('SCHEDULE OF VALUE WORKSHEET'!E73)</f>
        <v>174882</v>
      </c>
      <c r="E77" s="104">
        <f>SUM('Draw #2'!E77:F77)</f>
        <v>0</v>
      </c>
      <c r="F77" s="105">
        <v>0</v>
      </c>
      <c r="G77" s="104">
        <f>SUM('Draw #2'!G77)+F77</f>
        <v>174882</v>
      </c>
      <c r="H77" s="109">
        <f t="shared" si="2"/>
        <v>174882</v>
      </c>
      <c r="I77" s="110">
        <v>0</v>
      </c>
      <c r="J77" s="109">
        <f>SUM(I77+'Draw #2'!J77)</f>
        <v>0</v>
      </c>
      <c r="K77" s="101" t="str">
        <f t="shared" si="3"/>
        <v/>
      </c>
      <c r="L77" s="9"/>
      <c r="M77" s="9"/>
    </row>
    <row r="78" spans="1:13" ht="14.1" customHeight="1">
      <c r="A78" s="4">
        <f>'SCHEDULE OF VALUE WORKSHEET'!A74</f>
        <v>68</v>
      </c>
      <c r="B78" s="142" t="str">
        <f>'SCHEDULE OF VALUE WORKSHEET'!B74</f>
        <v>WATER SUBMETER (material)</v>
      </c>
      <c r="C78" s="143"/>
      <c r="D78" s="104">
        <f>SUM('SCHEDULE OF VALUE WORKSHEET'!E74)</f>
        <v>12273</v>
      </c>
      <c r="E78" s="104">
        <f>SUM('Draw #2'!E78:F78)</f>
        <v>0</v>
      </c>
      <c r="F78" s="105">
        <v>0</v>
      </c>
      <c r="G78" s="104">
        <f>SUM('Draw #2'!G78)+F78</f>
        <v>12273</v>
      </c>
      <c r="H78" s="109">
        <f t="shared" si="2"/>
        <v>12273</v>
      </c>
      <c r="I78" s="110">
        <v>0</v>
      </c>
      <c r="J78" s="109">
        <f>SUM(I78+'Draw #2'!J78)</f>
        <v>0</v>
      </c>
      <c r="K78" s="101" t="str">
        <f t="shared" si="3"/>
        <v/>
      </c>
      <c r="L78" s="9"/>
      <c r="M78" s="9"/>
    </row>
    <row r="79" spans="1:13" ht="14.1" customHeight="1">
      <c r="A79" s="4">
        <f>'SCHEDULE OF VALUE WORKSHEET'!A75</f>
        <v>69</v>
      </c>
      <c r="B79" s="142" t="str">
        <f>'SCHEDULE OF VALUE WORKSHEET'!B75</f>
        <v>WATER SUBMETER (labor)</v>
      </c>
      <c r="C79" s="143"/>
      <c r="D79" s="104">
        <f>SUM('SCHEDULE OF VALUE WORKSHEET'!E75)</f>
        <v>0</v>
      </c>
      <c r="E79" s="104">
        <f>SUM('Draw #2'!E79:F79)</f>
        <v>0</v>
      </c>
      <c r="F79" s="105">
        <v>0</v>
      </c>
      <c r="G79" s="104">
        <f>SUM('Draw #2'!G79)+F79</f>
        <v>0</v>
      </c>
      <c r="H79" s="109">
        <f t="shared" si="2"/>
        <v>0</v>
      </c>
      <c r="I79" s="110">
        <v>0</v>
      </c>
      <c r="J79" s="109">
        <f>SUM(I79+'Draw #2'!J79)</f>
        <v>0</v>
      </c>
      <c r="K79" s="101" t="str">
        <f t="shared" si="3"/>
        <v/>
      </c>
      <c r="L79" s="9"/>
      <c r="M79" s="9"/>
    </row>
    <row r="80" spans="1:13" ht="14.1" customHeight="1">
      <c r="A80" s="4">
        <f>'SCHEDULE OF VALUE WORKSHEET'!A76</f>
        <v>70</v>
      </c>
      <c r="B80" s="142" t="str">
        <f>'SCHEDULE OF VALUE WORKSHEET'!B76</f>
        <v>ROUGH PLUMBING</v>
      </c>
      <c r="C80" s="143"/>
      <c r="D80" s="104">
        <f>SUM('SCHEDULE OF VALUE WORKSHEET'!E76)</f>
        <v>751927</v>
      </c>
      <c r="E80" s="104">
        <f>SUM('Draw #2'!E80:F80)</f>
        <v>0</v>
      </c>
      <c r="F80" s="105">
        <v>0</v>
      </c>
      <c r="G80" s="104">
        <f>SUM('Draw #2'!G80)+F80</f>
        <v>751927</v>
      </c>
      <c r="H80" s="109">
        <f t="shared" si="2"/>
        <v>751927</v>
      </c>
      <c r="I80" s="110">
        <v>0</v>
      </c>
      <c r="J80" s="109">
        <f>SUM(I80+'Draw #2'!J80)</f>
        <v>0</v>
      </c>
      <c r="K80" s="101" t="str">
        <f t="shared" si="3"/>
        <v/>
      </c>
      <c r="L80" s="9"/>
      <c r="M80" s="9"/>
    </row>
    <row r="81" spans="1:13" ht="14.1" customHeight="1">
      <c r="A81" s="4">
        <f>'SCHEDULE OF VALUE WORKSHEET'!A77</f>
        <v>71</v>
      </c>
      <c r="B81" s="142" t="str">
        <f>'SCHEDULE OF VALUE WORKSHEET'!B77</f>
        <v>FINISH PLUMBING</v>
      </c>
      <c r="C81" s="143"/>
      <c r="D81" s="104">
        <f>SUM('SCHEDULE OF VALUE WORKSHEET'!E77)</f>
        <v>90000</v>
      </c>
      <c r="E81" s="104">
        <f>SUM('Draw #2'!E81:F81)</f>
        <v>0</v>
      </c>
      <c r="F81" s="105">
        <v>0</v>
      </c>
      <c r="G81" s="104">
        <f>SUM('Draw #2'!G81)+F81</f>
        <v>90000</v>
      </c>
      <c r="H81" s="109">
        <f t="shared" si="2"/>
        <v>90000</v>
      </c>
      <c r="I81" s="110">
        <v>0</v>
      </c>
      <c r="J81" s="109">
        <f>SUM(I81+'Draw #2'!J81)</f>
        <v>0</v>
      </c>
      <c r="K81" s="101" t="str">
        <f t="shared" si="3"/>
        <v/>
      </c>
      <c r="L81" s="9"/>
      <c r="M81" s="9"/>
    </row>
    <row r="82" spans="1:13" ht="14.1" customHeight="1">
      <c r="A82" s="4">
        <f>'SCHEDULE OF VALUE WORKSHEET'!A78</f>
        <v>72</v>
      </c>
      <c r="B82" s="142" t="str">
        <f>'SCHEDULE OF VALUE WORKSHEET'!B78</f>
        <v>HVAC</v>
      </c>
      <c r="C82" s="143"/>
      <c r="D82" s="104">
        <f>SUM('SCHEDULE OF VALUE WORKSHEET'!E78)</f>
        <v>259000</v>
      </c>
      <c r="E82" s="104">
        <f>SUM('Draw #2'!E82:F82)</f>
        <v>0</v>
      </c>
      <c r="F82" s="105">
        <v>0</v>
      </c>
      <c r="G82" s="104">
        <f>SUM('Draw #2'!G82)+F82</f>
        <v>259000</v>
      </c>
      <c r="H82" s="109">
        <f t="shared" si="2"/>
        <v>259000</v>
      </c>
      <c r="I82" s="110">
        <v>0</v>
      </c>
      <c r="J82" s="109">
        <f>SUM(I82+'Draw #2'!J82)</f>
        <v>0</v>
      </c>
      <c r="K82" s="101" t="str">
        <f t="shared" si="3"/>
        <v/>
      </c>
      <c r="L82" s="9"/>
      <c r="M82" s="9"/>
    </row>
    <row r="83" spans="1:13" ht="14.1" customHeight="1">
      <c r="A83" s="4">
        <f>'SCHEDULE OF VALUE WORKSHEET'!A79</f>
        <v>73</v>
      </c>
      <c r="B83" s="142" t="str">
        <f>'SCHEDULE OF VALUE WORKSHEET'!B79</f>
        <v>ELECTRICAL</v>
      </c>
      <c r="C83" s="143"/>
      <c r="D83" s="104">
        <f>SUM('SCHEDULE OF VALUE WORKSHEET'!E79)</f>
        <v>880486.32</v>
      </c>
      <c r="E83" s="104">
        <f>SUM('Draw #2'!E83:F83)</f>
        <v>0</v>
      </c>
      <c r="F83" s="105">
        <v>0</v>
      </c>
      <c r="G83" s="104">
        <f>SUM('Draw #2'!G83)+F83</f>
        <v>880486.32</v>
      </c>
      <c r="H83" s="109">
        <f t="shared" si="2"/>
        <v>880486.32</v>
      </c>
      <c r="I83" s="110">
        <v>0</v>
      </c>
      <c r="J83" s="109">
        <f>SUM(I83+'Draw #2'!J83)</f>
        <v>0</v>
      </c>
      <c r="K83" s="101" t="str">
        <f t="shared" si="3"/>
        <v/>
      </c>
      <c r="L83" s="9"/>
      <c r="M83" s="9"/>
    </row>
    <row r="84" spans="1:13" ht="14.1" customHeight="1">
      <c r="A84" s="4">
        <f>'SCHEDULE OF VALUE WORKSHEET'!A80</f>
        <v>74</v>
      </c>
      <c r="B84" s="142" t="str">
        <f>'SCHEDULE OF VALUE WORKSHEET'!B80</f>
        <v xml:space="preserve">CONTINGENCY </v>
      </c>
      <c r="C84" s="143"/>
      <c r="D84" s="104">
        <f>SUM('SCHEDULE OF VALUE WORKSHEET'!E80)</f>
        <v>529215.20000000007</v>
      </c>
      <c r="E84" s="104">
        <f>SUM('Draw #2'!E84:F84)</f>
        <v>0</v>
      </c>
      <c r="F84" s="105">
        <v>0</v>
      </c>
      <c r="G84" s="104">
        <f>SUM('Draw #2'!G84)+F84</f>
        <v>529215.20000000007</v>
      </c>
      <c r="H84" s="109">
        <f t="shared" si="2"/>
        <v>529215.20000000007</v>
      </c>
      <c r="I84" s="110">
        <v>0</v>
      </c>
      <c r="J84" s="109">
        <f>SUM(I84+'Draw #2'!J84)</f>
        <v>0</v>
      </c>
      <c r="K84" s="101" t="str">
        <f t="shared" si="3"/>
        <v/>
      </c>
      <c r="L84" s="9"/>
      <c r="M84" s="9"/>
    </row>
    <row r="85" spans="1:13" ht="14.1" customHeight="1">
      <c r="A85" s="4">
        <f>'SCHEDULE OF VALUE WORKSHEET'!A81</f>
        <v>75</v>
      </c>
      <c r="B85" s="142" t="str">
        <f>'SCHEDULE OF VALUE WORKSHEET'!B81</f>
        <v>INSURANCE (GL w/auto, workers compl)</v>
      </c>
      <c r="C85" s="143"/>
      <c r="D85" s="104">
        <f>SUM('SCHEDULE OF VALUE WORKSHEET'!E81)</f>
        <v>97177.07</v>
      </c>
      <c r="E85" s="104">
        <f>SUM('Draw #2'!E85:F85)</f>
        <v>0</v>
      </c>
      <c r="F85" s="105">
        <v>0</v>
      </c>
      <c r="G85" s="104">
        <f>SUM('Draw #2'!G85)+F85</f>
        <v>97177.07</v>
      </c>
      <c r="H85" s="109">
        <f t="shared" si="2"/>
        <v>97177.07</v>
      </c>
      <c r="I85" s="110">
        <v>0</v>
      </c>
      <c r="J85" s="109">
        <f>SUM(I85+'Draw #2'!J85)</f>
        <v>0</v>
      </c>
      <c r="K85" s="101" t="str">
        <f t="shared" si="3"/>
        <v/>
      </c>
      <c r="L85" s="9"/>
      <c r="M85" s="9"/>
    </row>
    <row r="86" spans="1:13" ht="14.1" customHeight="1">
      <c r="A86" s="4">
        <f>'SCHEDULE OF VALUE WORKSHEET'!A82</f>
        <v>76</v>
      </c>
      <c r="B86" s="142" t="str">
        <f>'SCHEDULE OF VALUE WORKSHEET'!B82</f>
        <v>GROSS RECEIPT TAX</v>
      </c>
      <c r="C86" s="143"/>
      <c r="D86" s="104">
        <f>SUM('SCHEDULE OF VALUE WORKSHEET'!E82)</f>
        <v>6543.26</v>
      </c>
      <c r="E86" s="104">
        <f>SUM('Draw #2'!E86:F86)</f>
        <v>0</v>
      </c>
      <c r="F86" s="105">
        <v>0</v>
      </c>
      <c r="G86" s="104">
        <f>SUM('Draw #2'!G86)+F86</f>
        <v>6543.26</v>
      </c>
      <c r="H86" s="109">
        <f t="shared" si="2"/>
        <v>6543.26</v>
      </c>
      <c r="I86" s="110">
        <v>0</v>
      </c>
      <c r="J86" s="109">
        <f>SUM(I86+'Draw #2'!J86)</f>
        <v>0</v>
      </c>
      <c r="K86" s="101" t="str">
        <f t="shared" si="3"/>
        <v/>
      </c>
      <c r="L86" s="9"/>
      <c r="M86" s="9"/>
    </row>
    <row r="87" spans="1:13" ht="14.1" customHeight="1">
      <c r="A87" s="4">
        <f>'SCHEDULE OF VALUE WORKSHEET'!A83</f>
        <v>77</v>
      </c>
      <c r="B87" s="142" t="str">
        <f>'SCHEDULE OF VALUE WORKSHEET'!B83</f>
        <v>GC FEE</v>
      </c>
      <c r="C87" s="143"/>
      <c r="D87" s="104">
        <f>SUM('SCHEDULE OF VALUE WORKSHEET'!E83)</f>
        <v>388708.28</v>
      </c>
      <c r="E87" s="104">
        <f>SUM('Draw #2'!E87:F87)</f>
        <v>0</v>
      </c>
      <c r="F87" s="105">
        <v>0</v>
      </c>
      <c r="G87" s="104">
        <f>SUM('Draw #2'!G87)+F87</f>
        <v>388708.28</v>
      </c>
      <c r="H87" s="109">
        <f t="shared" si="2"/>
        <v>388708.28</v>
      </c>
      <c r="I87" s="110">
        <v>0</v>
      </c>
      <c r="J87" s="109">
        <f>SUM(I87+'Draw #2'!J87)</f>
        <v>0</v>
      </c>
      <c r="K87" s="101" t="str">
        <f t="shared" si="3"/>
        <v/>
      </c>
      <c r="L87" s="9"/>
      <c r="M87" s="9"/>
    </row>
    <row r="88" spans="1:13" ht="14.1" customHeight="1">
      <c r="A88" s="4">
        <f>'SCHEDULE OF VALUE WORKSHEET'!A84</f>
        <v>78</v>
      </c>
      <c r="B88" s="142" t="str">
        <f>'SCHEDULE OF VALUE WORKSHEET'!B84</f>
        <v>DEVELOPMENT FEE</v>
      </c>
      <c r="C88" s="143"/>
      <c r="D88" s="104">
        <f>SUM('SCHEDULE OF VALUE WORKSHEET'!E84)</f>
        <v>180523.5</v>
      </c>
      <c r="E88" s="104">
        <f>SUM('Draw #2'!E88:F88)</f>
        <v>0</v>
      </c>
      <c r="F88" s="105">
        <v>0</v>
      </c>
      <c r="G88" s="104">
        <f>SUM('Draw #2'!G88)+F88</f>
        <v>180523.5</v>
      </c>
      <c r="H88" s="109">
        <f t="shared" si="2"/>
        <v>180523.5</v>
      </c>
      <c r="I88" s="110">
        <v>0</v>
      </c>
      <c r="J88" s="109">
        <f>SUM(I88+'Draw #2'!J88)</f>
        <v>0</v>
      </c>
      <c r="K88" s="101" t="str">
        <f t="shared" si="3"/>
        <v/>
      </c>
      <c r="L88" s="9"/>
      <c r="M88" s="9"/>
    </row>
    <row r="89" spans="1:13" ht="14.1" customHeight="1">
      <c r="A89" s="4">
        <f>'SCHEDULE OF VALUE WORKSHEET'!A85</f>
        <v>79</v>
      </c>
      <c r="B89" s="142" t="str">
        <f>'SCHEDULE OF VALUE WORKSHEET'!B85</f>
        <v>CARRYING COSTS</v>
      </c>
      <c r="C89" s="143"/>
      <c r="D89" s="104">
        <f>SUM('SCHEDULE OF VALUE WORKSHEET'!E85)</f>
        <v>92885.53</v>
      </c>
      <c r="E89" s="104">
        <f>SUM('Draw #2'!E89:F89)</f>
        <v>0</v>
      </c>
      <c r="F89" s="105">
        <v>0</v>
      </c>
      <c r="G89" s="104">
        <f>SUM('Draw #2'!G89)+F89</f>
        <v>92885.53</v>
      </c>
      <c r="H89" s="109">
        <f t="shared" si="2"/>
        <v>92885.53</v>
      </c>
      <c r="I89" s="110">
        <v>0</v>
      </c>
      <c r="J89" s="109">
        <f>SUM(I89+'Draw #2'!J89)</f>
        <v>0</v>
      </c>
      <c r="K89" s="101" t="str">
        <f t="shared" si="3"/>
        <v/>
      </c>
      <c r="L89" s="9"/>
      <c r="M89" s="9"/>
    </row>
    <row r="90" spans="1:13" ht="14.1" customHeight="1">
      <c r="A90" s="4">
        <f>'SCHEDULE OF VALUE WORKSHEET'!A86</f>
        <v>80</v>
      </c>
      <c r="B90" s="142" t="str">
        <f>'SCHEDULE OF VALUE WORKSHEET'!B86</f>
        <v>FINANCING COSTS</v>
      </c>
      <c r="C90" s="143"/>
      <c r="D90" s="104">
        <f>SUM('SCHEDULE OF VALUE WORKSHEET'!E86)</f>
        <v>0</v>
      </c>
      <c r="E90" s="104">
        <f>SUM('Draw #2'!E90:F90)</f>
        <v>0</v>
      </c>
      <c r="F90" s="105">
        <v>0</v>
      </c>
      <c r="G90" s="104">
        <f>SUM('Draw #2'!G90)+F90</f>
        <v>0</v>
      </c>
      <c r="H90" s="109">
        <f t="shared" si="2"/>
        <v>0</v>
      </c>
      <c r="I90" s="110">
        <v>0</v>
      </c>
      <c r="J90" s="109">
        <f>SUM(I90+'Draw #2'!J90)</f>
        <v>0</v>
      </c>
      <c r="K90" s="101" t="str">
        <f t="shared" si="3"/>
        <v/>
      </c>
      <c r="L90" s="9"/>
      <c r="M90" s="9"/>
    </row>
    <row r="91" spans="1:13" ht="14.1" customHeight="1">
      <c r="A91" s="4" t="e">
        <f>'SCHEDULE OF VALUE WORKSHEET'!#REF!</f>
        <v>#REF!</v>
      </c>
      <c r="B91" s="142" t="e">
        <f>'SCHEDULE OF VALUE WORKSHEET'!#REF!</f>
        <v>#REF!</v>
      </c>
      <c r="C91" s="143"/>
      <c r="D91" s="104" t="e">
        <f>SUM('SCHEDULE OF VALUE WORKSHEET'!#REF!)</f>
        <v>#REF!</v>
      </c>
      <c r="E91" s="104">
        <f>SUM('Draw #2'!E91:F91)</f>
        <v>0</v>
      </c>
      <c r="F91" s="105">
        <v>0</v>
      </c>
      <c r="G91" s="104" t="e">
        <f>SUM('Draw #2'!G91)+F91</f>
        <v>#REF!</v>
      </c>
      <c r="H91" s="109" t="e">
        <f t="shared" si="2"/>
        <v>#REF!</v>
      </c>
      <c r="I91" s="110">
        <v>0</v>
      </c>
      <c r="J91" s="109">
        <f>SUM(I91+'Draw #2'!J91)</f>
        <v>0</v>
      </c>
      <c r="K91" s="101" t="str">
        <f t="shared" si="3"/>
        <v/>
      </c>
      <c r="L91" s="9"/>
      <c r="M91" s="9"/>
    </row>
    <row r="92" spans="1:13" ht="14.1" customHeight="1">
      <c r="A92" s="4" t="e">
        <f>'SCHEDULE OF VALUE WORKSHEET'!#REF!</f>
        <v>#REF!</v>
      </c>
      <c r="B92" s="142" t="e">
        <f>'SCHEDULE OF VALUE WORKSHEET'!#REF!</f>
        <v>#REF!</v>
      </c>
      <c r="C92" s="143"/>
      <c r="D92" s="104" t="e">
        <f>SUM('SCHEDULE OF VALUE WORKSHEET'!#REF!)</f>
        <v>#REF!</v>
      </c>
      <c r="E92" s="104">
        <f>SUM('Draw #2'!E92:F92)</f>
        <v>0</v>
      </c>
      <c r="F92" s="105">
        <v>0</v>
      </c>
      <c r="G92" s="104" t="e">
        <f>SUM('Draw #2'!G92)+F92</f>
        <v>#REF!</v>
      </c>
      <c r="H92" s="109" t="e">
        <f t="shared" si="2"/>
        <v>#REF!</v>
      </c>
      <c r="I92" s="110">
        <v>0</v>
      </c>
      <c r="J92" s="109">
        <f>SUM(I92+'Draw #2'!J92)</f>
        <v>0</v>
      </c>
      <c r="K92" s="101" t="str">
        <f t="shared" si="3"/>
        <v/>
      </c>
      <c r="L92" s="9"/>
      <c r="M92" s="9"/>
    </row>
    <row r="93" spans="1:13" ht="14.1" customHeight="1">
      <c r="A93" s="4" t="e">
        <f>'SCHEDULE OF VALUE WORKSHEET'!#REF!</f>
        <v>#REF!</v>
      </c>
      <c r="B93" s="142" t="e">
        <f>'SCHEDULE OF VALUE WORKSHEET'!#REF!</f>
        <v>#REF!</v>
      </c>
      <c r="C93" s="143"/>
      <c r="D93" s="104" t="e">
        <f>SUM('SCHEDULE OF VALUE WORKSHEET'!#REF!)</f>
        <v>#REF!</v>
      </c>
      <c r="E93" s="104">
        <f>SUM('Draw #2'!E93:F93)</f>
        <v>0</v>
      </c>
      <c r="F93" s="105">
        <v>0</v>
      </c>
      <c r="G93" s="104" t="e">
        <f>SUM('Draw #2'!G93)+F93</f>
        <v>#REF!</v>
      </c>
      <c r="H93" s="109" t="e">
        <f t="shared" si="2"/>
        <v>#REF!</v>
      </c>
      <c r="I93" s="110">
        <v>0</v>
      </c>
      <c r="J93" s="109">
        <f>SUM(I93+'Draw #2'!J93)</f>
        <v>0</v>
      </c>
      <c r="K93" s="101" t="str">
        <f t="shared" si="3"/>
        <v/>
      </c>
      <c r="L93" s="9"/>
      <c r="M93" s="9"/>
    </row>
    <row r="94" spans="1:13" ht="14.1" customHeight="1">
      <c r="A94" s="4" t="e">
        <f>'SCHEDULE OF VALUE WORKSHEET'!#REF!</f>
        <v>#REF!</v>
      </c>
      <c r="B94" s="142" t="e">
        <f>'SCHEDULE OF VALUE WORKSHEET'!#REF!</f>
        <v>#REF!</v>
      </c>
      <c r="C94" s="143"/>
      <c r="D94" s="104" t="e">
        <f>SUM('SCHEDULE OF VALUE WORKSHEET'!#REF!)</f>
        <v>#REF!</v>
      </c>
      <c r="E94" s="104">
        <f>SUM('Draw #2'!E94:F94)</f>
        <v>0</v>
      </c>
      <c r="F94" s="105">
        <v>0</v>
      </c>
      <c r="G94" s="104" t="e">
        <f>SUM('Draw #2'!G94)+F94</f>
        <v>#REF!</v>
      </c>
      <c r="H94" s="109" t="e">
        <f t="shared" si="2"/>
        <v>#REF!</v>
      </c>
      <c r="I94" s="110">
        <v>0</v>
      </c>
      <c r="J94" s="109">
        <f>SUM(I94+'Draw #2'!J94)</f>
        <v>0</v>
      </c>
      <c r="K94" s="101" t="str">
        <f t="shared" si="3"/>
        <v/>
      </c>
      <c r="L94" s="9"/>
      <c r="M94" s="9"/>
    </row>
    <row r="95" spans="1:13" ht="14.1" customHeight="1">
      <c r="A95" s="4" t="e">
        <f>'SCHEDULE OF VALUE WORKSHEET'!#REF!</f>
        <v>#REF!</v>
      </c>
      <c r="B95" s="142" t="e">
        <f>'SCHEDULE OF VALUE WORKSHEET'!#REF!</f>
        <v>#REF!</v>
      </c>
      <c r="C95" s="143"/>
      <c r="D95" s="104" t="e">
        <f>SUM('SCHEDULE OF VALUE WORKSHEET'!#REF!)</f>
        <v>#REF!</v>
      </c>
      <c r="E95" s="104">
        <f>SUM('Draw #2'!E95:F95)</f>
        <v>0</v>
      </c>
      <c r="F95" s="105">
        <v>0</v>
      </c>
      <c r="G95" s="104" t="e">
        <f>SUM('Draw #2'!G95)+F95</f>
        <v>#REF!</v>
      </c>
      <c r="H95" s="109" t="e">
        <f t="shared" si="2"/>
        <v>#REF!</v>
      </c>
      <c r="I95" s="110">
        <v>0</v>
      </c>
      <c r="J95" s="109">
        <f>SUM(I95+'Draw #2'!J95)</f>
        <v>0</v>
      </c>
      <c r="K95" s="101" t="str">
        <f t="shared" si="3"/>
        <v/>
      </c>
      <c r="L95" s="9"/>
      <c r="M95" s="9"/>
    </row>
    <row r="96" spans="1:13" ht="14.1" customHeight="1">
      <c r="A96" s="4" t="e">
        <f>'SCHEDULE OF VALUE WORKSHEET'!#REF!</f>
        <v>#REF!</v>
      </c>
      <c r="B96" s="142" t="e">
        <f>'SCHEDULE OF VALUE WORKSHEET'!#REF!</f>
        <v>#REF!</v>
      </c>
      <c r="C96" s="143"/>
      <c r="D96" s="104" t="e">
        <f>SUM('SCHEDULE OF VALUE WORKSHEET'!#REF!)</f>
        <v>#REF!</v>
      </c>
      <c r="E96" s="104">
        <f>SUM('Draw #2'!E96:F96)</f>
        <v>0</v>
      </c>
      <c r="F96" s="105">
        <v>0</v>
      </c>
      <c r="G96" s="104" t="e">
        <f>SUM('Draw #2'!G96)+F96</f>
        <v>#REF!</v>
      </c>
      <c r="H96" s="109" t="e">
        <f t="shared" si="2"/>
        <v>#REF!</v>
      </c>
      <c r="I96" s="110">
        <v>0</v>
      </c>
      <c r="J96" s="109">
        <f>SUM(I96+'Draw #2'!J96)</f>
        <v>0</v>
      </c>
      <c r="K96" s="101" t="str">
        <f t="shared" si="3"/>
        <v/>
      </c>
      <c r="L96" s="9"/>
      <c r="M96" s="9"/>
    </row>
    <row r="97" spans="1:13" ht="14.1" customHeight="1">
      <c r="A97" s="4" t="e">
        <f>'SCHEDULE OF VALUE WORKSHEET'!#REF!</f>
        <v>#REF!</v>
      </c>
      <c r="B97" s="142" t="e">
        <f>'SCHEDULE OF VALUE WORKSHEET'!#REF!</f>
        <v>#REF!</v>
      </c>
      <c r="C97" s="143"/>
      <c r="D97" s="104" t="e">
        <f>SUM('SCHEDULE OF VALUE WORKSHEET'!#REF!)</f>
        <v>#REF!</v>
      </c>
      <c r="E97" s="104">
        <f>SUM('Draw #2'!E97:F97)</f>
        <v>0</v>
      </c>
      <c r="F97" s="105">
        <v>0</v>
      </c>
      <c r="G97" s="104" t="e">
        <f>SUM('Draw #2'!G97)+F97</f>
        <v>#REF!</v>
      </c>
      <c r="H97" s="109" t="e">
        <f t="shared" si="2"/>
        <v>#REF!</v>
      </c>
      <c r="I97" s="110">
        <v>0</v>
      </c>
      <c r="J97" s="109">
        <f>SUM(I97+'Draw #2'!J97)</f>
        <v>0</v>
      </c>
      <c r="K97" s="101" t="str">
        <f t="shared" si="3"/>
        <v/>
      </c>
      <c r="L97" s="9"/>
      <c r="M97" s="9"/>
    </row>
    <row r="98" spans="1:13" ht="14.1" customHeight="1">
      <c r="A98" s="4" t="e">
        <f>'SCHEDULE OF VALUE WORKSHEET'!#REF!</f>
        <v>#REF!</v>
      </c>
      <c r="B98" s="142" t="e">
        <f>'SCHEDULE OF VALUE WORKSHEET'!#REF!</f>
        <v>#REF!</v>
      </c>
      <c r="C98" s="143"/>
      <c r="D98" s="104" t="e">
        <f>SUM('SCHEDULE OF VALUE WORKSHEET'!#REF!)</f>
        <v>#REF!</v>
      </c>
      <c r="E98" s="104">
        <f>SUM('Draw #2'!E98:F98)</f>
        <v>0</v>
      </c>
      <c r="F98" s="105">
        <v>0</v>
      </c>
      <c r="G98" s="104" t="e">
        <f>SUM('Draw #2'!G98)+F98</f>
        <v>#REF!</v>
      </c>
      <c r="H98" s="109" t="e">
        <f t="shared" si="2"/>
        <v>#REF!</v>
      </c>
      <c r="I98" s="110">
        <v>0</v>
      </c>
      <c r="J98" s="109">
        <f>SUM(I98+'Draw #2'!J98)</f>
        <v>0</v>
      </c>
      <c r="K98" s="101" t="str">
        <f t="shared" si="3"/>
        <v/>
      </c>
      <c r="L98" s="9"/>
      <c r="M98" s="9"/>
    </row>
    <row r="99" spans="1:13" ht="14.1" customHeight="1">
      <c r="A99" s="4" t="e">
        <f>'SCHEDULE OF VALUE WORKSHEET'!#REF!</f>
        <v>#REF!</v>
      </c>
      <c r="B99" s="142" t="e">
        <f>'SCHEDULE OF VALUE WORKSHEET'!#REF!</f>
        <v>#REF!</v>
      </c>
      <c r="C99" s="143"/>
      <c r="D99" s="104" t="e">
        <f>SUM('SCHEDULE OF VALUE WORKSHEET'!#REF!)</f>
        <v>#REF!</v>
      </c>
      <c r="E99" s="104">
        <f>SUM('Draw #2'!E99:F99)</f>
        <v>0</v>
      </c>
      <c r="F99" s="105">
        <v>0</v>
      </c>
      <c r="G99" s="104" t="e">
        <f>SUM('Draw #2'!G99)+F99</f>
        <v>#REF!</v>
      </c>
      <c r="H99" s="109" t="e">
        <f t="shared" si="2"/>
        <v>#REF!</v>
      </c>
      <c r="I99" s="110">
        <v>0</v>
      </c>
      <c r="J99" s="109">
        <f>SUM(I99+'Draw #2'!J99)</f>
        <v>0</v>
      </c>
      <c r="K99" s="101" t="str">
        <f t="shared" si="3"/>
        <v/>
      </c>
      <c r="L99" s="9"/>
      <c r="M99" s="9"/>
    </row>
    <row r="100" spans="1:13" ht="14.1" customHeight="1">
      <c r="A100" s="4" t="e">
        <f>'SCHEDULE OF VALUE WORKSHEET'!#REF!</f>
        <v>#REF!</v>
      </c>
      <c r="B100" s="142" t="e">
        <f>'SCHEDULE OF VALUE WORKSHEET'!#REF!</f>
        <v>#REF!</v>
      </c>
      <c r="C100" s="143"/>
      <c r="D100" s="104" t="e">
        <f>SUM('SCHEDULE OF VALUE WORKSHEET'!#REF!)</f>
        <v>#REF!</v>
      </c>
      <c r="E100" s="104">
        <f>SUM('Draw #2'!E100:F100)</f>
        <v>0</v>
      </c>
      <c r="F100" s="105">
        <v>0</v>
      </c>
      <c r="G100" s="104" t="e">
        <f>SUM('Draw #2'!G100)+F100</f>
        <v>#REF!</v>
      </c>
      <c r="H100" s="109" t="e">
        <f t="shared" si="2"/>
        <v>#REF!</v>
      </c>
      <c r="I100" s="110">
        <v>0</v>
      </c>
      <c r="J100" s="109">
        <f>SUM(I100+'Draw #2'!J100)</f>
        <v>0</v>
      </c>
      <c r="K100" s="101" t="str">
        <f t="shared" si="3"/>
        <v/>
      </c>
      <c r="L100" s="9"/>
      <c r="M100" s="9"/>
    </row>
    <row r="101" spans="1:13" ht="14.1" customHeight="1">
      <c r="A101" s="4" t="e">
        <f>'SCHEDULE OF VALUE WORKSHEET'!#REF!</f>
        <v>#REF!</v>
      </c>
      <c r="B101" s="142" t="e">
        <f>'SCHEDULE OF VALUE WORKSHEET'!#REF!</f>
        <v>#REF!</v>
      </c>
      <c r="C101" s="143"/>
      <c r="D101" s="104" t="e">
        <f>SUM('SCHEDULE OF VALUE WORKSHEET'!#REF!)</f>
        <v>#REF!</v>
      </c>
      <c r="E101" s="104">
        <f>SUM('Draw #2'!E101:F101)</f>
        <v>0</v>
      </c>
      <c r="F101" s="105">
        <v>0</v>
      </c>
      <c r="G101" s="104" t="e">
        <f>SUM('Draw #2'!G101)+F101</f>
        <v>#REF!</v>
      </c>
      <c r="H101" s="109" t="e">
        <f t="shared" si="2"/>
        <v>#REF!</v>
      </c>
      <c r="I101" s="110">
        <v>0</v>
      </c>
      <c r="J101" s="109">
        <f>SUM(I101+'Draw #2'!J101)</f>
        <v>0</v>
      </c>
      <c r="K101" s="101" t="str">
        <f t="shared" si="3"/>
        <v/>
      </c>
      <c r="L101" s="9"/>
      <c r="M101" s="9"/>
    </row>
    <row r="102" spans="1:13" ht="14.1" customHeight="1">
      <c r="A102" s="4" t="e">
        <f>'SCHEDULE OF VALUE WORKSHEET'!#REF!</f>
        <v>#REF!</v>
      </c>
      <c r="B102" s="142" t="e">
        <f>'SCHEDULE OF VALUE WORKSHEET'!#REF!</f>
        <v>#REF!</v>
      </c>
      <c r="C102" s="143"/>
      <c r="D102" s="104" t="e">
        <f>SUM('SCHEDULE OF VALUE WORKSHEET'!#REF!)</f>
        <v>#REF!</v>
      </c>
      <c r="E102" s="104">
        <f>SUM('Draw #2'!E102:F102)</f>
        <v>0</v>
      </c>
      <c r="F102" s="105">
        <v>0</v>
      </c>
      <c r="G102" s="104" t="e">
        <f>SUM('Draw #2'!G102)+F102</f>
        <v>#REF!</v>
      </c>
      <c r="H102" s="109" t="e">
        <f t="shared" si="2"/>
        <v>#REF!</v>
      </c>
      <c r="I102" s="110">
        <v>0</v>
      </c>
      <c r="J102" s="109">
        <f>SUM(I102+'Draw #2'!J102)</f>
        <v>0</v>
      </c>
      <c r="K102" s="101" t="str">
        <f t="shared" si="3"/>
        <v/>
      </c>
      <c r="L102" s="9"/>
      <c r="M102" s="9"/>
    </row>
    <row r="103" spans="1:13" ht="14.1" customHeight="1">
      <c r="A103" s="4" t="e">
        <f>'SCHEDULE OF VALUE WORKSHEET'!#REF!</f>
        <v>#REF!</v>
      </c>
      <c r="B103" s="142" t="e">
        <f>'SCHEDULE OF VALUE WORKSHEET'!#REF!</f>
        <v>#REF!</v>
      </c>
      <c r="C103" s="143"/>
      <c r="D103" s="104" t="e">
        <f>SUM('SCHEDULE OF VALUE WORKSHEET'!#REF!)</f>
        <v>#REF!</v>
      </c>
      <c r="E103" s="104">
        <f>SUM('Draw #2'!E103:F103)</f>
        <v>0</v>
      </c>
      <c r="F103" s="105">
        <v>0</v>
      </c>
      <c r="G103" s="104" t="e">
        <f>SUM('Draw #2'!G103)+F103</f>
        <v>#REF!</v>
      </c>
      <c r="H103" s="109" t="e">
        <f t="shared" si="2"/>
        <v>#REF!</v>
      </c>
      <c r="I103" s="110">
        <v>0</v>
      </c>
      <c r="J103" s="109">
        <f>SUM(I103+'Draw #2'!J103)</f>
        <v>0</v>
      </c>
      <c r="K103" s="101" t="str">
        <f t="shared" si="3"/>
        <v/>
      </c>
      <c r="L103" s="9"/>
      <c r="M103" s="9"/>
    </row>
    <row r="104" spans="1:13" ht="14.1" customHeight="1">
      <c r="A104" s="4" t="e">
        <f>'SCHEDULE OF VALUE WORKSHEET'!#REF!</f>
        <v>#REF!</v>
      </c>
      <c r="B104" s="142" t="e">
        <f>'SCHEDULE OF VALUE WORKSHEET'!#REF!</f>
        <v>#REF!</v>
      </c>
      <c r="C104" s="143"/>
      <c r="D104" s="104" t="e">
        <f>SUM('SCHEDULE OF VALUE WORKSHEET'!#REF!)</f>
        <v>#REF!</v>
      </c>
      <c r="E104" s="104">
        <f>SUM('Draw #2'!E104:F104)</f>
        <v>0</v>
      </c>
      <c r="F104" s="105">
        <v>0</v>
      </c>
      <c r="G104" s="104" t="e">
        <f>SUM('Draw #2'!G104)+F104</f>
        <v>#REF!</v>
      </c>
      <c r="H104" s="109" t="e">
        <f t="shared" si="2"/>
        <v>#REF!</v>
      </c>
      <c r="I104" s="110">
        <v>0</v>
      </c>
      <c r="J104" s="109">
        <f>SUM(I104+'Draw #2'!J104)</f>
        <v>0</v>
      </c>
      <c r="K104" s="101" t="str">
        <f t="shared" si="3"/>
        <v/>
      </c>
      <c r="L104" s="9"/>
      <c r="M104" s="9"/>
    </row>
    <row r="105" spans="1:13" ht="14.1" customHeight="1">
      <c r="A105" s="4" t="e">
        <f>'SCHEDULE OF VALUE WORKSHEET'!#REF!</f>
        <v>#REF!</v>
      </c>
      <c r="B105" s="142" t="e">
        <f>'SCHEDULE OF VALUE WORKSHEET'!#REF!</f>
        <v>#REF!</v>
      </c>
      <c r="C105" s="143"/>
      <c r="D105" s="104" t="e">
        <f>SUM('SCHEDULE OF VALUE WORKSHEET'!#REF!)</f>
        <v>#REF!</v>
      </c>
      <c r="E105" s="104">
        <f>SUM('Draw #2'!E105:F105)</f>
        <v>0</v>
      </c>
      <c r="F105" s="105">
        <v>0</v>
      </c>
      <c r="G105" s="104" t="e">
        <f>SUM('Draw #2'!G105)+F105</f>
        <v>#REF!</v>
      </c>
      <c r="H105" s="109" t="e">
        <f t="shared" si="2"/>
        <v>#REF!</v>
      </c>
      <c r="I105" s="110">
        <v>0</v>
      </c>
      <c r="J105" s="109">
        <f>SUM(I105+'Draw #2'!J105)</f>
        <v>0</v>
      </c>
      <c r="K105" s="101" t="str">
        <f t="shared" si="3"/>
        <v/>
      </c>
      <c r="L105" s="9"/>
      <c r="M105" s="9"/>
    </row>
    <row r="106" spans="1:13" ht="14.1" customHeight="1">
      <c r="A106" s="4" t="e">
        <f>'SCHEDULE OF VALUE WORKSHEET'!#REF!</f>
        <v>#REF!</v>
      </c>
      <c r="B106" s="142" t="e">
        <f>'SCHEDULE OF VALUE WORKSHEET'!#REF!</f>
        <v>#REF!</v>
      </c>
      <c r="C106" s="143"/>
      <c r="D106" s="104" t="e">
        <f>SUM('SCHEDULE OF VALUE WORKSHEET'!#REF!)</f>
        <v>#REF!</v>
      </c>
      <c r="E106" s="104">
        <f>SUM('Draw #2'!E106:F106)</f>
        <v>0</v>
      </c>
      <c r="F106" s="105">
        <v>0</v>
      </c>
      <c r="G106" s="104" t="e">
        <f>SUM('Draw #2'!G106)+F106</f>
        <v>#REF!</v>
      </c>
      <c r="H106" s="109" t="e">
        <f t="shared" si="2"/>
        <v>#REF!</v>
      </c>
      <c r="I106" s="110">
        <v>0</v>
      </c>
      <c r="J106" s="109">
        <f>SUM(I106+'Draw #2'!J106)</f>
        <v>0</v>
      </c>
      <c r="K106" s="101" t="str">
        <f t="shared" si="3"/>
        <v/>
      </c>
      <c r="L106" s="9"/>
      <c r="M106" s="9"/>
    </row>
    <row r="107" spans="1:13" ht="14.1" customHeight="1">
      <c r="A107" s="4" t="e">
        <f>'SCHEDULE OF VALUE WORKSHEET'!#REF!</f>
        <v>#REF!</v>
      </c>
      <c r="B107" s="142" t="e">
        <f>'SCHEDULE OF VALUE WORKSHEET'!#REF!</f>
        <v>#REF!</v>
      </c>
      <c r="C107" s="143"/>
      <c r="D107" s="104" t="e">
        <f>SUM('SCHEDULE OF VALUE WORKSHEET'!#REF!)</f>
        <v>#REF!</v>
      </c>
      <c r="E107" s="104">
        <f>SUM('Draw #2'!E107:F107)</f>
        <v>0</v>
      </c>
      <c r="F107" s="105">
        <v>0</v>
      </c>
      <c r="G107" s="104" t="e">
        <f>SUM('Draw #2'!G107)+F107</f>
        <v>#REF!</v>
      </c>
      <c r="H107" s="109" t="e">
        <f t="shared" si="2"/>
        <v>#REF!</v>
      </c>
      <c r="I107" s="110">
        <v>0</v>
      </c>
      <c r="J107" s="109">
        <f>SUM(I107+'Draw #2'!J107)</f>
        <v>0</v>
      </c>
      <c r="K107" s="101" t="str">
        <f t="shared" si="3"/>
        <v/>
      </c>
      <c r="L107" s="9"/>
      <c r="M107" s="9"/>
    </row>
    <row r="108" spans="1:13" ht="14.1" customHeight="1">
      <c r="A108" s="4" t="e">
        <f>'SCHEDULE OF VALUE WORKSHEET'!#REF!</f>
        <v>#REF!</v>
      </c>
      <c r="B108" s="142" t="e">
        <f>'SCHEDULE OF VALUE WORKSHEET'!#REF!</f>
        <v>#REF!</v>
      </c>
      <c r="C108" s="143"/>
      <c r="D108" s="104" t="e">
        <f>SUM('SCHEDULE OF VALUE WORKSHEET'!#REF!)</f>
        <v>#REF!</v>
      </c>
      <c r="E108" s="104">
        <f>SUM('Draw #2'!E108:F108)</f>
        <v>0</v>
      </c>
      <c r="F108" s="105">
        <v>0</v>
      </c>
      <c r="G108" s="104" t="e">
        <f>SUM('Draw #2'!G108)+F108</f>
        <v>#REF!</v>
      </c>
      <c r="H108" s="109" t="e">
        <f t="shared" si="2"/>
        <v>#REF!</v>
      </c>
      <c r="I108" s="110">
        <v>0</v>
      </c>
      <c r="J108" s="109">
        <f>SUM(I108+'Draw #2'!J108)</f>
        <v>0</v>
      </c>
      <c r="K108" s="101" t="str">
        <f t="shared" si="3"/>
        <v/>
      </c>
      <c r="L108" s="9"/>
      <c r="M108" s="9"/>
    </row>
    <row r="109" spans="1:13" ht="14.1" customHeight="1">
      <c r="A109" s="4" t="e">
        <f>'SCHEDULE OF VALUE WORKSHEET'!#REF!</f>
        <v>#REF!</v>
      </c>
      <c r="B109" s="142" t="e">
        <f>'SCHEDULE OF VALUE WORKSHEET'!#REF!</f>
        <v>#REF!</v>
      </c>
      <c r="C109" s="143"/>
      <c r="D109" s="104" t="e">
        <f>SUM('SCHEDULE OF VALUE WORKSHEET'!#REF!)</f>
        <v>#REF!</v>
      </c>
      <c r="E109" s="104">
        <f>SUM('Draw #2'!E109:F109)</f>
        <v>0</v>
      </c>
      <c r="F109" s="105">
        <v>0</v>
      </c>
      <c r="G109" s="104" t="e">
        <f>SUM('Draw #2'!G109)+F109</f>
        <v>#REF!</v>
      </c>
      <c r="H109" s="109" t="e">
        <f t="shared" si="2"/>
        <v>#REF!</v>
      </c>
      <c r="I109" s="110">
        <v>0</v>
      </c>
      <c r="J109" s="109">
        <f>SUM(I109+'Draw #2'!J109)</f>
        <v>0</v>
      </c>
      <c r="K109" s="101" t="str">
        <f t="shared" si="3"/>
        <v/>
      </c>
      <c r="L109" s="9"/>
      <c r="M109" s="9"/>
    </row>
    <row r="110" spans="1:13" ht="14.1" customHeight="1">
      <c r="A110" s="4" t="e">
        <f>'SCHEDULE OF VALUE WORKSHEET'!#REF!</f>
        <v>#REF!</v>
      </c>
      <c r="B110" s="142" t="e">
        <f>'SCHEDULE OF VALUE WORKSHEET'!#REF!</f>
        <v>#REF!</v>
      </c>
      <c r="C110" s="143"/>
      <c r="D110" s="104" t="e">
        <f>SUM('SCHEDULE OF VALUE WORKSHEET'!#REF!)</f>
        <v>#REF!</v>
      </c>
      <c r="E110" s="104">
        <f>SUM('Draw #2'!E110:F110)</f>
        <v>0</v>
      </c>
      <c r="F110" s="105">
        <v>0</v>
      </c>
      <c r="G110" s="104" t="e">
        <f>SUM('Draw #2'!G110)+F110</f>
        <v>#REF!</v>
      </c>
      <c r="H110" s="109" t="e">
        <f t="shared" si="2"/>
        <v>#REF!</v>
      </c>
      <c r="I110" s="110">
        <v>0</v>
      </c>
      <c r="J110" s="109">
        <f>SUM(I110+'Draw #2'!J110)</f>
        <v>0</v>
      </c>
      <c r="K110" s="101" t="str">
        <f t="shared" si="3"/>
        <v/>
      </c>
      <c r="L110" s="9"/>
      <c r="M110" s="9"/>
    </row>
    <row r="111" spans="1:13" ht="14.1" customHeight="1">
      <c r="A111" s="4" t="e">
        <f>'SCHEDULE OF VALUE WORKSHEET'!#REF!</f>
        <v>#REF!</v>
      </c>
      <c r="B111" s="142" t="e">
        <f>'SCHEDULE OF VALUE WORKSHEET'!#REF!</f>
        <v>#REF!</v>
      </c>
      <c r="C111" s="143"/>
      <c r="D111" s="104" t="e">
        <f>SUM('SCHEDULE OF VALUE WORKSHEET'!#REF!)</f>
        <v>#REF!</v>
      </c>
      <c r="E111" s="104">
        <f>SUM('Draw #2'!E111:F111)</f>
        <v>0</v>
      </c>
      <c r="F111" s="105">
        <v>0</v>
      </c>
      <c r="G111" s="104" t="e">
        <f>SUM('Draw #2'!G111)+F111</f>
        <v>#REF!</v>
      </c>
      <c r="H111" s="109" t="e">
        <f t="shared" si="2"/>
        <v>#REF!</v>
      </c>
      <c r="I111" s="110">
        <v>0</v>
      </c>
      <c r="J111" s="109">
        <f>SUM(I111+'Draw #2'!J111)</f>
        <v>0</v>
      </c>
      <c r="K111" s="101" t="str">
        <f t="shared" si="3"/>
        <v/>
      </c>
      <c r="L111" s="9"/>
      <c r="M111" s="9"/>
    </row>
    <row r="112" spans="1:13" ht="14.1" customHeight="1">
      <c r="A112" s="4" t="e">
        <f>'SCHEDULE OF VALUE WORKSHEET'!#REF!</f>
        <v>#REF!</v>
      </c>
      <c r="B112" s="142" t="e">
        <f>'SCHEDULE OF VALUE WORKSHEET'!#REF!</f>
        <v>#REF!</v>
      </c>
      <c r="C112" s="143"/>
      <c r="D112" s="104" t="e">
        <f>SUM('SCHEDULE OF VALUE WORKSHEET'!#REF!)</f>
        <v>#REF!</v>
      </c>
      <c r="E112" s="104">
        <f>SUM('Draw #2'!E112:F112)</f>
        <v>0</v>
      </c>
      <c r="F112" s="105">
        <v>0</v>
      </c>
      <c r="G112" s="104" t="e">
        <f>SUM('Draw #2'!G112)+F112</f>
        <v>#REF!</v>
      </c>
      <c r="H112" s="109" t="e">
        <f t="shared" si="2"/>
        <v>#REF!</v>
      </c>
      <c r="I112" s="110">
        <v>0</v>
      </c>
      <c r="J112" s="109">
        <f>SUM(I112+'Draw #2'!J112)</f>
        <v>0</v>
      </c>
      <c r="K112" s="101" t="str">
        <f t="shared" si="3"/>
        <v/>
      </c>
      <c r="L112" s="9"/>
      <c r="M112" s="9"/>
    </row>
    <row r="113" spans="1:13" ht="14.1" customHeight="1">
      <c r="A113" s="4" t="e">
        <f>'SCHEDULE OF VALUE WORKSHEET'!#REF!</f>
        <v>#REF!</v>
      </c>
      <c r="B113" s="142" t="e">
        <f>'SCHEDULE OF VALUE WORKSHEET'!#REF!</f>
        <v>#REF!</v>
      </c>
      <c r="C113" s="143"/>
      <c r="D113" s="104" t="e">
        <f>SUM('SCHEDULE OF VALUE WORKSHEET'!#REF!)</f>
        <v>#REF!</v>
      </c>
      <c r="E113" s="104">
        <f>SUM('Draw #2'!E113:F113)</f>
        <v>0</v>
      </c>
      <c r="F113" s="105">
        <v>0</v>
      </c>
      <c r="G113" s="104" t="e">
        <f>SUM('Draw #2'!G113)+F113</f>
        <v>#REF!</v>
      </c>
      <c r="H113" s="109" t="e">
        <f t="shared" si="2"/>
        <v>#REF!</v>
      </c>
      <c r="I113" s="110">
        <v>0</v>
      </c>
      <c r="J113" s="109">
        <f>SUM(I113+'Draw #2'!J113)</f>
        <v>0</v>
      </c>
      <c r="K113" s="101" t="str">
        <f t="shared" si="3"/>
        <v/>
      </c>
      <c r="L113" s="9"/>
      <c r="M113" s="9"/>
    </row>
    <row r="114" spans="1:13" ht="14.1" customHeight="1">
      <c r="A114" s="4" t="e">
        <f>'SCHEDULE OF VALUE WORKSHEET'!#REF!</f>
        <v>#REF!</v>
      </c>
      <c r="B114" s="142" t="e">
        <f>'SCHEDULE OF VALUE WORKSHEET'!#REF!</f>
        <v>#REF!</v>
      </c>
      <c r="C114" s="143"/>
      <c r="D114" s="104" t="e">
        <f>SUM('SCHEDULE OF VALUE WORKSHEET'!#REF!)</f>
        <v>#REF!</v>
      </c>
      <c r="E114" s="104">
        <f>SUM('Draw #2'!E114:F114)</f>
        <v>0</v>
      </c>
      <c r="F114" s="105">
        <v>0</v>
      </c>
      <c r="G114" s="104" t="e">
        <f>SUM('Draw #2'!G114)+F114</f>
        <v>#REF!</v>
      </c>
      <c r="H114" s="109" t="e">
        <f t="shared" si="2"/>
        <v>#REF!</v>
      </c>
      <c r="I114" s="110">
        <v>0</v>
      </c>
      <c r="J114" s="109">
        <f>SUM(I114+'Draw #2'!J114)</f>
        <v>0</v>
      </c>
      <c r="K114" s="101" t="str">
        <f t="shared" si="3"/>
        <v/>
      </c>
      <c r="L114" s="9"/>
      <c r="M114" s="9"/>
    </row>
    <row r="115" spans="1:13" ht="14.1" customHeight="1">
      <c r="A115" s="4" t="e">
        <f>'SCHEDULE OF VALUE WORKSHEET'!#REF!</f>
        <v>#REF!</v>
      </c>
      <c r="B115" s="142" t="e">
        <f>'SCHEDULE OF VALUE WORKSHEET'!#REF!</f>
        <v>#REF!</v>
      </c>
      <c r="C115" s="143"/>
      <c r="D115" s="104" t="e">
        <f>SUM('SCHEDULE OF VALUE WORKSHEET'!#REF!)</f>
        <v>#REF!</v>
      </c>
      <c r="E115" s="104">
        <f>SUM('Draw #2'!E115:F115)</f>
        <v>0</v>
      </c>
      <c r="F115" s="105">
        <v>0</v>
      </c>
      <c r="G115" s="104" t="e">
        <f>SUM('Draw #2'!G115)+F115</f>
        <v>#REF!</v>
      </c>
      <c r="H115" s="109" t="e">
        <f t="shared" si="2"/>
        <v>#REF!</v>
      </c>
      <c r="I115" s="110">
        <v>0</v>
      </c>
      <c r="J115" s="109">
        <f>SUM(I115+'Draw #2'!J115)</f>
        <v>0</v>
      </c>
      <c r="K115" s="101" t="str">
        <f t="shared" si="3"/>
        <v/>
      </c>
      <c r="L115" s="9"/>
      <c r="M115" s="9"/>
    </row>
    <row r="116" spans="1:13" ht="14.1" customHeight="1">
      <c r="A116" s="4" t="e">
        <f>'SCHEDULE OF VALUE WORKSHEET'!#REF!</f>
        <v>#REF!</v>
      </c>
      <c r="B116" s="142" t="e">
        <f>'SCHEDULE OF VALUE WORKSHEET'!#REF!</f>
        <v>#REF!</v>
      </c>
      <c r="C116" s="143"/>
      <c r="D116" s="104" t="e">
        <f>SUM('SCHEDULE OF VALUE WORKSHEET'!#REF!)</f>
        <v>#REF!</v>
      </c>
      <c r="E116" s="104">
        <f>SUM('Draw #2'!E116:F116)</f>
        <v>0</v>
      </c>
      <c r="F116" s="105">
        <v>0</v>
      </c>
      <c r="G116" s="104" t="e">
        <f>SUM('Draw #2'!G116)+F116</f>
        <v>#REF!</v>
      </c>
      <c r="H116" s="109" t="e">
        <f t="shared" si="2"/>
        <v>#REF!</v>
      </c>
      <c r="I116" s="110">
        <v>0</v>
      </c>
      <c r="J116" s="109">
        <f>SUM(I116+'Draw #2'!J116)</f>
        <v>0</v>
      </c>
      <c r="K116" s="101" t="str">
        <f t="shared" si="3"/>
        <v/>
      </c>
      <c r="L116" s="9"/>
      <c r="M116" s="9"/>
    </row>
    <row r="117" spans="1:13" ht="14.1" customHeight="1">
      <c r="A117" s="4">
        <f>'SCHEDULE OF VALUE WORKSHEET'!A87</f>
        <v>82</v>
      </c>
      <c r="B117" s="142" t="str">
        <f>'SCHEDULE OF VALUE WORKSHEET'!B87</f>
        <v xml:space="preserve">Open Item </v>
      </c>
      <c r="C117" s="143"/>
      <c r="D117" s="104">
        <f>SUM('SCHEDULE OF VALUE WORKSHEET'!E87)</f>
        <v>0</v>
      </c>
      <c r="E117" s="104">
        <f>SUM('Draw #2'!E117:F117)</f>
        <v>0</v>
      </c>
      <c r="F117" s="105">
        <v>0</v>
      </c>
      <c r="G117" s="104">
        <f>SUM('Draw #2'!G117)+F117</f>
        <v>0</v>
      </c>
      <c r="H117" s="109">
        <f t="shared" si="2"/>
        <v>0</v>
      </c>
      <c r="I117" s="110">
        <v>0</v>
      </c>
      <c r="J117" s="109">
        <f>SUM(I117+'Draw #2'!J117)</f>
        <v>0</v>
      </c>
      <c r="K117" s="101" t="str">
        <f t="shared" si="3"/>
        <v/>
      </c>
      <c r="L117" s="9"/>
      <c r="M117" s="9"/>
    </row>
    <row r="118" spans="1:13" ht="14.1" customHeight="1">
      <c r="A118" s="4">
        <f>'SCHEDULE OF VALUE WORKSHEET'!A88</f>
        <v>83</v>
      </c>
      <c r="B118" s="142" t="str">
        <f>'SCHEDULE OF VALUE WORKSHEET'!B88</f>
        <v xml:space="preserve">Open Item </v>
      </c>
      <c r="C118" s="143"/>
      <c r="D118" s="104">
        <f>SUM('SCHEDULE OF VALUE WORKSHEET'!E88)</f>
        <v>0</v>
      </c>
      <c r="E118" s="104">
        <f>SUM('Draw #2'!E118:F118)</f>
        <v>0</v>
      </c>
      <c r="F118" s="105">
        <v>0</v>
      </c>
      <c r="G118" s="104">
        <f>SUM('Draw #2'!G118)+F118</f>
        <v>0</v>
      </c>
      <c r="H118" s="109">
        <f t="shared" si="2"/>
        <v>0</v>
      </c>
      <c r="I118" s="110">
        <v>0</v>
      </c>
      <c r="J118" s="109">
        <f>SUM(I118+'Draw #2'!J118)</f>
        <v>0</v>
      </c>
      <c r="K118" s="101" t="str">
        <f t="shared" si="3"/>
        <v/>
      </c>
      <c r="L118" s="9"/>
      <c r="M118" s="9"/>
    </row>
    <row r="119" spans="1:13" ht="14.1" customHeight="1">
      <c r="A119" s="4">
        <f>'SCHEDULE OF VALUE WORKSHEET'!A89</f>
        <v>84</v>
      </c>
      <c r="B119" s="142" t="str">
        <f>'SCHEDULE OF VALUE WORKSHEET'!B89</f>
        <v xml:space="preserve">Open Item </v>
      </c>
      <c r="C119" s="143"/>
      <c r="D119" s="104">
        <f>SUM('SCHEDULE OF VALUE WORKSHEET'!E89)</f>
        <v>0</v>
      </c>
      <c r="E119" s="104">
        <f>SUM('Draw #2'!E119:F119)</f>
        <v>0</v>
      </c>
      <c r="F119" s="105">
        <v>0</v>
      </c>
      <c r="G119" s="104">
        <f>SUM('Draw #2'!G119)+F119</f>
        <v>0</v>
      </c>
      <c r="H119" s="109">
        <f t="shared" si="2"/>
        <v>0</v>
      </c>
      <c r="I119" s="110">
        <v>0</v>
      </c>
      <c r="J119" s="109">
        <f>SUM(I119+'Draw #2'!J119)</f>
        <v>0</v>
      </c>
      <c r="K119" s="101" t="str">
        <f t="shared" si="3"/>
        <v/>
      </c>
      <c r="L119" s="9"/>
      <c r="M119" s="9"/>
    </row>
    <row r="120" spans="1:13" ht="14.1" customHeight="1">
      <c r="A120" s="4">
        <f>'SCHEDULE OF VALUE WORKSHEET'!A90</f>
        <v>85</v>
      </c>
      <c r="B120" s="142" t="str">
        <f>'SCHEDULE OF VALUE WORKSHEET'!B90</f>
        <v xml:space="preserve">Open Item </v>
      </c>
      <c r="C120" s="143"/>
      <c r="D120" s="104">
        <f>SUM('SCHEDULE OF VALUE WORKSHEET'!E90)</f>
        <v>0</v>
      </c>
      <c r="E120" s="104">
        <f>SUM('Draw #2'!E120:F120)</f>
        <v>0</v>
      </c>
      <c r="F120" s="105">
        <v>0</v>
      </c>
      <c r="G120" s="104">
        <f>SUM('Draw #2'!G120)+F120</f>
        <v>0</v>
      </c>
      <c r="H120" s="109">
        <f t="shared" si="2"/>
        <v>0</v>
      </c>
      <c r="I120" s="110">
        <v>0</v>
      </c>
      <c r="J120" s="109">
        <f>SUM(I120+'Draw #2'!J120)</f>
        <v>0</v>
      </c>
      <c r="K120" s="101" t="str">
        <f t="shared" si="3"/>
        <v/>
      </c>
      <c r="L120" s="9"/>
      <c r="M120" s="9"/>
    </row>
    <row r="121" spans="1:13" ht="14.1" customHeight="1">
      <c r="A121" s="4">
        <f>'SCHEDULE OF VALUE WORKSHEET'!A91</f>
        <v>86</v>
      </c>
      <c r="B121" s="142" t="str">
        <f>'SCHEDULE OF VALUE WORKSHEET'!B91</f>
        <v xml:space="preserve">Open Item </v>
      </c>
      <c r="C121" s="143"/>
      <c r="D121" s="104">
        <f>SUM('SCHEDULE OF VALUE WORKSHEET'!E91)</f>
        <v>0</v>
      </c>
      <c r="E121" s="104">
        <f>SUM('Draw #2'!E121:F121)</f>
        <v>0</v>
      </c>
      <c r="F121" s="105">
        <v>0</v>
      </c>
      <c r="G121" s="104">
        <f>SUM('Draw #2'!G121)+F121</f>
        <v>0</v>
      </c>
      <c r="H121" s="109">
        <f t="shared" si="2"/>
        <v>0</v>
      </c>
      <c r="I121" s="110">
        <v>0</v>
      </c>
      <c r="J121" s="109">
        <f>SUM(I121+'Draw #2'!J121)</f>
        <v>0</v>
      </c>
      <c r="K121" s="101" t="str">
        <f t="shared" si="3"/>
        <v/>
      </c>
      <c r="L121" s="9"/>
      <c r="M121" s="9"/>
    </row>
    <row r="122" spans="1:13" ht="14.1" customHeight="1">
      <c r="A122" s="4">
        <f>'SCHEDULE OF VALUE WORKSHEET'!A92</f>
        <v>87</v>
      </c>
      <c r="B122" s="142" t="str">
        <f>'SCHEDULE OF VALUE WORKSHEET'!B92</f>
        <v xml:space="preserve">Open Item </v>
      </c>
      <c r="C122" s="143"/>
      <c r="D122" s="104">
        <f>SUM('SCHEDULE OF VALUE WORKSHEET'!E92)</f>
        <v>0</v>
      </c>
      <c r="E122" s="104">
        <f>SUM('Draw #2'!E122:F122)</f>
        <v>0</v>
      </c>
      <c r="F122" s="105">
        <v>0</v>
      </c>
      <c r="G122" s="104">
        <f>SUM('Draw #2'!G122)+F122</f>
        <v>0</v>
      </c>
      <c r="H122" s="109">
        <f t="shared" si="2"/>
        <v>0</v>
      </c>
      <c r="I122" s="110">
        <v>0</v>
      </c>
      <c r="J122" s="109">
        <f>SUM(I122+'Draw #2'!J122)</f>
        <v>0</v>
      </c>
      <c r="K122" s="101" t="str">
        <f t="shared" si="3"/>
        <v/>
      </c>
      <c r="L122" s="9"/>
      <c r="M122" s="9"/>
    </row>
    <row r="123" spans="1:13" ht="14.1" customHeight="1">
      <c r="A123" s="4">
        <f>'SCHEDULE OF VALUE WORKSHEET'!A93</f>
        <v>88</v>
      </c>
      <c r="B123" s="142" t="str">
        <f>'SCHEDULE OF VALUE WORKSHEET'!B93</f>
        <v xml:space="preserve">Open Item </v>
      </c>
      <c r="C123" s="143"/>
      <c r="D123" s="104">
        <f>SUM('SCHEDULE OF VALUE WORKSHEET'!E93)</f>
        <v>0</v>
      </c>
      <c r="E123" s="104">
        <f>SUM('Draw #2'!E123:F123)</f>
        <v>0</v>
      </c>
      <c r="F123" s="105">
        <v>0</v>
      </c>
      <c r="G123" s="104">
        <f>SUM('Draw #2'!G123)+F123</f>
        <v>0</v>
      </c>
      <c r="H123" s="109">
        <f t="shared" si="2"/>
        <v>0</v>
      </c>
      <c r="I123" s="110">
        <v>0</v>
      </c>
      <c r="J123" s="109">
        <f>SUM(I123+'Draw #2'!J123)</f>
        <v>0</v>
      </c>
      <c r="K123" s="101" t="str">
        <f t="shared" si="3"/>
        <v/>
      </c>
      <c r="L123" s="9"/>
      <c r="M123" s="9"/>
    </row>
    <row r="124" spans="1:13" ht="14.1" customHeight="1">
      <c r="A124" s="4">
        <f>'SCHEDULE OF VALUE WORKSHEET'!A94</f>
        <v>89</v>
      </c>
      <c r="B124" s="142" t="str">
        <f>'SCHEDULE OF VALUE WORKSHEET'!B94</f>
        <v xml:space="preserve">Open Item </v>
      </c>
      <c r="C124" s="143"/>
      <c r="D124" s="104">
        <f>SUM('SCHEDULE OF VALUE WORKSHEET'!E94)</f>
        <v>0</v>
      </c>
      <c r="E124" s="104">
        <f>SUM('Draw #2'!E124:F124)</f>
        <v>0</v>
      </c>
      <c r="F124" s="105">
        <v>0</v>
      </c>
      <c r="G124" s="104">
        <f>SUM('Draw #2'!G124)+F124</f>
        <v>0</v>
      </c>
      <c r="H124" s="109">
        <f t="shared" si="2"/>
        <v>0</v>
      </c>
      <c r="I124" s="110">
        <v>0</v>
      </c>
      <c r="J124" s="109">
        <f>SUM(I124+'Draw #2'!J124)</f>
        <v>0</v>
      </c>
      <c r="K124" s="101" t="str">
        <f t="shared" si="3"/>
        <v/>
      </c>
      <c r="L124" s="9"/>
      <c r="M124" s="9"/>
    </row>
    <row r="125" spans="1:13" ht="14.1" customHeight="1">
      <c r="A125" s="4">
        <f>'SCHEDULE OF VALUE WORKSHEET'!A95</f>
        <v>90</v>
      </c>
      <c r="B125" s="142" t="str">
        <f>'SCHEDULE OF VALUE WORKSHEET'!B95</f>
        <v xml:space="preserve">Open Item </v>
      </c>
      <c r="C125" s="143"/>
      <c r="D125" s="104">
        <f>SUM('SCHEDULE OF VALUE WORKSHEET'!E95)</f>
        <v>0</v>
      </c>
      <c r="E125" s="104">
        <f>SUM('Draw #2'!E125:F125)</f>
        <v>0</v>
      </c>
      <c r="F125" s="105">
        <v>0</v>
      </c>
      <c r="G125" s="104">
        <f>SUM('Draw #2'!G125)+F125</f>
        <v>0</v>
      </c>
      <c r="H125" s="109">
        <f t="shared" si="2"/>
        <v>0</v>
      </c>
      <c r="I125" s="110">
        <v>0</v>
      </c>
      <c r="J125" s="109">
        <f>SUM(I125+'Draw #2'!J125)</f>
        <v>0</v>
      </c>
      <c r="K125" s="101" t="str">
        <f t="shared" si="3"/>
        <v/>
      </c>
      <c r="L125" s="9"/>
      <c r="M125" s="9"/>
    </row>
    <row r="126" spans="1:13" ht="14.1" customHeight="1">
      <c r="A126" s="4">
        <f>'SCHEDULE OF VALUE WORKSHEET'!A96</f>
        <v>91</v>
      </c>
      <c r="B126" s="142" t="str">
        <f>'SCHEDULE OF VALUE WORKSHEET'!B96</f>
        <v xml:space="preserve">Open Item </v>
      </c>
      <c r="C126" s="143"/>
      <c r="D126" s="104">
        <f>SUM('SCHEDULE OF VALUE WORKSHEET'!E96)</f>
        <v>0</v>
      </c>
      <c r="E126" s="104">
        <f>SUM('Draw #2'!E126:F126)</f>
        <v>0</v>
      </c>
      <c r="F126" s="105">
        <v>0</v>
      </c>
      <c r="G126" s="104">
        <f>SUM('Draw #2'!G126)+F126</f>
        <v>0</v>
      </c>
      <c r="H126" s="109">
        <f t="shared" si="2"/>
        <v>0</v>
      </c>
      <c r="I126" s="110">
        <v>0</v>
      </c>
      <c r="J126" s="109">
        <f>SUM(I126+'Draw #2'!J126)</f>
        <v>0</v>
      </c>
      <c r="K126" s="101" t="str">
        <f t="shared" si="3"/>
        <v/>
      </c>
      <c r="L126" s="9"/>
      <c r="M126" s="9"/>
    </row>
    <row r="127" spans="1:13" ht="14.1" customHeight="1">
      <c r="A127" s="4">
        <f>'SCHEDULE OF VALUE WORKSHEET'!A97</f>
        <v>92</v>
      </c>
      <c r="B127" s="142" t="str">
        <f>'SCHEDULE OF VALUE WORKSHEET'!B97</f>
        <v xml:space="preserve">Open Item </v>
      </c>
      <c r="C127" s="143"/>
      <c r="D127" s="104">
        <f>SUM('SCHEDULE OF VALUE WORKSHEET'!E97)</f>
        <v>0</v>
      </c>
      <c r="E127" s="104">
        <f>SUM('Draw #2'!E127:F127)</f>
        <v>0</v>
      </c>
      <c r="F127" s="105">
        <v>0</v>
      </c>
      <c r="G127" s="104">
        <f>SUM('Draw #2'!G127)+F127</f>
        <v>0</v>
      </c>
      <c r="H127" s="109">
        <f t="shared" si="2"/>
        <v>0</v>
      </c>
      <c r="I127" s="110">
        <v>0</v>
      </c>
      <c r="J127" s="109">
        <f>SUM(I127+'Draw #2'!J127)</f>
        <v>0</v>
      </c>
      <c r="K127" s="101" t="str">
        <f t="shared" si="3"/>
        <v/>
      </c>
      <c r="L127" s="9"/>
      <c r="M127" s="9"/>
    </row>
    <row r="128" spans="1:13" ht="14.1" customHeight="1">
      <c r="A128" s="4">
        <f>'SCHEDULE OF VALUE WORKSHEET'!A98</f>
        <v>93</v>
      </c>
      <c r="B128" s="142" t="str">
        <f>'SCHEDULE OF VALUE WORKSHEET'!B98</f>
        <v xml:space="preserve">Open Item </v>
      </c>
      <c r="C128" s="143"/>
      <c r="D128" s="104">
        <f>SUM('SCHEDULE OF VALUE WORKSHEET'!E98)</f>
        <v>0</v>
      </c>
      <c r="E128" s="104">
        <f>SUM('Draw #2'!E128:F128)</f>
        <v>0</v>
      </c>
      <c r="F128" s="105">
        <v>0</v>
      </c>
      <c r="G128" s="104">
        <f>SUM('Draw #2'!G128)+F128</f>
        <v>0</v>
      </c>
      <c r="H128" s="109">
        <f t="shared" si="2"/>
        <v>0</v>
      </c>
      <c r="I128" s="110">
        <v>0</v>
      </c>
      <c r="J128" s="109">
        <f>SUM(I128+'Draw #2'!J128)</f>
        <v>0</v>
      </c>
      <c r="K128" s="101" t="str">
        <f t="shared" si="3"/>
        <v/>
      </c>
      <c r="L128" s="9"/>
      <c r="M128" s="9"/>
    </row>
    <row r="129" spans="1:13" ht="14.1" customHeight="1">
      <c r="A129" s="4">
        <f>'SCHEDULE OF VALUE WORKSHEET'!A99</f>
        <v>94</v>
      </c>
      <c r="B129" s="142" t="str">
        <f>'SCHEDULE OF VALUE WORKSHEET'!B99</f>
        <v xml:space="preserve">Open Item </v>
      </c>
      <c r="C129" s="143"/>
      <c r="D129" s="104">
        <f>SUM('SCHEDULE OF VALUE WORKSHEET'!E99)</f>
        <v>0</v>
      </c>
      <c r="E129" s="104">
        <f>SUM('Draw #2'!E129:F129)</f>
        <v>0</v>
      </c>
      <c r="F129" s="105">
        <v>0</v>
      </c>
      <c r="G129" s="104">
        <f>SUM('Draw #2'!G129)+F129</f>
        <v>0</v>
      </c>
      <c r="H129" s="109">
        <f t="shared" si="2"/>
        <v>0</v>
      </c>
      <c r="I129" s="110">
        <v>0</v>
      </c>
      <c r="J129" s="109">
        <f>SUM(I129+'Draw #2'!J129)</f>
        <v>0</v>
      </c>
      <c r="K129" s="101" t="str">
        <f t="shared" si="3"/>
        <v/>
      </c>
      <c r="L129" s="9"/>
      <c r="M129" s="9"/>
    </row>
    <row r="130" spans="1:13" ht="14.1" customHeight="1">
      <c r="A130" s="4">
        <f>'SCHEDULE OF VALUE WORKSHEET'!A100</f>
        <v>95</v>
      </c>
      <c r="B130" s="142" t="str">
        <f>'SCHEDULE OF VALUE WORKSHEET'!B100</f>
        <v xml:space="preserve">Open Item </v>
      </c>
      <c r="C130" s="143"/>
      <c r="D130" s="104">
        <f>SUM('SCHEDULE OF VALUE WORKSHEET'!E100)</f>
        <v>0</v>
      </c>
      <c r="E130" s="104">
        <f>SUM('Draw #2'!E130:F130)</f>
        <v>0</v>
      </c>
      <c r="F130" s="105">
        <v>0</v>
      </c>
      <c r="G130" s="104">
        <f>SUM('Draw #2'!G130)+F130</f>
        <v>0</v>
      </c>
      <c r="H130" s="109">
        <f t="shared" si="2"/>
        <v>0</v>
      </c>
      <c r="I130" s="110">
        <v>0</v>
      </c>
      <c r="J130" s="109">
        <f>SUM(I130+'Draw #2'!J130)</f>
        <v>0</v>
      </c>
      <c r="K130" s="101" t="str">
        <f t="shared" si="3"/>
        <v/>
      </c>
      <c r="L130" s="9"/>
      <c r="M130" s="9"/>
    </row>
    <row r="131" spans="1:13" ht="14.1" customHeight="1">
      <c r="A131" s="4">
        <f>'SCHEDULE OF VALUE WORKSHEET'!A101</f>
        <v>96</v>
      </c>
      <c r="B131" s="142" t="str">
        <f>'SCHEDULE OF VALUE WORKSHEET'!B101</f>
        <v xml:space="preserve">Open Item </v>
      </c>
      <c r="C131" s="143"/>
      <c r="D131" s="104">
        <f>SUM('SCHEDULE OF VALUE WORKSHEET'!E101)</f>
        <v>0</v>
      </c>
      <c r="E131" s="104">
        <f>SUM('Draw #2'!E131:F131)</f>
        <v>0</v>
      </c>
      <c r="F131" s="105">
        <v>0</v>
      </c>
      <c r="G131" s="104">
        <f>SUM('Draw #2'!G131)+F131</f>
        <v>0</v>
      </c>
      <c r="H131" s="109">
        <f t="shared" si="2"/>
        <v>0</v>
      </c>
      <c r="I131" s="110">
        <v>0</v>
      </c>
      <c r="J131" s="109">
        <f>SUM(I131+'Draw #2'!J131)</f>
        <v>0</v>
      </c>
      <c r="K131" s="101" t="str">
        <f t="shared" si="3"/>
        <v/>
      </c>
      <c r="L131" s="9"/>
      <c r="M131" s="9"/>
    </row>
    <row r="132" spans="1:13" ht="14.1" customHeight="1">
      <c r="A132" s="4">
        <f>'SCHEDULE OF VALUE WORKSHEET'!A102</f>
        <v>97</v>
      </c>
      <c r="B132" s="142" t="str">
        <f>'SCHEDULE OF VALUE WORKSHEET'!B102</f>
        <v xml:space="preserve">Open Item </v>
      </c>
      <c r="C132" s="143"/>
      <c r="D132" s="104">
        <f>SUM('SCHEDULE OF VALUE WORKSHEET'!E102)</f>
        <v>0</v>
      </c>
      <c r="E132" s="104">
        <f>SUM('Draw #2'!E132:F132)</f>
        <v>0</v>
      </c>
      <c r="F132" s="105">
        <v>0</v>
      </c>
      <c r="G132" s="104">
        <f>SUM('Draw #2'!G132)+F132</f>
        <v>0</v>
      </c>
      <c r="H132" s="109">
        <f t="shared" si="2"/>
        <v>0</v>
      </c>
      <c r="I132" s="110">
        <v>0</v>
      </c>
      <c r="J132" s="109">
        <f>SUM(I132+'Draw #2'!J132)</f>
        <v>0</v>
      </c>
      <c r="K132" s="101" t="str">
        <f t="shared" si="3"/>
        <v/>
      </c>
      <c r="L132" s="9"/>
      <c r="M132" s="9"/>
    </row>
    <row r="133" spans="1:13" ht="14.1" customHeight="1">
      <c r="A133" s="4">
        <f>'SCHEDULE OF VALUE WORKSHEET'!A103</f>
        <v>98</v>
      </c>
      <c r="B133" s="142" t="str">
        <f>'SCHEDULE OF VALUE WORKSHEET'!B103</f>
        <v xml:space="preserve">Open Item </v>
      </c>
      <c r="C133" s="143"/>
      <c r="D133" s="104">
        <f>SUM('SCHEDULE OF VALUE WORKSHEET'!E103)</f>
        <v>0</v>
      </c>
      <c r="E133" s="104">
        <f>SUM('Draw #2'!E133:F133)</f>
        <v>0</v>
      </c>
      <c r="F133" s="105">
        <v>0</v>
      </c>
      <c r="G133" s="104">
        <f>SUM('Draw #2'!G133)+F133</f>
        <v>0</v>
      </c>
      <c r="H133" s="109">
        <f t="shared" si="2"/>
        <v>0</v>
      </c>
      <c r="I133" s="110">
        <v>0</v>
      </c>
      <c r="J133" s="109">
        <f>SUM(I133+'Draw #2'!J133)</f>
        <v>0</v>
      </c>
      <c r="K133" s="101" t="str">
        <f t="shared" si="3"/>
        <v/>
      </c>
      <c r="L133" s="9"/>
      <c r="M133" s="9"/>
    </row>
    <row r="134" spans="1:13" ht="14.1" customHeight="1">
      <c r="A134" s="4">
        <f>'SCHEDULE OF VALUE WORKSHEET'!A104</f>
        <v>99</v>
      </c>
      <c r="B134" s="142" t="str">
        <f>'SCHEDULE OF VALUE WORKSHEET'!B104</f>
        <v xml:space="preserve">Open Item </v>
      </c>
      <c r="C134" s="143"/>
      <c r="D134" s="104">
        <f>SUM('SCHEDULE OF VALUE WORKSHEET'!E104)</f>
        <v>0</v>
      </c>
      <c r="E134" s="104">
        <f>SUM('Draw #2'!E134:F134)</f>
        <v>0</v>
      </c>
      <c r="F134" s="105">
        <v>0</v>
      </c>
      <c r="G134" s="104">
        <f>SUM('Draw #2'!G134)+F134</f>
        <v>0</v>
      </c>
      <c r="H134" s="109">
        <f t="shared" si="2"/>
        <v>0</v>
      </c>
      <c r="I134" s="110">
        <v>0</v>
      </c>
      <c r="J134" s="109">
        <f>SUM(I134+'Draw #2'!J134)</f>
        <v>0</v>
      </c>
      <c r="K134" s="101" t="str">
        <f t="shared" si="3"/>
        <v/>
      </c>
      <c r="L134" s="9"/>
      <c r="M134" s="9"/>
    </row>
    <row r="135" spans="1:13" ht="14.1" customHeight="1">
      <c r="A135" s="4" t="e">
        <f>'SCHEDULE OF VALUE WORKSHEET'!#REF!</f>
        <v>#REF!</v>
      </c>
      <c r="B135" s="142" t="e">
        <f>'SCHEDULE OF VALUE WORKSHEET'!#REF!</f>
        <v>#REF!</v>
      </c>
      <c r="C135" s="143"/>
      <c r="D135" s="104" t="e">
        <f>SUM('SCHEDULE OF VALUE WORKSHEET'!#REF!)</f>
        <v>#REF!</v>
      </c>
      <c r="E135" s="104">
        <f>SUM('Draw #2'!E135:F135)</f>
        <v>0</v>
      </c>
      <c r="F135" s="105">
        <v>0</v>
      </c>
      <c r="G135" s="104" t="e">
        <f>SUM('Draw #2'!G135)+F135</f>
        <v>#REF!</v>
      </c>
      <c r="H135" s="109" t="e">
        <f t="shared" si="2"/>
        <v>#REF!</v>
      </c>
      <c r="I135" s="110">
        <v>0</v>
      </c>
      <c r="J135" s="109">
        <f>SUM(I135+'Draw #2'!J135)</f>
        <v>0</v>
      </c>
      <c r="K135" s="101" t="str">
        <f t="shared" si="3"/>
        <v/>
      </c>
      <c r="L135" s="9"/>
      <c r="M135" s="9"/>
    </row>
    <row r="136" spans="1:13" ht="14.1" customHeight="1">
      <c r="A136" s="165"/>
      <c r="B136" s="166"/>
      <c r="C136" s="166"/>
      <c r="D136" s="166"/>
      <c r="E136" s="166"/>
      <c r="F136" s="166"/>
      <c r="G136" s="166"/>
      <c r="H136" s="166"/>
      <c r="I136" s="166"/>
      <c r="J136" s="166"/>
      <c r="K136" s="167"/>
      <c r="L136" s="10"/>
      <c r="M136" s="10"/>
    </row>
    <row r="137" spans="1:13" ht="18.75" customHeight="1">
      <c r="A137" s="7"/>
      <c r="B137" s="168" t="s">
        <v>2</v>
      </c>
      <c r="C137" s="168"/>
      <c r="D137" s="25" t="e">
        <f t="shared" ref="D137:J137" si="4">SUM(D10:D135)</f>
        <v>#REF!</v>
      </c>
      <c r="E137" s="25">
        <f t="shared" si="4"/>
        <v>0</v>
      </c>
      <c r="F137" s="25">
        <f t="shared" si="4"/>
        <v>0</v>
      </c>
      <c r="G137" s="25" t="e">
        <f t="shared" si="4"/>
        <v>#REF!</v>
      </c>
      <c r="H137" s="25" t="e">
        <f t="shared" si="4"/>
        <v>#REF!</v>
      </c>
      <c r="I137" s="25">
        <f t="shared" si="4"/>
        <v>0</v>
      </c>
      <c r="J137" s="25">
        <f t="shared" si="4"/>
        <v>0</v>
      </c>
      <c r="K137" s="17"/>
      <c r="L137" s="11"/>
      <c r="M137" s="11"/>
    </row>
    <row r="138" spans="1:13" ht="14.1" customHeight="1">
      <c r="A138" s="2"/>
      <c r="B138" s="2"/>
      <c r="C138" s="2"/>
      <c r="D138" s="2"/>
      <c r="E138" s="2"/>
      <c r="F138" s="2"/>
      <c r="G138" s="2"/>
    </row>
    <row r="139" spans="1:13" ht="14.1" customHeight="1">
      <c r="G139" s="2"/>
      <c r="H139" s="140"/>
      <c r="I139" s="140"/>
      <c r="J139" s="140"/>
    </row>
    <row r="140" spans="1:13" ht="14.1" customHeight="1">
      <c r="G140" s="2"/>
    </row>
    <row r="141" spans="1:13" ht="14.1" customHeight="1">
      <c r="G141" s="2"/>
      <c r="H141" s="8"/>
    </row>
    <row r="142" spans="1:13" ht="14.1" customHeight="1">
      <c r="G142" s="2"/>
      <c r="H142" s="8"/>
    </row>
    <row r="143" spans="1:13" ht="14.1" customHeight="1">
      <c r="G143" s="2"/>
    </row>
    <row r="144" spans="1:13" ht="14.1" customHeight="1">
      <c r="G144" s="2"/>
    </row>
    <row r="145" spans="7:7" ht="14.1" customHeight="1">
      <c r="G145" s="2"/>
    </row>
    <row r="146" spans="7:7" ht="14.1" customHeight="1">
      <c r="G146" s="2"/>
    </row>
    <row r="147" spans="7:7" ht="14.1" customHeight="1">
      <c r="G147" s="2"/>
    </row>
    <row r="148" spans="7:7" ht="14.1" customHeight="1">
      <c r="G148" s="3"/>
    </row>
  </sheetData>
  <sheetProtection algorithmName="SHA-512" hashValue="A5h6tunS5Hjmyfx+U75KuK+euOeVUGVYDt/CAiTulSpWpO2iQWnEilglNlJPmBfH2hA/uRChuNvJFADCTadJKg==" saltValue="yrEuIjbayXDGoGzXbNySqg==" spinCount="100000" sheet="1" selectLockedCells="1"/>
  <mergeCells count="136">
    <mergeCell ref="A1:K2"/>
    <mergeCell ref="B47:C47"/>
    <mergeCell ref="B48:C48"/>
    <mergeCell ref="B49:C49"/>
    <mergeCell ref="B50:C50"/>
    <mergeCell ref="B8:C9"/>
    <mergeCell ref="D8:D9"/>
    <mergeCell ref="G8:G9"/>
    <mergeCell ref="J8:K8"/>
    <mergeCell ref="J9:K9"/>
    <mergeCell ref="F8:F9"/>
    <mergeCell ref="B10:C10"/>
    <mergeCell ref="B11:C11"/>
    <mergeCell ref="B12:C12"/>
    <mergeCell ref="B13:C13"/>
    <mergeCell ref="B26:C26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4:C34"/>
    <mergeCell ref="B35:C35"/>
    <mergeCell ref="B32:C32"/>
    <mergeCell ref="B33:C33"/>
    <mergeCell ref="B27:C27"/>
    <mergeCell ref="B36:C36"/>
    <mergeCell ref="B37:C37"/>
    <mergeCell ref="B46:C46"/>
    <mergeCell ref="A136:K136"/>
    <mergeCell ref="B38:C38"/>
    <mergeCell ref="B39:C39"/>
    <mergeCell ref="B51:C51"/>
    <mergeCell ref="B52:C52"/>
    <mergeCell ref="B53:C53"/>
    <mergeCell ref="B54:C54"/>
    <mergeCell ref="B130:C130"/>
    <mergeCell ref="B112:C112"/>
    <mergeCell ref="B113:C113"/>
    <mergeCell ref="B114:C114"/>
    <mergeCell ref="B115:C115"/>
    <mergeCell ref="B116:C116"/>
    <mergeCell ref="B117:C117"/>
    <mergeCell ref="B123:C123"/>
    <mergeCell ref="B124:C124"/>
    <mergeCell ref="B131:C131"/>
    <mergeCell ref="B132:C132"/>
    <mergeCell ref="B133:C133"/>
    <mergeCell ref="B134:C134"/>
    <mergeCell ref="B135:C135"/>
    <mergeCell ref="B137:C137"/>
    <mergeCell ref="H139:J139"/>
    <mergeCell ref="B40:C40"/>
    <mergeCell ref="B41:C41"/>
    <mergeCell ref="B42:C42"/>
    <mergeCell ref="B43:C43"/>
    <mergeCell ref="B44:C44"/>
    <mergeCell ref="B45:C45"/>
    <mergeCell ref="B55:C55"/>
    <mergeCell ref="B56:C56"/>
    <mergeCell ref="B125:C125"/>
    <mergeCell ref="B126:C126"/>
    <mergeCell ref="B127:C127"/>
    <mergeCell ref="B128:C128"/>
    <mergeCell ref="B129:C129"/>
    <mergeCell ref="B63:C63"/>
    <mergeCell ref="B64:C64"/>
    <mergeCell ref="B65:C65"/>
    <mergeCell ref="B66:C66"/>
    <mergeCell ref="B67:C67"/>
    <mergeCell ref="B68:C68"/>
    <mergeCell ref="B57:C57"/>
    <mergeCell ref="B58:C58"/>
    <mergeCell ref="B59:C59"/>
    <mergeCell ref="B60:C60"/>
    <mergeCell ref="B61:C61"/>
    <mergeCell ref="B62:C62"/>
    <mergeCell ref="B75:C75"/>
    <mergeCell ref="B76:C76"/>
    <mergeCell ref="B77:C77"/>
    <mergeCell ref="B78:C78"/>
    <mergeCell ref="B79:C79"/>
    <mergeCell ref="B80:C80"/>
    <mergeCell ref="B69:C69"/>
    <mergeCell ref="B70:C70"/>
    <mergeCell ref="B71:C71"/>
    <mergeCell ref="B72:C72"/>
    <mergeCell ref="B73:C73"/>
    <mergeCell ref="B74:C74"/>
    <mergeCell ref="B87:C87"/>
    <mergeCell ref="B88:C88"/>
    <mergeCell ref="B89:C89"/>
    <mergeCell ref="B90:C90"/>
    <mergeCell ref="B91:C91"/>
    <mergeCell ref="B92:C92"/>
    <mergeCell ref="B81:C81"/>
    <mergeCell ref="B82:C82"/>
    <mergeCell ref="B83:C83"/>
    <mergeCell ref="B84:C84"/>
    <mergeCell ref="B85:C85"/>
    <mergeCell ref="B86:C86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1:C111"/>
    <mergeCell ref="B118:C118"/>
    <mergeCell ref="B119:C119"/>
    <mergeCell ref="B120:C120"/>
    <mergeCell ref="B121:C121"/>
    <mergeCell ref="B122:C122"/>
    <mergeCell ref="B105:C105"/>
    <mergeCell ref="B106:C106"/>
    <mergeCell ref="B107:C107"/>
    <mergeCell ref="B108:C108"/>
    <mergeCell ref="B109:C109"/>
    <mergeCell ref="B110:C110"/>
  </mergeCells>
  <conditionalFormatting sqref="B10:E135">
    <cfRule type="expression" dxfId="76" priority="3" stopIfTrue="1">
      <formula>$I10&gt;0</formula>
    </cfRule>
    <cfRule type="expression" dxfId="75" priority="4" stopIfTrue="1">
      <formula>$K10=100%</formula>
    </cfRule>
  </conditionalFormatting>
  <conditionalFormatting sqref="D10:E135">
    <cfRule type="expression" dxfId="74" priority="1" stopIfTrue="1">
      <formula>$K10=""</formula>
    </cfRule>
    <cfRule type="expression" dxfId="73" priority="2" stopIfTrue="1">
      <formula>$K10&gt;100%</formula>
    </cfRule>
  </conditionalFormatting>
  <conditionalFormatting sqref="F10:K135">
    <cfRule type="expression" dxfId="72" priority="6" stopIfTrue="1">
      <formula>$K10=""</formula>
    </cfRule>
    <cfRule type="expression" dxfId="71" priority="7" stopIfTrue="1">
      <formula>$K10&gt;100%</formula>
    </cfRule>
    <cfRule type="expression" dxfId="70" priority="8" stopIfTrue="1">
      <formula>$I10&gt;0</formula>
    </cfRule>
    <cfRule type="expression" dxfId="69" priority="9" stopIfTrue="1">
      <formula>$K10=100%</formula>
    </cfRule>
  </conditionalFormatting>
  <conditionalFormatting sqref="G10:G135">
    <cfRule type="cellIs" dxfId="68" priority="5" stopIfTrue="1" operator="lessThan">
      <formula>0</formula>
    </cfRule>
  </conditionalFormatting>
  <pageMargins left="0.7" right="0.7" top="0.75" bottom="0.75" header="0.3" footer="0.3"/>
  <pageSetup scale="78" orientation="portrait" verticalDpi="1200" r:id="rId1"/>
  <colBreaks count="1" manualBreakCount="1">
    <brk id="11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8"/>
  <sheetViews>
    <sheetView showGridLines="0" topLeftCell="A55" zoomScale="90" zoomScaleNormal="90" zoomScaleSheetLayoutView="99" workbookViewId="0">
      <selection activeCell="F96" sqref="F96"/>
    </sheetView>
  </sheetViews>
  <sheetFormatPr defaultColWidth="6.59765625" defaultRowHeight="15.75"/>
  <cols>
    <col min="1" max="1" width="4.8984375" style="1" customWidth="1"/>
    <col min="2" max="2" width="5.69921875" style="1" customWidth="1"/>
    <col min="3" max="3" width="15.19921875" style="1" customWidth="1"/>
    <col min="4" max="5" width="10.59765625" style="1" customWidth="1"/>
    <col min="6" max="9" width="10.69921875" style="1" customWidth="1"/>
    <col min="10" max="10" width="10.59765625" style="1" customWidth="1"/>
    <col min="11" max="11" width="5.09765625" style="18" customWidth="1"/>
    <col min="12" max="13" width="4.69921875" style="1" customWidth="1"/>
    <col min="14" max="16384" width="6.59765625" style="1"/>
  </cols>
  <sheetData>
    <row r="1" spans="1:13">
      <c r="A1" s="171" t="s">
        <v>18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</row>
    <row r="2" spans="1:13">
      <c r="A2" s="174"/>
      <c r="B2" s="153"/>
      <c r="C2" s="153"/>
      <c r="D2" s="153"/>
      <c r="E2" s="153"/>
      <c r="F2" s="153"/>
      <c r="G2" s="153"/>
      <c r="H2" s="153"/>
      <c r="I2" s="153"/>
      <c r="J2" s="153"/>
      <c r="K2" s="175"/>
    </row>
    <row r="3" spans="1:13">
      <c r="A3" s="74"/>
      <c r="B3" s="13" t="s">
        <v>7</v>
      </c>
      <c r="C3" s="35" t="str">
        <f>'SCHEDULE OF VALUE WORKSHEET'!$B$3</f>
        <v>Angeleno Investments</v>
      </c>
      <c r="F3" s="6"/>
      <c r="G3" s="28"/>
      <c r="H3" s="55"/>
      <c r="I3" s="41" t="s">
        <v>5</v>
      </c>
      <c r="J3" s="38">
        <f>SUM(J137)</f>
        <v>0</v>
      </c>
      <c r="K3" s="80" t="e">
        <f>SUM(J3)/J7</f>
        <v>#REF!</v>
      </c>
    </row>
    <row r="4" spans="1:13" ht="16.350000000000001" customHeight="1">
      <c r="A4" s="74"/>
      <c r="B4" s="34" t="s">
        <v>0</v>
      </c>
      <c r="C4" s="36">
        <f ca="1">TODAY()</f>
        <v>45978</v>
      </c>
      <c r="D4" s="36"/>
      <c r="E4" s="36"/>
      <c r="F4" s="15"/>
      <c r="G4" s="3"/>
      <c r="H4" s="75"/>
      <c r="I4" s="41" t="s">
        <v>13</v>
      </c>
      <c r="J4" s="38" t="e">
        <f>SUM(H137)</f>
        <v>#REF!</v>
      </c>
      <c r="K4" s="80"/>
    </row>
    <row r="5" spans="1:13">
      <c r="A5" s="74"/>
      <c r="B5" s="34" t="s">
        <v>6</v>
      </c>
      <c r="C5" s="37" t="str">
        <f>'SCHEDULE OF VALUE WORKSHEET'!B5</f>
        <v>10910 Huston Street</v>
      </c>
      <c r="F5" s="56"/>
      <c r="G5" s="57"/>
      <c r="H5" s="75"/>
      <c r="I5" s="41" t="s">
        <v>14</v>
      </c>
      <c r="J5" s="38" t="e">
        <f>SUM(D137)</f>
        <v>#REF!</v>
      </c>
      <c r="K5" s="80"/>
    </row>
    <row r="6" spans="1:13">
      <c r="A6" s="74"/>
      <c r="B6" s="34" t="s">
        <v>20</v>
      </c>
      <c r="C6" s="48">
        <f>SUM(I137)</f>
        <v>0</v>
      </c>
      <c r="D6" s="6"/>
      <c r="E6" s="6"/>
      <c r="F6" s="6"/>
      <c r="G6" s="57"/>
      <c r="H6" s="75"/>
      <c r="I6" s="42" t="s">
        <v>17</v>
      </c>
      <c r="J6" s="38">
        <f>SUM(F137)</f>
        <v>0</v>
      </c>
      <c r="K6" s="80"/>
    </row>
    <row r="7" spans="1:13">
      <c r="A7" s="78"/>
      <c r="G7" s="28"/>
      <c r="H7" s="20"/>
      <c r="I7" s="34" t="s">
        <v>15</v>
      </c>
      <c r="J7" s="29" t="e">
        <f>SUM(G137)</f>
        <v>#REF!</v>
      </c>
      <c r="K7" s="80"/>
    </row>
    <row r="8" spans="1:13">
      <c r="A8" s="19"/>
      <c r="B8" s="169" t="s">
        <v>1</v>
      </c>
      <c r="C8" s="170"/>
      <c r="D8" s="177" t="s">
        <v>8</v>
      </c>
      <c r="E8" s="102" t="s">
        <v>24</v>
      </c>
      <c r="F8" s="176" t="s">
        <v>26</v>
      </c>
      <c r="G8" s="177" t="s">
        <v>9</v>
      </c>
      <c r="H8" s="30" t="s">
        <v>10</v>
      </c>
      <c r="I8" s="31" t="s">
        <v>12</v>
      </c>
      <c r="J8" s="178" t="s">
        <v>3</v>
      </c>
      <c r="K8" s="179"/>
      <c r="L8" s="12"/>
      <c r="M8" s="12"/>
    </row>
    <row r="9" spans="1:13" ht="14.1" customHeight="1">
      <c r="A9" s="19"/>
      <c r="B9" s="146"/>
      <c r="C9" s="147"/>
      <c r="D9" s="162"/>
      <c r="E9" s="103" t="s">
        <v>25</v>
      </c>
      <c r="F9" s="164"/>
      <c r="G9" s="162"/>
      <c r="H9" s="32" t="s">
        <v>22</v>
      </c>
      <c r="I9" s="33">
        <v>4</v>
      </c>
      <c r="J9" s="180" t="s">
        <v>4</v>
      </c>
      <c r="K9" s="181"/>
      <c r="L9" s="12"/>
      <c r="M9" s="12"/>
    </row>
    <row r="10" spans="1:13" ht="14.1" customHeight="1">
      <c r="A10" s="4">
        <f>'SCHEDULE OF VALUE WORKSHEET'!A7</f>
        <v>1</v>
      </c>
      <c r="B10" s="142" t="str">
        <f>'SCHEDULE OF VALUE WORKSHEET'!B7</f>
        <v>SOFT COSTS</v>
      </c>
      <c r="C10" s="143"/>
      <c r="D10" s="104">
        <f>SUM('SCHEDULE OF VALUE WORKSHEET'!E7)</f>
        <v>0</v>
      </c>
      <c r="E10" s="104">
        <f>SUM('Draw #3'!E10:F10)</f>
        <v>0</v>
      </c>
      <c r="F10" s="105">
        <v>0</v>
      </c>
      <c r="G10" s="104">
        <f>SUM('Draw #3'!G10)+'Draw #4'!F10</f>
        <v>0</v>
      </c>
      <c r="H10" s="109">
        <f>SUM(G10-J10)</f>
        <v>0</v>
      </c>
      <c r="I10" s="110">
        <v>0</v>
      </c>
      <c r="J10" s="109">
        <f>SUM(I10+'Draw #3'!J10)</f>
        <v>0</v>
      </c>
      <c r="K10" s="101" t="str">
        <f>IF(J10=0,"",J10/G10)</f>
        <v/>
      </c>
      <c r="L10" s="9"/>
      <c r="M10" s="9"/>
    </row>
    <row r="11" spans="1:13" ht="14.1" customHeight="1">
      <c r="A11" s="4">
        <f>'SCHEDULE OF VALUE WORKSHEET'!A8</f>
        <v>2</v>
      </c>
      <c r="B11" s="142" t="str">
        <f>'SCHEDULE OF VALUE WORKSHEET'!B8</f>
        <v>Site Security</v>
      </c>
      <c r="C11" s="143"/>
      <c r="D11" s="104">
        <f>SUM('SCHEDULE OF VALUE WORKSHEET'!E8)</f>
        <v>10580.63</v>
      </c>
      <c r="E11" s="104">
        <f>SUM('Draw #3'!E11:F11)</f>
        <v>0</v>
      </c>
      <c r="F11" s="105">
        <v>0</v>
      </c>
      <c r="G11" s="104">
        <f>SUM('Draw #3'!G11)+'Draw #4'!F11</f>
        <v>10580.63</v>
      </c>
      <c r="H11" s="109">
        <f t="shared" ref="H11:H74" si="0">SUM(G11-J11)</f>
        <v>10580.63</v>
      </c>
      <c r="I11" s="110">
        <v>0</v>
      </c>
      <c r="J11" s="109">
        <f>SUM(I11+'Draw #3'!J11)</f>
        <v>0</v>
      </c>
      <c r="K11" s="101" t="str">
        <f t="shared" ref="K11:K74" si="1">IF(J11=0,"",J11/G11)</f>
        <v/>
      </c>
      <c r="L11" s="9"/>
      <c r="M11" s="9"/>
    </row>
    <row r="12" spans="1:13" ht="14.1" customHeight="1">
      <c r="A12" s="4">
        <f>'SCHEDULE OF VALUE WORKSHEET'!A9</f>
        <v>3</v>
      </c>
      <c r="B12" s="142" t="str">
        <f>'SCHEDULE OF VALUE WORKSHEET'!B9</f>
        <v>Soils Inspection</v>
      </c>
      <c r="C12" s="143"/>
      <c r="D12" s="104">
        <f>SUM('SCHEDULE OF VALUE WORKSHEET'!E9)</f>
        <v>0</v>
      </c>
      <c r="E12" s="104">
        <f>SUM('Draw #3'!E12:F12)</f>
        <v>0</v>
      </c>
      <c r="F12" s="105">
        <v>0</v>
      </c>
      <c r="G12" s="104">
        <f>SUM('Draw #3'!G12)+'Draw #4'!F12</f>
        <v>0</v>
      </c>
      <c r="H12" s="109">
        <f t="shared" si="0"/>
        <v>0</v>
      </c>
      <c r="I12" s="110">
        <v>0</v>
      </c>
      <c r="J12" s="109">
        <f>SUM(I12+'Draw #3'!J12)</f>
        <v>0</v>
      </c>
      <c r="K12" s="101" t="str">
        <f t="shared" si="1"/>
        <v/>
      </c>
      <c r="L12" s="9"/>
      <c r="M12" s="9"/>
    </row>
    <row r="13" spans="1:13" ht="14.1" customHeight="1">
      <c r="A13" s="4">
        <f>'SCHEDULE OF VALUE WORKSHEET'!A10</f>
        <v>4</v>
      </c>
      <c r="B13" s="142" t="str">
        <f>'SCHEDULE OF VALUE WORKSHEET'!B10</f>
        <v>Offsites (Transformer)</v>
      </c>
      <c r="C13" s="143"/>
      <c r="D13" s="104">
        <f>SUM('SCHEDULE OF VALUE WORKSHEET'!E10)</f>
        <v>20000</v>
      </c>
      <c r="E13" s="104">
        <f>SUM('Draw #3'!E13:F13)</f>
        <v>0</v>
      </c>
      <c r="F13" s="105">
        <v>0</v>
      </c>
      <c r="G13" s="104">
        <f>SUM('Draw #3'!G13)+'Draw #4'!F13</f>
        <v>20000</v>
      </c>
      <c r="H13" s="109">
        <f t="shared" si="0"/>
        <v>20000</v>
      </c>
      <c r="I13" s="110">
        <v>0</v>
      </c>
      <c r="J13" s="109">
        <f>SUM(I13+'Draw #3'!J13)</f>
        <v>0</v>
      </c>
      <c r="K13" s="101" t="str">
        <f t="shared" si="1"/>
        <v/>
      </c>
      <c r="L13" s="9"/>
      <c r="M13" s="9"/>
    </row>
    <row r="14" spans="1:13" ht="14.1" customHeight="1">
      <c r="A14" s="4">
        <f>'SCHEDULE OF VALUE WORKSHEET'!A11</f>
        <v>5</v>
      </c>
      <c r="B14" s="142" t="str">
        <f>'SCHEDULE OF VALUE WORKSHEET'!B11</f>
        <v>Plan Check Fees</v>
      </c>
      <c r="C14" s="143"/>
      <c r="D14" s="104">
        <f>SUM('SCHEDULE OF VALUE WORKSHEET'!E11)</f>
        <v>0</v>
      </c>
      <c r="E14" s="104">
        <f>SUM('Draw #3'!E14:F14)</f>
        <v>0</v>
      </c>
      <c r="F14" s="105">
        <v>0</v>
      </c>
      <c r="G14" s="104">
        <f>SUM('Draw #3'!G14)+'Draw #4'!F14</f>
        <v>0</v>
      </c>
      <c r="H14" s="109">
        <f t="shared" si="0"/>
        <v>0</v>
      </c>
      <c r="I14" s="110">
        <v>0</v>
      </c>
      <c r="J14" s="109">
        <f>SUM(I14+'Draw #3'!J14)</f>
        <v>0</v>
      </c>
      <c r="K14" s="101" t="str">
        <f t="shared" si="1"/>
        <v/>
      </c>
      <c r="L14" s="9"/>
      <c r="M14" s="9"/>
    </row>
    <row r="15" spans="1:13" ht="14.1" customHeight="1">
      <c r="A15" s="4">
        <f>'SCHEDULE OF VALUE WORKSHEET'!A12</f>
        <v>6</v>
      </c>
      <c r="B15" s="142" t="str">
        <f>'SCHEDULE OF VALUE WORKSHEET'!B12</f>
        <v>Permits</v>
      </c>
      <c r="C15" s="143"/>
      <c r="D15" s="104">
        <f>SUM('SCHEDULE OF VALUE WORKSHEET'!E12)</f>
        <v>0</v>
      </c>
      <c r="E15" s="104">
        <f>SUM('Draw #3'!E15:F15)</f>
        <v>0</v>
      </c>
      <c r="F15" s="105">
        <v>0</v>
      </c>
      <c r="G15" s="104">
        <f>SUM('Draw #3'!G15)+'Draw #4'!F15</f>
        <v>0</v>
      </c>
      <c r="H15" s="109">
        <f t="shared" si="0"/>
        <v>0</v>
      </c>
      <c r="I15" s="110">
        <v>0</v>
      </c>
      <c r="J15" s="109">
        <f>SUM(I15+'Draw #3'!J15)</f>
        <v>0</v>
      </c>
      <c r="K15" s="101" t="str">
        <f t="shared" si="1"/>
        <v/>
      </c>
      <c r="L15" s="9"/>
      <c r="M15" s="9"/>
    </row>
    <row r="16" spans="1:13" ht="14.1" customHeight="1">
      <c r="A16" s="4">
        <f>'SCHEDULE OF VALUE WORKSHEET'!A13</f>
        <v>7</v>
      </c>
      <c r="B16" s="142" t="str">
        <f>'SCHEDULE OF VALUE WORKSHEET'!B13</f>
        <v>Survey</v>
      </c>
      <c r="C16" s="143"/>
      <c r="D16" s="104">
        <f>SUM('SCHEDULE OF VALUE WORKSHEET'!E13)</f>
        <v>0</v>
      </c>
      <c r="E16" s="104">
        <f>SUM('Draw #3'!E16:F16)</f>
        <v>0</v>
      </c>
      <c r="F16" s="105">
        <v>0</v>
      </c>
      <c r="G16" s="104">
        <f>SUM('Draw #3'!G16)+'Draw #4'!F16</f>
        <v>0</v>
      </c>
      <c r="H16" s="109">
        <f t="shared" si="0"/>
        <v>0</v>
      </c>
      <c r="I16" s="110">
        <v>0</v>
      </c>
      <c r="J16" s="109">
        <f>SUM(I16+'Draw #3'!J16)</f>
        <v>0</v>
      </c>
      <c r="K16" s="101" t="str">
        <f t="shared" si="1"/>
        <v/>
      </c>
      <c r="L16" s="9"/>
      <c r="M16" s="9"/>
    </row>
    <row r="17" spans="1:13" ht="14.1" customHeight="1">
      <c r="A17" s="4">
        <f>'SCHEDULE OF VALUE WORKSHEET'!A14</f>
        <v>8</v>
      </c>
      <c r="B17" s="142" t="str">
        <f>'SCHEDULE OF VALUE WORKSHEET'!B14</f>
        <v>Soils Engineer</v>
      </c>
      <c r="C17" s="143"/>
      <c r="D17" s="104">
        <f>SUM('SCHEDULE OF VALUE WORKSHEET'!E14)</f>
        <v>0</v>
      </c>
      <c r="E17" s="104">
        <f>SUM('Draw #3'!E17:F17)</f>
        <v>0</v>
      </c>
      <c r="F17" s="105">
        <v>0</v>
      </c>
      <c r="G17" s="104">
        <f>SUM('Draw #3'!G17)+'Draw #4'!F17</f>
        <v>0</v>
      </c>
      <c r="H17" s="109">
        <f t="shared" si="0"/>
        <v>0</v>
      </c>
      <c r="I17" s="110">
        <v>0</v>
      </c>
      <c r="J17" s="109">
        <f>SUM(I17+'Draw #3'!J17)</f>
        <v>0</v>
      </c>
      <c r="K17" s="101" t="str">
        <f t="shared" si="1"/>
        <v/>
      </c>
      <c r="L17" s="9"/>
      <c r="M17" s="9"/>
    </row>
    <row r="18" spans="1:13" ht="14.1" customHeight="1">
      <c r="A18" s="4">
        <f>'SCHEDULE OF VALUE WORKSHEET'!A15</f>
        <v>9</v>
      </c>
      <c r="B18" s="142" t="str">
        <f>'SCHEDULE OF VALUE WORKSHEET'!B15</f>
        <v>Soils Permit + T24</v>
      </c>
      <c r="C18" s="143"/>
      <c r="D18" s="104">
        <f>SUM('SCHEDULE OF VALUE WORKSHEET'!E15)</f>
        <v>2500</v>
      </c>
      <c r="E18" s="104">
        <f>SUM('Draw #3'!E18:F18)</f>
        <v>0</v>
      </c>
      <c r="F18" s="105">
        <v>0</v>
      </c>
      <c r="G18" s="104">
        <f>SUM('Draw #3'!G18)+'Draw #4'!F18</f>
        <v>2500</v>
      </c>
      <c r="H18" s="109">
        <f t="shared" si="0"/>
        <v>2500</v>
      </c>
      <c r="I18" s="110">
        <v>0</v>
      </c>
      <c r="J18" s="109">
        <f>SUM(I18+'Draw #3'!J18)</f>
        <v>0</v>
      </c>
      <c r="K18" s="101" t="str">
        <f t="shared" si="1"/>
        <v/>
      </c>
      <c r="L18" s="9"/>
      <c r="M18" s="9"/>
    </row>
    <row r="19" spans="1:13" ht="14.1" customHeight="1">
      <c r="A19" s="4">
        <f>'SCHEDULE OF VALUE WORKSHEET'!A16</f>
        <v>10</v>
      </c>
      <c r="B19" s="142" t="str">
        <f>'SCHEDULE OF VALUE WORKSHEET'!B16</f>
        <v>Special Inspections - Deputy</v>
      </c>
      <c r="C19" s="143"/>
      <c r="D19" s="104">
        <f>SUM('SCHEDULE OF VALUE WORKSHEET'!E16)</f>
        <v>15000</v>
      </c>
      <c r="E19" s="104">
        <f>SUM('Draw #3'!E19:F19)</f>
        <v>0</v>
      </c>
      <c r="F19" s="105">
        <v>0</v>
      </c>
      <c r="G19" s="104">
        <f>SUM('Draw #3'!G19)+'Draw #4'!F19</f>
        <v>15000</v>
      </c>
      <c r="H19" s="109">
        <f t="shared" si="0"/>
        <v>15000</v>
      </c>
      <c r="I19" s="110">
        <v>0</v>
      </c>
      <c r="J19" s="109">
        <f>SUM(I19+'Draw #3'!J19)</f>
        <v>0</v>
      </c>
      <c r="K19" s="101" t="str">
        <f t="shared" si="1"/>
        <v/>
      </c>
      <c r="L19" s="9"/>
      <c r="M19" s="9"/>
    </row>
    <row r="20" spans="1:13" ht="14.1" customHeight="1">
      <c r="A20" s="4">
        <f>'SCHEDULE OF VALUE WORKSHEET'!A17</f>
        <v>11</v>
      </c>
      <c r="B20" s="142" t="str">
        <f>'SCHEDULE OF VALUE WORKSHEET'!B17</f>
        <v>Architect</v>
      </c>
      <c r="C20" s="143"/>
      <c r="D20" s="104">
        <f>SUM('SCHEDULE OF VALUE WORKSHEET'!E17)</f>
        <v>0</v>
      </c>
      <c r="E20" s="104">
        <f>SUM('Draw #3'!E20:F20)</f>
        <v>0</v>
      </c>
      <c r="F20" s="105">
        <v>0</v>
      </c>
      <c r="G20" s="104">
        <f>SUM('Draw #3'!G20)+'Draw #4'!F20</f>
        <v>0</v>
      </c>
      <c r="H20" s="109">
        <f t="shared" si="0"/>
        <v>0</v>
      </c>
      <c r="I20" s="110">
        <v>0</v>
      </c>
      <c r="J20" s="109">
        <f>SUM(I20+'Draw #3'!J20)</f>
        <v>0</v>
      </c>
      <c r="K20" s="101" t="str">
        <f t="shared" si="1"/>
        <v/>
      </c>
      <c r="L20" s="9"/>
      <c r="M20" s="9"/>
    </row>
    <row r="21" spans="1:13" ht="14.1" customHeight="1">
      <c r="A21" s="4">
        <f>'SCHEDULE OF VALUE WORKSHEET'!A18</f>
        <v>12</v>
      </c>
      <c r="B21" s="142" t="str">
        <f>'SCHEDULE OF VALUE WORKSHEET'!B18</f>
        <v>Structural Engineer</v>
      </c>
      <c r="C21" s="143"/>
      <c r="D21" s="104">
        <f>SUM('SCHEDULE OF VALUE WORKSHEET'!E18)</f>
        <v>0</v>
      </c>
      <c r="E21" s="104">
        <f>SUM('Draw #3'!E21:F21)</f>
        <v>0</v>
      </c>
      <c r="F21" s="105">
        <v>0</v>
      </c>
      <c r="G21" s="104">
        <f>SUM('Draw #3'!G21)+'Draw #4'!F21</f>
        <v>0</v>
      </c>
      <c r="H21" s="109">
        <f t="shared" si="0"/>
        <v>0</v>
      </c>
      <c r="I21" s="110">
        <v>0</v>
      </c>
      <c r="J21" s="109">
        <f>SUM(I21+'Draw #3'!J21)</f>
        <v>0</v>
      </c>
      <c r="K21" s="101" t="str">
        <f t="shared" si="1"/>
        <v/>
      </c>
      <c r="L21" s="9"/>
      <c r="M21" s="9"/>
    </row>
    <row r="22" spans="1:13" ht="14.1" customHeight="1">
      <c r="A22" s="4">
        <f>'SCHEDULE OF VALUE WORKSHEET'!A19</f>
        <v>13</v>
      </c>
      <c r="B22" s="142" t="str">
        <f>'SCHEDULE OF VALUE WORKSHEET'!B19</f>
        <v>Structural Observation</v>
      </c>
      <c r="C22" s="143"/>
      <c r="D22" s="104">
        <f>SUM('SCHEDULE OF VALUE WORKSHEET'!E19)</f>
        <v>8000</v>
      </c>
      <c r="E22" s="104">
        <f>SUM('Draw #3'!E22:F22)</f>
        <v>0</v>
      </c>
      <c r="F22" s="105">
        <v>0</v>
      </c>
      <c r="G22" s="104">
        <f>SUM('Draw #3'!G22)+'Draw #4'!F22</f>
        <v>8000</v>
      </c>
      <c r="H22" s="109">
        <f t="shared" si="0"/>
        <v>8000</v>
      </c>
      <c r="I22" s="110">
        <v>0</v>
      </c>
      <c r="J22" s="109">
        <f>SUM(I22+'Draw #3'!J22)</f>
        <v>0</v>
      </c>
      <c r="K22" s="101" t="str">
        <f t="shared" si="1"/>
        <v/>
      </c>
      <c r="L22" s="9"/>
      <c r="M22" s="9"/>
    </row>
    <row r="23" spans="1:13" ht="14.1" customHeight="1">
      <c r="A23" s="4">
        <f>'SCHEDULE OF VALUE WORKSHEET'!A20</f>
        <v>14</v>
      </c>
      <c r="B23" s="142" t="str">
        <f>'SCHEDULE OF VALUE WORKSHEET'!B20</f>
        <v>Civil Engineering</v>
      </c>
      <c r="C23" s="143"/>
      <c r="D23" s="104">
        <f>SUM('SCHEDULE OF VALUE WORKSHEET'!E20)</f>
        <v>0</v>
      </c>
      <c r="E23" s="104">
        <f>SUM('Draw #3'!E23:F23)</f>
        <v>0</v>
      </c>
      <c r="F23" s="105">
        <v>0</v>
      </c>
      <c r="G23" s="104">
        <f>SUM('Draw #3'!G23)+'Draw #4'!F23</f>
        <v>0</v>
      </c>
      <c r="H23" s="109">
        <f t="shared" si="0"/>
        <v>0</v>
      </c>
      <c r="I23" s="110">
        <v>0</v>
      </c>
      <c r="J23" s="109">
        <f>SUM(I23+'Draw #3'!J23)</f>
        <v>0</v>
      </c>
      <c r="K23" s="101" t="str">
        <f t="shared" si="1"/>
        <v/>
      </c>
      <c r="L23" s="9"/>
      <c r="M23" s="9"/>
    </row>
    <row r="24" spans="1:13" ht="14.1" customHeight="1">
      <c r="A24" s="4">
        <f>'SCHEDULE OF VALUE WORKSHEET'!A21</f>
        <v>15</v>
      </c>
      <c r="B24" s="142" t="str">
        <f>'SCHEDULE OF VALUE WORKSHEET'!B21</f>
        <v>Grading Permit</v>
      </c>
      <c r="C24" s="143"/>
      <c r="D24" s="104">
        <f>SUM('SCHEDULE OF VALUE WORKSHEET'!E21)</f>
        <v>0</v>
      </c>
      <c r="E24" s="104">
        <f>SUM('Draw #3'!E24:F24)</f>
        <v>0</v>
      </c>
      <c r="F24" s="105">
        <v>0</v>
      </c>
      <c r="G24" s="104">
        <f>SUM('Draw #3'!G24)+'Draw #4'!F24</f>
        <v>0</v>
      </c>
      <c r="H24" s="109">
        <f t="shared" si="0"/>
        <v>0</v>
      </c>
      <c r="I24" s="110">
        <v>0</v>
      </c>
      <c r="J24" s="109">
        <f>SUM(I24+'Draw #3'!J24)</f>
        <v>0</v>
      </c>
      <c r="K24" s="101" t="str">
        <f t="shared" si="1"/>
        <v/>
      </c>
      <c r="L24" s="9"/>
      <c r="M24" s="9"/>
    </row>
    <row r="25" spans="1:13" ht="14.1" customHeight="1">
      <c r="A25" s="4">
        <f>'SCHEDULE OF VALUE WORKSHEET'!A22</f>
        <v>16</v>
      </c>
      <c r="B25" s="142" t="str">
        <f>'SCHEDULE OF VALUE WORKSHEET'!B22</f>
        <v>Landscape Architect/Designer</v>
      </c>
      <c r="C25" s="143"/>
      <c r="D25" s="104">
        <f>SUM('SCHEDULE OF VALUE WORKSHEET'!E22)</f>
        <v>0</v>
      </c>
      <c r="E25" s="104">
        <f>SUM('Draw #3'!E25:F25)</f>
        <v>0</v>
      </c>
      <c r="F25" s="105">
        <v>0</v>
      </c>
      <c r="G25" s="104">
        <f>SUM('Draw #3'!G25)+'Draw #4'!F25</f>
        <v>0</v>
      </c>
      <c r="H25" s="109">
        <f t="shared" si="0"/>
        <v>0</v>
      </c>
      <c r="I25" s="110">
        <v>0</v>
      </c>
      <c r="J25" s="109">
        <f>SUM(I25+'Draw #3'!J25)</f>
        <v>0</v>
      </c>
      <c r="K25" s="101" t="str">
        <f t="shared" si="1"/>
        <v/>
      </c>
      <c r="L25" s="9"/>
      <c r="M25" s="9"/>
    </row>
    <row r="26" spans="1:13" ht="14.1" customHeight="1">
      <c r="A26" s="4">
        <f>'SCHEDULE OF VALUE WORKSHEET'!A23</f>
        <v>17</v>
      </c>
      <c r="B26" s="142" t="str">
        <f>'SCHEDULE OF VALUE WORKSHEET'!B23</f>
        <v>Driveway Apron Permit</v>
      </c>
      <c r="C26" s="143"/>
      <c r="D26" s="104">
        <f>SUM('SCHEDULE OF VALUE WORKSHEET'!E23)</f>
        <v>2500</v>
      </c>
      <c r="E26" s="104">
        <f>SUM('Draw #3'!E26:F26)</f>
        <v>0</v>
      </c>
      <c r="F26" s="105">
        <v>0</v>
      </c>
      <c r="G26" s="104">
        <f>SUM('Draw #3'!G26)+'Draw #4'!F26</f>
        <v>2500</v>
      </c>
      <c r="H26" s="109">
        <f t="shared" si="0"/>
        <v>2500</v>
      </c>
      <c r="I26" s="110">
        <v>0</v>
      </c>
      <c r="J26" s="109">
        <f>SUM(I26+'Draw #3'!J26)</f>
        <v>0</v>
      </c>
      <c r="K26" s="101" t="str">
        <f t="shared" si="1"/>
        <v/>
      </c>
      <c r="L26" s="9"/>
      <c r="M26" s="9"/>
    </row>
    <row r="27" spans="1:13" ht="14.1" customHeight="1">
      <c r="A27" s="4">
        <f>'SCHEDULE OF VALUE WORKSHEET'!A24</f>
        <v>18</v>
      </c>
      <c r="B27" s="142" t="str">
        <f>'SCHEDULE OF VALUE WORKSHEET'!B24</f>
        <v>Punch List - Misc.</v>
      </c>
      <c r="C27" s="143"/>
      <c r="D27" s="104">
        <f>SUM('SCHEDULE OF VALUE WORKSHEET'!E24)</f>
        <v>21962.77</v>
      </c>
      <c r="E27" s="104">
        <f>SUM('Draw #3'!E27:F27)</f>
        <v>0</v>
      </c>
      <c r="F27" s="105">
        <v>0</v>
      </c>
      <c r="G27" s="104">
        <f>SUM('Draw #3'!G27)+'Draw #4'!F27</f>
        <v>21962.77</v>
      </c>
      <c r="H27" s="109">
        <f t="shared" si="0"/>
        <v>21962.77</v>
      </c>
      <c r="I27" s="110">
        <v>0</v>
      </c>
      <c r="J27" s="109">
        <f>SUM(I27+'Draw #3'!J27)</f>
        <v>0</v>
      </c>
      <c r="K27" s="101" t="str">
        <f t="shared" si="1"/>
        <v/>
      </c>
      <c r="L27" s="9"/>
      <c r="M27" s="9"/>
    </row>
    <row r="28" spans="1:13" ht="14.1" customHeight="1">
      <c r="A28" s="4">
        <f>'SCHEDULE OF VALUE WORKSHEET'!A25</f>
        <v>19</v>
      </c>
      <c r="B28" s="142" t="str">
        <f>'SCHEDULE OF VALUE WORKSHEET'!B25</f>
        <v>EBM, Low Voltage, Landscape, Waterproofing CA</v>
      </c>
      <c r="C28" s="143"/>
      <c r="D28" s="104">
        <f>SUM('SCHEDULE OF VALUE WORKSHEET'!E25)</f>
        <v>0</v>
      </c>
      <c r="E28" s="104">
        <f>SUM('Draw #3'!E28:F28)</f>
        <v>0</v>
      </c>
      <c r="F28" s="105">
        <v>0</v>
      </c>
      <c r="G28" s="104">
        <f>SUM('Draw #3'!G28)+'Draw #4'!F28</f>
        <v>0</v>
      </c>
      <c r="H28" s="109">
        <f t="shared" si="0"/>
        <v>0</v>
      </c>
      <c r="I28" s="110">
        <v>0</v>
      </c>
      <c r="J28" s="109">
        <f>SUM(I28+'Draw #3'!J28)</f>
        <v>0</v>
      </c>
      <c r="K28" s="101" t="str">
        <f t="shared" si="1"/>
        <v/>
      </c>
      <c r="L28" s="9"/>
      <c r="M28" s="9"/>
    </row>
    <row r="29" spans="1:13" ht="14.1" customHeight="1">
      <c r="A29" s="4">
        <f>'SCHEDULE OF VALUE WORKSHEET'!A26</f>
        <v>20</v>
      </c>
      <c r="B29" s="142" t="str">
        <f>'SCHEDULE OF VALUE WORKSHEET'!B26</f>
        <v>Project Accounting/Tax Filing</v>
      </c>
      <c r="C29" s="143"/>
      <c r="D29" s="104">
        <f>SUM('SCHEDULE OF VALUE WORKSHEET'!E26)</f>
        <v>12994.01</v>
      </c>
      <c r="E29" s="104">
        <f>SUM('Draw #3'!E29:F29)</f>
        <v>0</v>
      </c>
      <c r="F29" s="105">
        <v>0</v>
      </c>
      <c r="G29" s="104">
        <f>SUM('Draw #3'!G29)+'Draw #4'!F29</f>
        <v>12994.01</v>
      </c>
      <c r="H29" s="109">
        <f t="shared" si="0"/>
        <v>12994.01</v>
      </c>
      <c r="I29" s="110">
        <v>0</v>
      </c>
      <c r="J29" s="109">
        <f>SUM(I29+'Draw #3'!J29)</f>
        <v>0</v>
      </c>
      <c r="K29" s="101" t="str">
        <f t="shared" si="1"/>
        <v/>
      </c>
      <c r="L29" s="9"/>
      <c r="M29" s="9"/>
    </row>
    <row r="30" spans="1:13" ht="14.1" customHeight="1">
      <c r="A30" s="4">
        <f>'SCHEDULE OF VALUE WORKSHEET'!A27</f>
        <v>21</v>
      </c>
      <c r="B30" s="142" t="str">
        <f>'SCHEDULE OF VALUE WORKSHEET'!B27</f>
        <v>Legal &amp; Professional Fees</v>
      </c>
      <c r="C30" s="143"/>
      <c r="D30" s="104">
        <f>SUM('SCHEDULE OF VALUE WORKSHEET'!E27)</f>
        <v>873.38999999999942</v>
      </c>
      <c r="E30" s="104">
        <f>SUM('Draw #3'!E30:F30)</f>
        <v>0</v>
      </c>
      <c r="F30" s="105">
        <v>0</v>
      </c>
      <c r="G30" s="104">
        <f>SUM('Draw #3'!G30)+'Draw #4'!F30</f>
        <v>873.38999999999942</v>
      </c>
      <c r="H30" s="109">
        <f t="shared" si="0"/>
        <v>873.38999999999942</v>
      </c>
      <c r="I30" s="110">
        <v>0</v>
      </c>
      <c r="J30" s="109">
        <f>SUM(I30+'Draw #3'!J30)</f>
        <v>0</v>
      </c>
      <c r="K30" s="101" t="str">
        <f t="shared" si="1"/>
        <v/>
      </c>
      <c r="L30" s="9"/>
      <c r="M30" s="9"/>
    </row>
    <row r="31" spans="1:13" ht="14.1" customHeight="1">
      <c r="A31" s="4">
        <f>'SCHEDULE OF VALUE WORKSHEET'!A28</f>
        <v>22</v>
      </c>
      <c r="B31" s="142" t="str">
        <f>'SCHEDULE OF VALUE WORKSHEET'!B28</f>
        <v>Sewer CCTV and inspection</v>
      </c>
      <c r="C31" s="143"/>
      <c r="D31" s="104">
        <f>SUM('SCHEDULE OF VALUE WORKSHEET'!E28)</f>
        <v>0</v>
      </c>
      <c r="E31" s="104">
        <f>SUM('Draw #3'!E31:F31)</f>
        <v>0</v>
      </c>
      <c r="F31" s="105">
        <v>0</v>
      </c>
      <c r="G31" s="104">
        <f>SUM('Draw #3'!G31)+'Draw #4'!F31</f>
        <v>0</v>
      </c>
      <c r="H31" s="109">
        <f t="shared" si="0"/>
        <v>0</v>
      </c>
      <c r="I31" s="110">
        <v>0</v>
      </c>
      <c r="J31" s="109">
        <f>SUM(I31+'Draw #3'!J31)</f>
        <v>0</v>
      </c>
      <c r="K31" s="101" t="str">
        <f t="shared" si="1"/>
        <v/>
      </c>
      <c r="L31" s="9"/>
      <c r="M31" s="9"/>
    </row>
    <row r="32" spans="1:13" ht="14.1" customHeight="1">
      <c r="A32" s="4">
        <f>'SCHEDULE OF VALUE WORKSHEET'!A29</f>
        <v>23</v>
      </c>
      <c r="B32" s="142" t="str">
        <f>'SCHEDULE OF VALUE WORKSHEET'!B29</f>
        <v>Environmental Phase I</v>
      </c>
      <c r="C32" s="143"/>
      <c r="D32" s="104">
        <f>SUM('SCHEDULE OF VALUE WORKSHEET'!E29)</f>
        <v>0</v>
      </c>
      <c r="E32" s="104">
        <f>SUM('Draw #3'!E32:F32)</f>
        <v>0</v>
      </c>
      <c r="F32" s="105">
        <v>0</v>
      </c>
      <c r="G32" s="104">
        <f>SUM('Draw #3'!G32)+'Draw #4'!F32</f>
        <v>0</v>
      </c>
      <c r="H32" s="109">
        <f t="shared" si="0"/>
        <v>0</v>
      </c>
      <c r="I32" s="110">
        <v>0</v>
      </c>
      <c r="J32" s="109">
        <f>SUM(I32+'Draw #3'!J32)</f>
        <v>0</v>
      </c>
      <c r="K32" s="101" t="str">
        <f t="shared" si="1"/>
        <v/>
      </c>
      <c r="L32" s="9"/>
      <c r="M32" s="9"/>
    </row>
    <row r="33" spans="1:13" ht="14.1" customHeight="1">
      <c r="A33" s="4">
        <f>'SCHEDULE OF VALUE WORKSHEET'!A30</f>
        <v>24</v>
      </c>
      <c r="B33" s="142" t="str">
        <f>'SCHEDULE OF VALUE WORKSHEET'!B30</f>
        <v>Dry Utility Consultant</v>
      </c>
      <c r="C33" s="143"/>
      <c r="D33" s="104">
        <f>SUM('SCHEDULE OF VALUE WORKSHEET'!E30)</f>
        <v>0</v>
      </c>
      <c r="E33" s="104">
        <f>SUM('Draw #3'!E33:F33)</f>
        <v>0</v>
      </c>
      <c r="F33" s="105">
        <v>0</v>
      </c>
      <c r="G33" s="104">
        <f>SUM('Draw #3'!G33)+'Draw #4'!F33</f>
        <v>0</v>
      </c>
      <c r="H33" s="109">
        <f t="shared" si="0"/>
        <v>0</v>
      </c>
      <c r="I33" s="110">
        <v>0</v>
      </c>
      <c r="J33" s="109">
        <f>SUM(I33+'Draw #3'!J33)</f>
        <v>0</v>
      </c>
      <c r="K33" s="101" t="str">
        <f t="shared" si="1"/>
        <v/>
      </c>
      <c r="L33" s="9"/>
      <c r="M33" s="9"/>
    </row>
    <row r="34" spans="1:13" ht="14.1" customHeight="1">
      <c r="A34" s="4">
        <f>'SCHEDULE OF VALUE WORKSHEET'!A31</f>
        <v>25</v>
      </c>
      <c r="B34" s="142" t="str">
        <f>'SCHEDULE OF VALUE WORKSHEET'!B31</f>
        <v>Dry Utility Survey</v>
      </c>
      <c r="C34" s="143"/>
      <c r="D34" s="104">
        <f>SUM('SCHEDULE OF VALUE WORKSHEET'!E31)</f>
        <v>5000</v>
      </c>
      <c r="E34" s="104">
        <f>SUM('Draw #3'!E34:F34)</f>
        <v>0</v>
      </c>
      <c r="F34" s="105">
        <v>0</v>
      </c>
      <c r="G34" s="104">
        <f>SUM('Draw #3'!G34)+'Draw #4'!F34</f>
        <v>5000</v>
      </c>
      <c r="H34" s="109">
        <f t="shared" si="0"/>
        <v>5000</v>
      </c>
      <c r="I34" s="110">
        <v>0</v>
      </c>
      <c r="J34" s="109">
        <f>SUM(I34+'Draw #3'!J34)</f>
        <v>0</v>
      </c>
      <c r="K34" s="101" t="str">
        <f t="shared" si="1"/>
        <v/>
      </c>
      <c r="L34" s="9"/>
      <c r="M34" s="9"/>
    </row>
    <row r="35" spans="1:13" ht="14.1" customHeight="1">
      <c r="A35" s="4">
        <f>'SCHEDULE OF VALUE WORKSHEET'!A32</f>
        <v>26</v>
      </c>
      <c r="B35" s="142" t="str">
        <f>'SCHEDULE OF VALUE WORKSHEET'!B32</f>
        <v>MEP</v>
      </c>
      <c r="C35" s="143"/>
      <c r="D35" s="104">
        <f>SUM('SCHEDULE OF VALUE WORKSHEET'!E32)</f>
        <v>0</v>
      </c>
      <c r="E35" s="104">
        <f>SUM('Draw #3'!E35:F35)</f>
        <v>0</v>
      </c>
      <c r="F35" s="105">
        <v>0</v>
      </c>
      <c r="G35" s="104">
        <f>SUM('Draw #3'!G35)+'Draw #4'!F35</f>
        <v>0</v>
      </c>
      <c r="H35" s="109">
        <f t="shared" si="0"/>
        <v>0</v>
      </c>
      <c r="I35" s="110">
        <v>0</v>
      </c>
      <c r="J35" s="109">
        <f>SUM(I35+'Draw #3'!J35)</f>
        <v>0</v>
      </c>
      <c r="K35" s="101" t="str">
        <f t="shared" si="1"/>
        <v/>
      </c>
      <c r="L35" s="9"/>
      <c r="M35" s="9"/>
    </row>
    <row r="36" spans="1:13" ht="14.1" customHeight="1">
      <c r="A36" s="4">
        <f>'SCHEDULE OF VALUE WORKSHEET'!A33</f>
        <v>27</v>
      </c>
      <c r="B36" s="142" t="str">
        <f>'SCHEDULE OF VALUE WORKSHEET'!B33</f>
        <v>Civil Construction Administration</v>
      </c>
      <c r="C36" s="143"/>
      <c r="D36" s="104">
        <f>SUM('SCHEDULE OF VALUE WORKSHEET'!E33)</f>
        <v>5000</v>
      </c>
      <c r="E36" s="104">
        <f>SUM('Draw #3'!E36:F36)</f>
        <v>0</v>
      </c>
      <c r="F36" s="105">
        <v>0</v>
      </c>
      <c r="G36" s="104">
        <f>SUM('Draw #3'!G36)+'Draw #4'!F36</f>
        <v>5000</v>
      </c>
      <c r="H36" s="109">
        <f t="shared" si="0"/>
        <v>5000</v>
      </c>
      <c r="I36" s="110">
        <v>0</v>
      </c>
      <c r="J36" s="109">
        <f>SUM(I36+'Draw #3'!J36)</f>
        <v>0</v>
      </c>
      <c r="K36" s="101" t="str">
        <f t="shared" si="1"/>
        <v/>
      </c>
      <c r="L36" s="9"/>
      <c r="M36" s="9"/>
    </row>
    <row r="37" spans="1:13" ht="14.1" customHeight="1">
      <c r="A37" s="4">
        <f>'SCHEDULE OF VALUE WORKSHEET'!A34</f>
        <v>28</v>
      </c>
      <c r="B37" s="142" t="str">
        <f>'SCHEDULE OF VALUE WORKSHEET'!B34</f>
        <v>Permit Clearances &amp; Agency Reviews</v>
      </c>
      <c r="C37" s="143"/>
      <c r="D37" s="104">
        <f>SUM('SCHEDULE OF VALUE WORKSHEET'!E34)</f>
        <v>0</v>
      </c>
      <c r="E37" s="104">
        <f>SUM('Draw #3'!E37:F37)</f>
        <v>0</v>
      </c>
      <c r="F37" s="105">
        <v>0</v>
      </c>
      <c r="G37" s="104">
        <f>SUM('Draw #3'!G37)+'Draw #4'!F37</f>
        <v>0</v>
      </c>
      <c r="H37" s="109">
        <f t="shared" si="0"/>
        <v>0</v>
      </c>
      <c r="I37" s="110">
        <v>0</v>
      </c>
      <c r="J37" s="109">
        <f>SUM(I37+'Draw #3'!J37)</f>
        <v>0</v>
      </c>
      <c r="K37" s="101" t="str">
        <f t="shared" si="1"/>
        <v/>
      </c>
      <c r="L37" s="9"/>
      <c r="M37" s="9"/>
    </row>
    <row r="38" spans="1:13" ht="14.1" customHeight="1">
      <c r="A38" s="4">
        <f>'SCHEDULE OF VALUE WORKSHEET'!A35</f>
        <v>29</v>
      </c>
      <c r="B38" s="142" t="str">
        <f>'SCHEDULE OF VALUE WORKSHEET'!B35</f>
        <v>Demo Permit Fees</v>
      </c>
      <c r="C38" s="143"/>
      <c r="D38" s="104">
        <f>SUM('SCHEDULE OF VALUE WORKSHEET'!E35)</f>
        <v>500</v>
      </c>
      <c r="E38" s="104">
        <f>SUM('Draw #3'!E38:F38)</f>
        <v>0</v>
      </c>
      <c r="F38" s="105">
        <v>0</v>
      </c>
      <c r="G38" s="104">
        <f>SUM('Draw #3'!G38)+'Draw #4'!F38</f>
        <v>500</v>
      </c>
      <c r="H38" s="109">
        <f t="shared" si="0"/>
        <v>500</v>
      </c>
      <c r="I38" s="110">
        <v>0</v>
      </c>
      <c r="J38" s="109">
        <f>SUM(I38+'Draw #3'!J38)</f>
        <v>0</v>
      </c>
      <c r="K38" s="101" t="str">
        <f t="shared" si="1"/>
        <v/>
      </c>
      <c r="L38" s="9"/>
      <c r="M38" s="9"/>
    </row>
    <row r="39" spans="1:13" ht="14.1" customHeight="1">
      <c r="A39" s="4">
        <f>'SCHEDULE OF VALUE WORKSHEET'!A36</f>
        <v>30</v>
      </c>
      <c r="B39" s="142" t="str">
        <f>'SCHEDULE OF VALUE WORKSHEET'!B36</f>
        <v>MEP Fees</v>
      </c>
      <c r="C39" s="143"/>
      <c r="D39" s="104">
        <f>SUM('SCHEDULE OF VALUE WORKSHEET'!E36)</f>
        <v>0</v>
      </c>
      <c r="E39" s="104">
        <f>SUM('Draw #3'!E39:F39)</f>
        <v>0</v>
      </c>
      <c r="F39" s="105">
        <v>0</v>
      </c>
      <c r="G39" s="104">
        <f>SUM('Draw #3'!G39)+'Draw #4'!F39</f>
        <v>0</v>
      </c>
      <c r="H39" s="109">
        <f t="shared" si="0"/>
        <v>0</v>
      </c>
      <c r="I39" s="110">
        <v>0</v>
      </c>
      <c r="J39" s="109">
        <f>SUM(I39+'Draw #3'!J39)</f>
        <v>0</v>
      </c>
      <c r="K39" s="101" t="str">
        <f t="shared" si="1"/>
        <v/>
      </c>
      <c r="L39" s="9"/>
      <c r="M39" s="9"/>
    </row>
    <row r="40" spans="1:13" ht="14.1" customHeight="1">
      <c r="A40" s="4">
        <f>'SCHEDULE OF VALUE WORKSHEET'!A37</f>
        <v>31</v>
      </c>
      <c r="B40" s="142" t="str">
        <f>'SCHEDULE OF VALUE WORKSHEET'!B37</f>
        <v>Agency Signoffs</v>
      </c>
      <c r="C40" s="143"/>
      <c r="D40" s="104">
        <f>SUM('SCHEDULE OF VALUE WORKSHEET'!E37)</f>
        <v>0</v>
      </c>
      <c r="E40" s="104">
        <f>SUM('Draw #3'!E40:F40)</f>
        <v>0</v>
      </c>
      <c r="F40" s="105">
        <v>0</v>
      </c>
      <c r="G40" s="104">
        <f>SUM('Draw #3'!G40)+'Draw #4'!F40</f>
        <v>0</v>
      </c>
      <c r="H40" s="109">
        <f t="shared" si="0"/>
        <v>0</v>
      </c>
      <c r="I40" s="110">
        <v>0</v>
      </c>
      <c r="J40" s="109">
        <f>SUM(I40+'Draw #3'!J40)</f>
        <v>0</v>
      </c>
      <c r="K40" s="101" t="str">
        <f t="shared" si="1"/>
        <v/>
      </c>
      <c r="L40" s="9"/>
      <c r="M40" s="9"/>
    </row>
    <row r="41" spans="1:13" ht="14.1" customHeight="1">
      <c r="A41" s="4">
        <f>'SCHEDULE OF VALUE WORKSHEET'!A38</f>
        <v>32</v>
      </c>
      <c r="B41" s="142" t="str">
        <f>'SCHEDULE OF VALUE WORKSHEET'!B38</f>
        <v>Specifications Writer Consultant</v>
      </c>
      <c r="C41" s="143"/>
      <c r="D41" s="104">
        <f>SUM('SCHEDULE OF VALUE WORKSHEET'!E38)</f>
        <v>2000</v>
      </c>
      <c r="E41" s="104">
        <f>SUM('Draw #3'!E41:F41)</f>
        <v>0</v>
      </c>
      <c r="F41" s="105">
        <v>0</v>
      </c>
      <c r="G41" s="104">
        <f>SUM('Draw #3'!G41)+'Draw #4'!F41</f>
        <v>2000</v>
      </c>
      <c r="H41" s="109">
        <f t="shared" si="0"/>
        <v>2000</v>
      </c>
      <c r="I41" s="110">
        <v>0</v>
      </c>
      <c r="J41" s="109">
        <f>SUM(I41+'Draw #3'!J41)</f>
        <v>0</v>
      </c>
      <c r="K41" s="101" t="str">
        <f t="shared" si="1"/>
        <v/>
      </c>
      <c r="L41" s="9"/>
      <c r="M41" s="9"/>
    </row>
    <row r="42" spans="1:13" ht="14.1" customHeight="1">
      <c r="A42" s="4">
        <f>'SCHEDULE OF VALUE WORKSHEET'!A39</f>
        <v>33</v>
      </c>
      <c r="B42" s="142" t="str">
        <f>'SCHEDULE OF VALUE WORKSHEET'!B39</f>
        <v>Construction Consultant</v>
      </c>
      <c r="C42" s="143"/>
      <c r="D42" s="104">
        <f>SUM('SCHEDULE OF VALUE WORKSHEET'!E39)</f>
        <v>0</v>
      </c>
      <c r="E42" s="104">
        <f>SUM('Draw #3'!E42:F42)</f>
        <v>0</v>
      </c>
      <c r="F42" s="105">
        <v>0</v>
      </c>
      <c r="G42" s="104">
        <f>SUM('Draw #3'!G42)+'Draw #4'!F42</f>
        <v>0</v>
      </c>
      <c r="H42" s="109">
        <f t="shared" si="0"/>
        <v>0</v>
      </c>
      <c r="I42" s="110">
        <v>0</v>
      </c>
      <c r="J42" s="109">
        <f>SUM(I42+'Draw #3'!J42)</f>
        <v>0</v>
      </c>
      <c r="K42" s="101" t="str">
        <f t="shared" si="1"/>
        <v/>
      </c>
      <c r="L42" s="9"/>
      <c r="M42" s="9"/>
    </row>
    <row r="43" spans="1:13" ht="14.1" customHeight="1">
      <c r="A43" s="4">
        <f>'SCHEDULE OF VALUE WORKSHEET'!A40</f>
        <v>34</v>
      </c>
      <c r="B43" s="142" t="str">
        <f>'SCHEDULE OF VALUE WORKSHEET'!B40</f>
        <v>Low Voltage Consultant</v>
      </c>
      <c r="C43" s="143"/>
      <c r="D43" s="104">
        <f>SUM('SCHEDULE OF VALUE WORKSHEET'!E40)</f>
        <v>15524</v>
      </c>
      <c r="E43" s="104">
        <f>SUM('Draw #3'!E43:F43)</f>
        <v>0</v>
      </c>
      <c r="F43" s="105">
        <v>0</v>
      </c>
      <c r="G43" s="104">
        <f>SUM('Draw #3'!G43)+'Draw #4'!F43</f>
        <v>15524</v>
      </c>
      <c r="H43" s="109">
        <f t="shared" si="0"/>
        <v>15524</v>
      </c>
      <c r="I43" s="110">
        <v>0</v>
      </c>
      <c r="J43" s="109">
        <f>SUM(I43+'Draw #3'!J43)</f>
        <v>0</v>
      </c>
      <c r="K43" s="101" t="str">
        <f t="shared" si="1"/>
        <v/>
      </c>
      <c r="L43" s="9"/>
      <c r="M43" s="9"/>
    </row>
    <row r="44" spans="1:13" ht="14.1" customHeight="1">
      <c r="A44" s="4">
        <f>'SCHEDULE OF VALUE WORKSHEET'!A41</f>
        <v>35</v>
      </c>
      <c r="B44" s="142" t="str">
        <f>'SCHEDULE OF VALUE WORKSHEET'!B41</f>
        <v>Photovoltaic Consultant</v>
      </c>
      <c r="C44" s="143"/>
      <c r="D44" s="104">
        <f>SUM('SCHEDULE OF VALUE WORKSHEET'!E41)</f>
        <v>5000</v>
      </c>
      <c r="E44" s="104">
        <f>SUM('Draw #3'!E44:F44)</f>
        <v>0</v>
      </c>
      <c r="F44" s="105">
        <v>0</v>
      </c>
      <c r="G44" s="104">
        <f>SUM('Draw #3'!G44)+'Draw #4'!F44</f>
        <v>5000</v>
      </c>
      <c r="H44" s="109">
        <f t="shared" si="0"/>
        <v>5000</v>
      </c>
      <c r="I44" s="110">
        <v>0</v>
      </c>
      <c r="J44" s="109">
        <f>SUM(I44+'Draw #3'!J44)</f>
        <v>0</v>
      </c>
      <c r="K44" s="101" t="str">
        <f t="shared" si="1"/>
        <v/>
      </c>
      <c r="L44" s="9"/>
      <c r="M44" s="9"/>
    </row>
    <row r="45" spans="1:13" ht="14.1" customHeight="1">
      <c r="A45" s="4">
        <f>'SCHEDULE OF VALUE WORKSHEET'!A42</f>
        <v>36</v>
      </c>
      <c r="B45" s="142" t="str">
        <f>'SCHEDULE OF VALUE WORKSHEET'!B42</f>
        <v>Construction Management / Observation (OO)</v>
      </c>
      <c r="C45" s="143"/>
      <c r="D45" s="104">
        <f>SUM('SCHEDULE OF VALUE WORKSHEET'!E42)</f>
        <v>49427.9</v>
      </c>
      <c r="E45" s="104">
        <f>SUM('Draw #3'!E45:F45)</f>
        <v>0</v>
      </c>
      <c r="F45" s="105">
        <v>0</v>
      </c>
      <c r="G45" s="104">
        <f>SUM('Draw #3'!G45)+'Draw #4'!F45</f>
        <v>49427.9</v>
      </c>
      <c r="H45" s="109">
        <f t="shared" si="0"/>
        <v>49427.9</v>
      </c>
      <c r="I45" s="110">
        <v>0</v>
      </c>
      <c r="J45" s="109">
        <f>SUM(I45+'Draw #3'!J45)</f>
        <v>0</v>
      </c>
      <c r="K45" s="101" t="str">
        <f t="shared" si="1"/>
        <v/>
      </c>
      <c r="L45" s="9"/>
      <c r="M45" s="9"/>
    </row>
    <row r="46" spans="1:13" ht="14.1" customHeight="1">
      <c r="A46" s="4" t="e">
        <f>'SCHEDULE OF VALUE WORKSHEET'!#REF!</f>
        <v>#REF!</v>
      </c>
      <c r="B46" s="142" t="e">
        <f>'SCHEDULE OF VALUE WORKSHEET'!#REF!</f>
        <v>#REF!</v>
      </c>
      <c r="C46" s="143"/>
      <c r="D46" s="104" t="e">
        <f>SUM('SCHEDULE OF VALUE WORKSHEET'!#REF!)</f>
        <v>#REF!</v>
      </c>
      <c r="E46" s="104">
        <f>SUM('Draw #3'!E46:F46)</f>
        <v>0</v>
      </c>
      <c r="F46" s="105">
        <v>0</v>
      </c>
      <c r="G46" s="104" t="e">
        <f>SUM('Draw #3'!G46)+'Draw #4'!F46</f>
        <v>#REF!</v>
      </c>
      <c r="H46" s="109" t="e">
        <f t="shared" si="0"/>
        <v>#REF!</v>
      </c>
      <c r="I46" s="110">
        <v>0</v>
      </c>
      <c r="J46" s="109">
        <f>SUM(I46+'Draw #3'!J46)</f>
        <v>0</v>
      </c>
      <c r="K46" s="101" t="str">
        <f t="shared" si="1"/>
        <v/>
      </c>
      <c r="L46" s="9"/>
      <c r="M46" s="9"/>
    </row>
    <row r="47" spans="1:13" ht="14.1" customHeight="1">
      <c r="A47" s="4">
        <f>'SCHEDULE OF VALUE WORKSHEET'!A43</f>
        <v>37</v>
      </c>
      <c r="B47" s="142" t="str">
        <f>'SCHEDULE OF VALUE WORKSHEET'!B43</f>
        <v>CMFA Startup Fee</v>
      </c>
      <c r="C47" s="143"/>
      <c r="D47" s="104">
        <f>SUM('SCHEDULE OF VALUE WORKSHEET'!E43)</f>
        <v>22800</v>
      </c>
      <c r="E47" s="104">
        <f>SUM('Draw #3'!E47:F47)</f>
        <v>0</v>
      </c>
      <c r="F47" s="105">
        <v>0</v>
      </c>
      <c r="G47" s="104">
        <f>SUM('Draw #3'!G47)+'Draw #4'!F47</f>
        <v>22800</v>
      </c>
      <c r="H47" s="109">
        <f t="shared" si="0"/>
        <v>22800</v>
      </c>
      <c r="I47" s="110">
        <v>0</v>
      </c>
      <c r="J47" s="109">
        <f>SUM(I47+'Draw #3'!J47)</f>
        <v>0</v>
      </c>
      <c r="K47" s="101" t="str">
        <f t="shared" si="1"/>
        <v/>
      </c>
      <c r="L47" s="9"/>
      <c r="M47" s="9"/>
    </row>
    <row r="48" spans="1:13" ht="14.1" customHeight="1">
      <c r="A48" s="4">
        <f>'SCHEDULE OF VALUE WORKSHEET'!A44</f>
        <v>38</v>
      </c>
      <c r="B48" s="142" t="str">
        <f>'SCHEDULE OF VALUE WORKSHEET'!B44</f>
        <v>Non-Profit Start Up Fee</v>
      </c>
      <c r="C48" s="143"/>
      <c r="D48" s="104">
        <f>SUM('SCHEDULE OF VALUE WORKSHEET'!E44)</f>
        <v>25000</v>
      </c>
      <c r="E48" s="104">
        <f>SUM('Draw #3'!E48:F48)</f>
        <v>0</v>
      </c>
      <c r="F48" s="105">
        <v>0</v>
      </c>
      <c r="G48" s="104">
        <f>SUM('Draw #3'!G48)+'Draw #4'!F48</f>
        <v>25000</v>
      </c>
      <c r="H48" s="109">
        <f t="shared" si="0"/>
        <v>25000</v>
      </c>
      <c r="I48" s="110">
        <v>0</v>
      </c>
      <c r="J48" s="109">
        <f>SUM(I48+'Draw #3'!J48)</f>
        <v>0</v>
      </c>
      <c r="K48" s="101" t="str">
        <f t="shared" si="1"/>
        <v/>
      </c>
      <c r="L48" s="9"/>
      <c r="M48" s="9"/>
    </row>
    <row r="49" spans="1:13" ht="14.1" customHeight="1">
      <c r="A49" s="4">
        <f>'SCHEDULE OF VALUE WORKSHEET'!A45</f>
        <v>39</v>
      </c>
      <c r="B49" s="142" t="str">
        <f>'SCHEDULE OF VALUE WORKSHEET'!B45</f>
        <v>CMFA Construction Fee</v>
      </c>
      <c r="C49" s="143"/>
      <c r="D49" s="104">
        <f>SUM('SCHEDULE OF VALUE WORKSHEET'!E45)</f>
        <v>12000</v>
      </c>
      <c r="E49" s="104">
        <f>SUM('Draw #3'!E49:F49)</f>
        <v>0</v>
      </c>
      <c r="F49" s="105">
        <v>0</v>
      </c>
      <c r="G49" s="104">
        <f>SUM('Draw #3'!G49)+'Draw #4'!F49</f>
        <v>12000</v>
      </c>
      <c r="H49" s="109">
        <f t="shared" si="0"/>
        <v>12000</v>
      </c>
      <c r="I49" s="110">
        <v>0</v>
      </c>
      <c r="J49" s="109">
        <f>SUM(I49+'Draw #3'!J49)</f>
        <v>0</v>
      </c>
      <c r="K49" s="101" t="str">
        <f t="shared" si="1"/>
        <v/>
      </c>
      <c r="L49" s="9"/>
      <c r="M49" s="9"/>
    </row>
    <row r="50" spans="1:13" ht="14.1" customHeight="1">
      <c r="A50" s="4">
        <f>'SCHEDULE OF VALUE WORKSHEET'!A46</f>
        <v>40</v>
      </c>
      <c r="B50" s="142" t="str">
        <f>'SCHEDULE OF VALUE WORKSHEET'!B46</f>
        <v>Non-Profit Construction Fee</v>
      </c>
      <c r="C50" s="143"/>
      <c r="D50" s="104">
        <f>SUM('SCHEDULE OF VALUE WORKSHEET'!E46)</f>
        <v>10000</v>
      </c>
      <c r="E50" s="104">
        <f>SUM('Draw #3'!E50:F50)</f>
        <v>0</v>
      </c>
      <c r="F50" s="105">
        <v>0</v>
      </c>
      <c r="G50" s="104">
        <f>SUM('Draw #3'!G50)+'Draw #4'!F50</f>
        <v>10000</v>
      </c>
      <c r="H50" s="109">
        <f t="shared" si="0"/>
        <v>10000</v>
      </c>
      <c r="I50" s="110">
        <v>0</v>
      </c>
      <c r="J50" s="109">
        <f>SUM(I50+'Draw #3'!J50)</f>
        <v>0</v>
      </c>
      <c r="K50" s="101" t="str">
        <f t="shared" si="1"/>
        <v/>
      </c>
      <c r="L50" s="9"/>
      <c r="M50" s="9"/>
    </row>
    <row r="51" spans="1:13" ht="14.1" customHeight="1">
      <c r="A51" s="4">
        <f>'SCHEDULE OF VALUE WORKSHEET'!A47</f>
        <v>41</v>
      </c>
      <c r="B51" s="142" t="str">
        <f>'SCHEDULE OF VALUE WORKSHEET'!B47</f>
        <v>WTE Legal Costs for CMFA &amp; Non-Profit Partner</v>
      </c>
      <c r="C51" s="143"/>
      <c r="D51" s="104">
        <f>SUM('SCHEDULE OF VALUE WORKSHEET'!E47)</f>
        <v>20000</v>
      </c>
      <c r="E51" s="104">
        <f>SUM('Draw #3'!E51:F51)</f>
        <v>0</v>
      </c>
      <c r="F51" s="105">
        <v>0</v>
      </c>
      <c r="G51" s="104">
        <f>SUM('Draw #3'!G51)+'Draw #4'!F51</f>
        <v>20000</v>
      </c>
      <c r="H51" s="109">
        <f t="shared" si="0"/>
        <v>20000</v>
      </c>
      <c r="I51" s="110">
        <v>0</v>
      </c>
      <c r="J51" s="109">
        <f>SUM(I51+'Draw #3'!J51)</f>
        <v>0</v>
      </c>
      <c r="K51" s="101" t="str">
        <f t="shared" si="1"/>
        <v/>
      </c>
      <c r="L51" s="9"/>
      <c r="M51" s="9"/>
    </row>
    <row r="52" spans="1:13" ht="14.1" customHeight="1">
      <c r="A52" s="4" t="e">
        <f>'SCHEDULE OF VALUE WORKSHEET'!#REF!</f>
        <v>#REF!</v>
      </c>
      <c r="B52" s="142" t="e">
        <f>'SCHEDULE OF VALUE WORKSHEET'!#REF!</f>
        <v>#REF!</v>
      </c>
      <c r="C52" s="143"/>
      <c r="D52" s="104" t="e">
        <f>SUM('SCHEDULE OF VALUE WORKSHEET'!#REF!)</f>
        <v>#REF!</v>
      </c>
      <c r="E52" s="104">
        <f>SUM('Draw #3'!E52:F52)</f>
        <v>0</v>
      </c>
      <c r="F52" s="105">
        <v>0</v>
      </c>
      <c r="G52" s="104" t="e">
        <f>SUM('Draw #3'!G52)+'Draw #4'!F52</f>
        <v>#REF!</v>
      </c>
      <c r="H52" s="109" t="e">
        <f t="shared" si="0"/>
        <v>#REF!</v>
      </c>
      <c r="I52" s="110">
        <v>0</v>
      </c>
      <c r="J52" s="109">
        <f>SUM(I52+'Draw #3'!J52)</f>
        <v>0</v>
      </c>
      <c r="K52" s="101" t="str">
        <f t="shared" si="1"/>
        <v/>
      </c>
      <c r="L52" s="9"/>
      <c r="M52" s="9"/>
    </row>
    <row r="53" spans="1:13" ht="14.1" customHeight="1">
      <c r="A53" s="4">
        <f>'SCHEDULE OF VALUE WORKSHEET'!A49</f>
        <v>43</v>
      </c>
      <c r="B53" s="142" t="str">
        <f>'SCHEDULE OF VALUE WORKSHEET'!B49</f>
        <v>GENERAL CONDITIONS</v>
      </c>
      <c r="C53" s="143"/>
      <c r="D53" s="104">
        <f>SUM('SCHEDULE OF VALUE WORKSHEET'!E49)</f>
        <v>362115.24</v>
      </c>
      <c r="E53" s="104">
        <f>SUM('Draw #3'!E53:F53)</f>
        <v>0</v>
      </c>
      <c r="F53" s="105">
        <v>0</v>
      </c>
      <c r="G53" s="104">
        <f>SUM('Draw #3'!G53)+'Draw #4'!F53</f>
        <v>362115.24</v>
      </c>
      <c r="H53" s="109">
        <f t="shared" si="0"/>
        <v>362115.24</v>
      </c>
      <c r="I53" s="110">
        <v>0</v>
      </c>
      <c r="J53" s="109">
        <f>SUM(I53+'Draw #3'!J53)</f>
        <v>0</v>
      </c>
      <c r="K53" s="101" t="str">
        <f t="shared" si="1"/>
        <v/>
      </c>
      <c r="L53" s="9"/>
      <c r="M53" s="9"/>
    </row>
    <row r="54" spans="1:13" ht="14.1" customHeight="1">
      <c r="A54" s="4">
        <f>'SCHEDULE OF VALUE WORKSHEET'!A50</f>
        <v>44</v>
      </c>
      <c r="B54" s="142" t="str">
        <f>'SCHEDULE OF VALUE WORKSHEET'!B50</f>
        <v>GENERAL REQUIREMENT</v>
      </c>
      <c r="C54" s="143"/>
      <c r="D54" s="104">
        <f>SUM('SCHEDULE OF VALUE WORKSHEET'!E50)</f>
        <v>124657.88</v>
      </c>
      <c r="E54" s="104">
        <f>SUM('Draw #3'!E54:F54)</f>
        <v>0</v>
      </c>
      <c r="F54" s="105">
        <v>0</v>
      </c>
      <c r="G54" s="104">
        <f>SUM('Draw #3'!G54)+'Draw #4'!F54</f>
        <v>124657.88</v>
      </c>
      <c r="H54" s="109">
        <f t="shared" si="0"/>
        <v>124657.88</v>
      </c>
      <c r="I54" s="110">
        <v>0</v>
      </c>
      <c r="J54" s="109">
        <f>SUM(I54+'Draw #3'!J54)</f>
        <v>0</v>
      </c>
      <c r="K54" s="101" t="str">
        <f t="shared" si="1"/>
        <v/>
      </c>
      <c r="L54" s="9"/>
      <c r="M54" s="9"/>
    </row>
    <row r="55" spans="1:13" ht="14.1" customHeight="1">
      <c r="A55" s="4">
        <f>'SCHEDULE OF VALUE WORKSHEET'!A51</f>
        <v>45</v>
      </c>
      <c r="B55" s="142" t="str">
        <f>'SCHEDULE OF VALUE WORKSHEET'!B51</f>
        <v>SITE WORK</v>
      </c>
      <c r="C55" s="143"/>
      <c r="D55" s="104">
        <f>SUM('SCHEDULE OF VALUE WORKSHEET'!E51)</f>
        <v>139049.51</v>
      </c>
      <c r="E55" s="104">
        <f>SUM('Draw #3'!E55:F55)</f>
        <v>0</v>
      </c>
      <c r="F55" s="105">
        <v>0</v>
      </c>
      <c r="G55" s="104">
        <f>SUM('Draw #3'!G55)+'Draw #4'!F55</f>
        <v>139049.51</v>
      </c>
      <c r="H55" s="109">
        <f t="shared" si="0"/>
        <v>139049.51</v>
      </c>
      <c r="I55" s="110">
        <v>0</v>
      </c>
      <c r="J55" s="109">
        <f>SUM(I55+'Draw #3'!J55)</f>
        <v>0</v>
      </c>
      <c r="K55" s="101" t="str">
        <f t="shared" si="1"/>
        <v/>
      </c>
      <c r="L55" s="9"/>
      <c r="M55" s="9"/>
    </row>
    <row r="56" spans="1:13" ht="14.1" customHeight="1">
      <c r="A56" s="4">
        <f>'SCHEDULE OF VALUE WORKSHEET'!A52</f>
        <v>46</v>
      </c>
      <c r="B56" s="142" t="str">
        <f>'SCHEDULE OF VALUE WORKSHEET'!B52</f>
        <v>CONCRETE</v>
      </c>
      <c r="C56" s="143"/>
      <c r="D56" s="104">
        <f>SUM('SCHEDULE OF VALUE WORKSHEET'!E52)</f>
        <v>253182</v>
      </c>
      <c r="E56" s="104">
        <f>SUM('Draw #3'!E56:F56)</f>
        <v>0</v>
      </c>
      <c r="F56" s="105">
        <v>0</v>
      </c>
      <c r="G56" s="104">
        <f>SUM('Draw #3'!G56)+'Draw #4'!F56</f>
        <v>253182</v>
      </c>
      <c r="H56" s="109">
        <f t="shared" si="0"/>
        <v>253182</v>
      </c>
      <c r="I56" s="110">
        <v>0</v>
      </c>
      <c r="J56" s="109">
        <f>SUM(I56+'Draw #3'!J56)</f>
        <v>0</v>
      </c>
      <c r="K56" s="101" t="str">
        <f t="shared" si="1"/>
        <v/>
      </c>
      <c r="L56" s="9"/>
      <c r="M56" s="9"/>
    </row>
    <row r="57" spans="1:13" ht="14.1" customHeight="1">
      <c r="A57" s="4">
        <f>'SCHEDULE OF VALUE WORKSHEET'!A53</f>
        <v>47</v>
      </c>
      <c r="B57" s="142" t="str">
        <f>'SCHEDULE OF VALUE WORKSHEET'!B53</f>
        <v>MASONRY</v>
      </c>
      <c r="C57" s="143"/>
      <c r="D57" s="104">
        <f>SUM('SCHEDULE OF VALUE WORKSHEET'!E53)</f>
        <v>3562.64</v>
      </c>
      <c r="E57" s="104">
        <f>SUM('Draw #3'!E57:F57)</f>
        <v>0</v>
      </c>
      <c r="F57" s="105">
        <v>0</v>
      </c>
      <c r="G57" s="104">
        <f>SUM('Draw #3'!G57)+'Draw #4'!F57</f>
        <v>3562.64</v>
      </c>
      <c r="H57" s="109">
        <f t="shared" si="0"/>
        <v>3562.64</v>
      </c>
      <c r="I57" s="110">
        <v>0</v>
      </c>
      <c r="J57" s="109">
        <f>SUM(I57+'Draw #3'!J57)</f>
        <v>0</v>
      </c>
      <c r="K57" s="101" t="str">
        <f t="shared" si="1"/>
        <v/>
      </c>
      <c r="L57" s="9"/>
      <c r="M57" s="9"/>
    </row>
    <row r="58" spans="1:13" ht="14.1" customHeight="1">
      <c r="A58" s="4">
        <f>'SCHEDULE OF VALUE WORKSHEET'!A54</f>
        <v>48</v>
      </c>
      <c r="B58" s="142" t="str">
        <f>'SCHEDULE OF VALUE WORKSHEET'!B54</f>
        <v>METALS</v>
      </c>
      <c r="C58" s="143"/>
      <c r="D58" s="104">
        <f>SUM('SCHEDULE OF VALUE WORKSHEET'!E54)</f>
        <v>324100</v>
      </c>
      <c r="E58" s="104">
        <f>SUM('Draw #3'!E58:F58)</f>
        <v>0</v>
      </c>
      <c r="F58" s="105">
        <v>0</v>
      </c>
      <c r="G58" s="104">
        <f>SUM('Draw #3'!G58)+'Draw #4'!F58</f>
        <v>324100</v>
      </c>
      <c r="H58" s="109">
        <f t="shared" si="0"/>
        <v>324100</v>
      </c>
      <c r="I58" s="110">
        <v>0</v>
      </c>
      <c r="J58" s="109">
        <f>SUM(I58+'Draw #3'!J58)</f>
        <v>0</v>
      </c>
      <c r="K58" s="101" t="str">
        <f t="shared" si="1"/>
        <v/>
      </c>
      <c r="L58" s="9"/>
      <c r="M58" s="9"/>
    </row>
    <row r="59" spans="1:13" ht="14.1" customHeight="1">
      <c r="A59" s="4">
        <f>'SCHEDULE OF VALUE WORKSHEET'!A55</f>
        <v>49</v>
      </c>
      <c r="B59" s="142" t="str">
        <f>'SCHEDULE OF VALUE WORKSHEET'!B55</f>
        <v>FRAMING</v>
      </c>
      <c r="C59" s="143"/>
      <c r="D59" s="104">
        <f>SUM('SCHEDULE OF VALUE WORKSHEET'!E55)</f>
        <v>818554</v>
      </c>
      <c r="E59" s="104">
        <f>SUM('Draw #3'!E59:F59)</f>
        <v>0</v>
      </c>
      <c r="F59" s="105">
        <v>0</v>
      </c>
      <c r="G59" s="104">
        <f>SUM('Draw #3'!G59)+'Draw #4'!F59</f>
        <v>818554</v>
      </c>
      <c r="H59" s="109">
        <f t="shared" si="0"/>
        <v>818554</v>
      </c>
      <c r="I59" s="110">
        <v>0</v>
      </c>
      <c r="J59" s="109">
        <f>SUM(I59+'Draw #3'!J59)</f>
        <v>0</v>
      </c>
      <c r="K59" s="101" t="str">
        <f t="shared" si="1"/>
        <v/>
      </c>
      <c r="L59" s="9"/>
      <c r="M59" s="9"/>
    </row>
    <row r="60" spans="1:13" ht="14.1" customHeight="1">
      <c r="A60" s="4">
        <f>'SCHEDULE OF VALUE WORKSHEET'!A56</f>
        <v>50</v>
      </c>
      <c r="B60" s="142" t="str">
        <f>'SCHEDULE OF VALUE WORKSHEET'!B56</f>
        <v>COUNTERTOPS</v>
      </c>
      <c r="C60" s="143"/>
      <c r="D60" s="104">
        <f>SUM('SCHEDULE OF VALUE WORKSHEET'!E56)</f>
        <v>56930</v>
      </c>
      <c r="E60" s="104">
        <f>SUM('Draw #3'!E60:F60)</f>
        <v>0</v>
      </c>
      <c r="F60" s="105">
        <v>0</v>
      </c>
      <c r="G60" s="104">
        <f>SUM('Draw #3'!G60)+'Draw #4'!F60</f>
        <v>56930</v>
      </c>
      <c r="H60" s="109">
        <f t="shared" si="0"/>
        <v>56930</v>
      </c>
      <c r="I60" s="110">
        <v>0</v>
      </c>
      <c r="J60" s="109">
        <f>SUM(I60+'Draw #3'!J60)</f>
        <v>0</v>
      </c>
      <c r="K60" s="101" t="str">
        <f t="shared" si="1"/>
        <v/>
      </c>
      <c r="L60" s="9"/>
      <c r="M60" s="9"/>
    </row>
    <row r="61" spans="1:13" ht="14.1" customHeight="1">
      <c r="A61" s="4">
        <f>'SCHEDULE OF VALUE WORKSHEET'!A57</f>
        <v>51</v>
      </c>
      <c r="B61" s="142" t="str">
        <f>'SCHEDULE OF VALUE WORKSHEET'!B57</f>
        <v>CABINETS</v>
      </c>
      <c r="C61" s="143"/>
      <c r="D61" s="104">
        <f>SUM('SCHEDULE OF VALUE WORKSHEET'!E57)</f>
        <v>56930</v>
      </c>
      <c r="E61" s="104">
        <f>SUM('Draw #3'!E61:F61)</f>
        <v>0</v>
      </c>
      <c r="F61" s="105">
        <v>0</v>
      </c>
      <c r="G61" s="104">
        <f>SUM('Draw #3'!G61)+'Draw #4'!F61</f>
        <v>56930</v>
      </c>
      <c r="H61" s="109">
        <f t="shared" si="0"/>
        <v>56930</v>
      </c>
      <c r="I61" s="110">
        <v>0</v>
      </c>
      <c r="J61" s="109">
        <f>SUM(I61+'Draw #3'!J61)</f>
        <v>0</v>
      </c>
      <c r="K61" s="101" t="str">
        <f t="shared" si="1"/>
        <v/>
      </c>
      <c r="L61" s="9"/>
      <c r="M61" s="9"/>
    </row>
    <row r="62" spans="1:13" ht="14.1" customHeight="1">
      <c r="A62" s="4">
        <f>'SCHEDULE OF VALUE WORKSHEET'!A58</f>
        <v>52</v>
      </c>
      <c r="B62" s="142" t="str">
        <f>'SCHEDULE OF VALUE WORKSHEET'!B58</f>
        <v>THERMAL MOISTURE PROTECTION</v>
      </c>
      <c r="C62" s="143"/>
      <c r="D62" s="104">
        <f>SUM('SCHEDULE OF VALUE WORKSHEET'!E58)</f>
        <v>173148</v>
      </c>
      <c r="E62" s="104">
        <f>SUM('Draw #3'!E62:F62)</f>
        <v>0</v>
      </c>
      <c r="F62" s="105">
        <v>0</v>
      </c>
      <c r="G62" s="104">
        <f>SUM('Draw #3'!G62)+'Draw #4'!F62</f>
        <v>173148</v>
      </c>
      <c r="H62" s="109">
        <f t="shared" si="0"/>
        <v>173148</v>
      </c>
      <c r="I62" s="110">
        <v>0</v>
      </c>
      <c r="J62" s="109">
        <f>SUM(I62+'Draw #3'!J62)</f>
        <v>0</v>
      </c>
      <c r="K62" s="101" t="str">
        <f t="shared" si="1"/>
        <v/>
      </c>
      <c r="L62" s="9"/>
      <c r="M62" s="9"/>
    </row>
    <row r="63" spans="1:13" ht="14.1" customHeight="1">
      <c r="A63" s="4">
        <f>'SCHEDULE OF VALUE WORKSHEET'!A59</f>
        <v>53</v>
      </c>
      <c r="B63" s="142" t="str">
        <f>'SCHEDULE OF VALUE WORKSHEET'!B59</f>
        <v>DOORS</v>
      </c>
      <c r="C63" s="143"/>
      <c r="D63" s="104">
        <f>SUM('SCHEDULE OF VALUE WORKSHEET'!E59)</f>
        <v>204087.33</v>
      </c>
      <c r="E63" s="104">
        <f>SUM('Draw #3'!E63:F63)</f>
        <v>0</v>
      </c>
      <c r="F63" s="105">
        <v>0</v>
      </c>
      <c r="G63" s="104">
        <f>SUM('Draw #3'!G63)+'Draw #4'!F63</f>
        <v>204087.33</v>
      </c>
      <c r="H63" s="109">
        <f t="shared" si="0"/>
        <v>204087.33</v>
      </c>
      <c r="I63" s="110">
        <v>0</v>
      </c>
      <c r="J63" s="109">
        <f>SUM(I63+'Draw #3'!J63)</f>
        <v>0</v>
      </c>
      <c r="K63" s="101" t="str">
        <f t="shared" si="1"/>
        <v/>
      </c>
      <c r="L63" s="9"/>
      <c r="M63" s="9"/>
    </row>
    <row r="64" spans="1:13" ht="14.1" customHeight="1">
      <c r="A64" s="4">
        <f>'SCHEDULE OF VALUE WORKSHEET'!A60</f>
        <v>54</v>
      </c>
      <c r="B64" s="142" t="str">
        <f>'SCHEDULE OF VALUE WORKSHEET'!B60</f>
        <v>WINDOWS</v>
      </c>
      <c r="C64" s="143"/>
      <c r="D64" s="104">
        <f>SUM('SCHEDULE OF VALUE WORKSHEET'!E60)</f>
        <v>106274.25</v>
      </c>
      <c r="E64" s="104">
        <f>SUM('Draw #3'!E64:F64)</f>
        <v>0</v>
      </c>
      <c r="F64" s="105">
        <v>0</v>
      </c>
      <c r="G64" s="104">
        <f>SUM('Draw #3'!G64)+'Draw #4'!F64</f>
        <v>106274.25</v>
      </c>
      <c r="H64" s="109">
        <f t="shared" si="0"/>
        <v>106274.25</v>
      </c>
      <c r="I64" s="110">
        <v>0</v>
      </c>
      <c r="J64" s="109">
        <f>SUM(I64+'Draw #3'!J64)</f>
        <v>0</v>
      </c>
      <c r="K64" s="101" t="str">
        <f t="shared" si="1"/>
        <v/>
      </c>
      <c r="L64" s="9"/>
      <c r="M64" s="9"/>
    </row>
    <row r="65" spans="1:13" ht="14.1" customHeight="1">
      <c r="A65" s="4">
        <f>'SCHEDULE OF VALUE WORKSHEET'!A61</f>
        <v>55</v>
      </c>
      <c r="B65" s="142" t="str">
        <f>'SCHEDULE OF VALUE WORKSHEET'!B61</f>
        <v>STUCCO</v>
      </c>
      <c r="C65" s="143"/>
      <c r="D65" s="104">
        <f>SUM('SCHEDULE OF VALUE WORKSHEET'!E61)</f>
        <v>208002</v>
      </c>
      <c r="E65" s="104">
        <f>SUM('Draw #3'!E65:F65)</f>
        <v>0</v>
      </c>
      <c r="F65" s="105">
        <v>0</v>
      </c>
      <c r="G65" s="104">
        <f>SUM('Draw #3'!G65)+'Draw #4'!F65</f>
        <v>208002</v>
      </c>
      <c r="H65" s="109">
        <f t="shared" si="0"/>
        <v>208002</v>
      </c>
      <c r="I65" s="110">
        <v>0</v>
      </c>
      <c r="J65" s="109">
        <f>SUM(I65+'Draw #3'!J65)</f>
        <v>0</v>
      </c>
      <c r="K65" s="101" t="str">
        <f t="shared" si="1"/>
        <v/>
      </c>
      <c r="L65" s="9"/>
      <c r="M65" s="9"/>
    </row>
    <row r="66" spans="1:13" ht="14.1" customHeight="1">
      <c r="A66" s="4">
        <f>'SCHEDULE OF VALUE WORKSHEET'!A62</f>
        <v>56</v>
      </c>
      <c r="B66" s="142" t="str">
        <f>'SCHEDULE OF VALUE WORKSHEET'!B62</f>
        <v>DRYWALL</v>
      </c>
      <c r="C66" s="143"/>
      <c r="D66" s="104">
        <f>SUM('SCHEDULE OF VALUE WORKSHEET'!E62)</f>
        <v>416355</v>
      </c>
      <c r="E66" s="104">
        <f>SUM('Draw #3'!E66:F66)</f>
        <v>0</v>
      </c>
      <c r="F66" s="105">
        <v>0</v>
      </c>
      <c r="G66" s="104">
        <f>SUM('Draw #3'!G66)+'Draw #4'!F66</f>
        <v>416355</v>
      </c>
      <c r="H66" s="109">
        <f t="shared" si="0"/>
        <v>416355</v>
      </c>
      <c r="I66" s="110">
        <v>0</v>
      </c>
      <c r="J66" s="109">
        <f>SUM(I66+'Draw #3'!J66)</f>
        <v>0</v>
      </c>
      <c r="K66" s="101" t="str">
        <f t="shared" si="1"/>
        <v/>
      </c>
      <c r="L66" s="9"/>
      <c r="M66" s="9"/>
    </row>
    <row r="67" spans="1:13" ht="14.1" customHeight="1">
      <c r="A67" s="4">
        <f>'SCHEDULE OF VALUE WORKSHEET'!A63</f>
        <v>57</v>
      </c>
      <c r="B67" s="142" t="str">
        <f>'SCHEDULE OF VALUE WORKSHEET'!B63</f>
        <v>PAINTING</v>
      </c>
      <c r="C67" s="143"/>
      <c r="D67" s="104">
        <f>SUM('SCHEDULE OF VALUE WORKSHEET'!E63)</f>
        <v>120700</v>
      </c>
      <c r="E67" s="104">
        <f>SUM('Draw #3'!E67:F67)</f>
        <v>0</v>
      </c>
      <c r="F67" s="105">
        <v>0</v>
      </c>
      <c r="G67" s="104">
        <f>SUM('Draw #3'!G67)+'Draw #4'!F67</f>
        <v>120700</v>
      </c>
      <c r="H67" s="109">
        <f t="shared" si="0"/>
        <v>120700</v>
      </c>
      <c r="I67" s="110">
        <v>0</v>
      </c>
      <c r="J67" s="109">
        <f>SUM(I67+'Draw #3'!J67)</f>
        <v>0</v>
      </c>
      <c r="K67" s="101" t="str">
        <f t="shared" si="1"/>
        <v/>
      </c>
      <c r="L67" s="9"/>
      <c r="M67" s="9"/>
    </row>
    <row r="68" spans="1:13" ht="14.1" customHeight="1">
      <c r="A68" s="4">
        <f>'SCHEDULE OF VALUE WORKSHEET'!A64</f>
        <v>58</v>
      </c>
      <c r="B68" s="142" t="str">
        <f>'SCHEDULE OF VALUE WORKSHEET'!B64</f>
        <v>FLOORING - common areas</v>
      </c>
      <c r="C68" s="143"/>
      <c r="D68" s="104">
        <f>SUM('SCHEDULE OF VALUE WORKSHEET'!E64)</f>
        <v>45150</v>
      </c>
      <c r="E68" s="104">
        <f>SUM('Draw #3'!E68:F68)</f>
        <v>0</v>
      </c>
      <c r="F68" s="105">
        <v>0</v>
      </c>
      <c r="G68" s="104">
        <f>SUM('Draw #3'!G68)+'Draw #4'!F68</f>
        <v>45150</v>
      </c>
      <c r="H68" s="109">
        <f t="shared" si="0"/>
        <v>45150</v>
      </c>
      <c r="I68" s="110">
        <v>0</v>
      </c>
      <c r="J68" s="109">
        <f>SUM(I68+'Draw #3'!J68)</f>
        <v>0</v>
      </c>
      <c r="K68" s="101" t="str">
        <f t="shared" si="1"/>
        <v/>
      </c>
      <c r="L68" s="9"/>
      <c r="M68" s="9"/>
    </row>
    <row r="69" spans="1:13" ht="14.1" customHeight="1">
      <c r="A69" s="4">
        <f>'SCHEDULE OF VALUE WORKSHEET'!A65</f>
        <v>59</v>
      </c>
      <c r="B69" s="142" t="str">
        <f>'SCHEDULE OF VALUE WORKSHEET'!B65</f>
        <v>FLOORING - Units with baseboards</v>
      </c>
      <c r="C69" s="143"/>
      <c r="D69" s="104">
        <f>SUM('SCHEDULE OF VALUE WORKSHEET'!E65)</f>
        <v>93335</v>
      </c>
      <c r="E69" s="104">
        <f>SUM('Draw #3'!E69:F69)</f>
        <v>0</v>
      </c>
      <c r="F69" s="105">
        <v>0</v>
      </c>
      <c r="G69" s="104">
        <f>SUM('Draw #3'!G69)+'Draw #4'!F69</f>
        <v>93335</v>
      </c>
      <c r="H69" s="109">
        <f t="shared" si="0"/>
        <v>93335</v>
      </c>
      <c r="I69" s="110">
        <v>0</v>
      </c>
      <c r="J69" s="109">
        <f>SUM(I69+'Draw #3'!J69)</f>
        <v>0</v>
      </c>
      <c r="K69" s="101" t="str">
        <f t="shared" si="1"/>
        <v/>
      </c>
      <c r="L69" s="9"/>
      <c r="M69" s="9"/>
    </row>
    <row r="70" spans="1:13" ht="14.1" customHeight="1">
      <c r="A70" s="4">
        <f>'SCHEDULE OF VALUE WORKSHEET'!A66</f>
        <v>60</v>
      </c>
      <c r="B70" s="142" t="str">
        <f>'SCHEDULE OF VALUE WORKSHEET'!B66</f>
        <v>SPECIALTIES</v>
      </c>
      <c r="C70" s="143"/>
      <c r="D70" s="104">
        <f>SUM('SCHEDULE OF VALUE WORKSHEET'!E66)</f>
        <v>25109.21</v>
      </c>
      <c r="E70" s="104">
        <f>SUM('Draw #3'!E70:F70)</f>
        <v>0</v>
      </c>
      <c r="F70" s="105">
        <v>0</v>
      </c>
      <c r="G70" s="104">
        <f>SUM('Draw #3'!G70)+'Draw #4'!F70</f>
        <v>25109.21</v>
      </c>
      <c r="H70" s="109">
        <f t="shared" si="0"/>
        <v>25109.21</v>
      </c>
      <c r="I70" s="110">
        <v>0</v>
      </c>
      <c r="J70" s="109">
        <f>SUM(I70+'Draw #3'!J70)</f>
        <v>0</v>
      </c>
      <c r="K70" s="101" t="str">
        <f t="shared" si="1"/>
        <v/>
      </c>
      <c r="L70" s="9"/>
      <c r="M70" s="9"/>
    </row>
    <row r="71" spans="1:13" ht="14.1" customHeight="1">
      <c r="A71" s="4">
        <f>'SCHEDULE OF VALUE WORKSHEET'!A67</f>
        <v>61</v>
      </c>
      <c r="B71" s="142" t="str">
        <f>'SCHEDULE OF VALUE WORKSHEET'!B67</f>
        <v>EQUIPMENT</v>
      </c>
      <c r="C71" s="143"/>
      <c r="D71" s="104">
        <f>SUM('SCHEDULE OF VALUE WORKSHEET'!E67)</f>
        <v>153636</v>
      </c>
      <c r="E71" s="104">
        <f>SUM('Draw #3'!E71:F71)</f>
        <v>0</v>
      </c>
      <c r="F71" s="105">
        <v>0</v>
      </c>
      <c r="G71" s="104">
        <f>SUM('Draw #3'!G71)+'Draw #4'!F71</f>
        <v>153636</v>
      </c>
      <c r="H71" s="109">
        <f t="shared" si="0"/>
        <v>153636</v>
      </c>
      <c r="I71" s="110">
        <v>0</v>
      </c>
      <c r="J71" s="109">
        <f>SUM(I71+'Draw #3'!J71)</f>
        <v>0</v>
      </c>
      <c r="K71" s="101" t="str">
        <f t="shared" si="1"/>
        <v/>
      </c>
      <c r="L71" s="9"/>
      <c r="M71" s="9"/>
    </row>
    <row r="72" spans="1:13" ht="14.1" customHeight="1">
      <c r="A72" s="4">
        <f>'SCHEDULE OF VALUE WORKSHEET'!A68</f>
        <v>62</v>
      </c>
      <c r="B72" s="142" t="str">
        <f>'SCHEDULE OF VALUE WORKSHEET'!B68</f>
        <v>FURNISHING</v>
      </c>
      <c r="C72" s="143"/>
      <c r="D72" s="104">
        <f>SUM('SCHEDULE OF VALUE WORKSHEET'!E68)</f>
        <v>0</v>
      </c>
      <c r="E72" s="104">
        <f>SUM('Draw #3'!E72:F72)</f>
        <v>0</v>
      </c>
      <c r="F72" s="105">
        <v>0</v>
      </c>
      <c r="G72" s="104">
        <f>SUM('Draw #3'!G72)+'Draw #4'!F72</f>
        <v>0</v>
      </c>
      <c r="H72" s="109">
        <f t="shared" si="0"/>
        <v>0</v>
      </c>
      <c r="I72" s="110">
        <v>0</v>
      </c>
      <c r="J72" s="109">
        <f>SUM(I72+'Draw #3'!J72)</f>
        <v>0</v>
      </c>
      <c r="K72" s="101" t="str">
        <f t="shared" si="1"/>
        <v/>
      </c>
      <c r="L72" s="9"/>
      <c r="M72" s="9"/>
    </row>
    <row r="73" spans="1:13" ht="14.1" customHeight="1">
      <c r="A73" s="4">
        <f>'SCHEDULE OF VALUE WORKSHEET'!A69</f>
        <v>63</v>
      </c>
      <c r="B73" s="142" t="str">
        <f>'SCHEDULE OF VALUE WORKSHEET'!B69</f>
        <v>FIRE SPRINKLERS</v>
      </c>
      <c r="C73" s="143"/>
      <c r="D73" s="104">
        <f>SUM('SCHEDULE OF VALUE WORKSHEET'!E69)</f>
        <v>108500</v>
      </c>
      <c r="E73" s="104">
        <f>SUM('Draw #3'!E73:F73)</f>
        <v>0</v>
      </c>
      <c r="F73" s="105">
        <v>0</v>
      </c>
      <c r="G73" s="104">
        <f>SUM('Draw #3'!G73)+'Draw #4'!F73</f>
        <v>108500</v>
      </c>
      <c r="H73" s="109">
        <f t="shared" si="0"/>
        <v>108500</v>
      </c>
      <c r="I73" s="110">
        <v>0</v>
      </c>
      <c r="J73" s="109">
        <f>SUM(I73+'Draw #3'!J73)</f>
        <v>0</v>
      </c>
      <c r="K73" s="101" t="str">
        <f t="shared" si="1"/>
        <v/>
      </c>
      <c r="L73" s="9"/>
      <c r="M73" s="9"/>
    </row>
    <row r="74" spans="1:13" ht="14.1" customHeight="1">
      <c r="A74" s="4">
        <f>'SCHEDULE OF VALUE WORKSHEET'!A70</f>
        <v>64</v>
      </c>
      <c r="B74" s="142" t="str">
        <f>'SCHEDULE OF VALUE WORKSHEET'!B70</f>
        <v>FIRE ALARM</v>
      </c>
      <c r="C74" s="143"/>
      <c r="D74" s="104">
        <f>SUM('SCHEDULE OF VALUE WORKSHEET'!E70)</f>
        <v>68401</v>
      </c>
      <c r="E74" s="104">
        <f>SUM('Draw #3'!E74:F74)</f>
        <v>0</v>
      </c>
      <c r="F74" s="105">
        <v>0</v>
      </c>
      <c r="G74" s="104">
        <f>SUM('Draw #3'!G74)+'Draw #4'!F74</f>
        <v>68401</v>
      </c>
      <c r="H74" s="109">
        <f t="shared" si="0"/>
        <v>68401</v>
      </c>
      <c r="I74" s="110">
        <v>0</v>
      </c>
      <c r="J74" s="109">
        <f>SUM(I74+'Draw #3'!J74)</f>
        <v>0</v>
      </c>
      <c r="K74" s="101" t="str">
        <f t="shared" si="1"/>
        <v/>
      </c>
      <c r="L74" s="9"/>
      <c r="M74" s="9"/>
    </row>
    <row r="75" spans="1:13" ht="14.1" customHeight="1">
      <c r="A75" s="4">
        <f>'SCHEDULE OF VALUE WORKSHEET'!A71</f>
        <v>65</v>
      </c>
      <c r="B75" s="142" t="str">
        <f>'SCHEDULE OF VALUE WORKSHEET'!B71</f>
        <v>SOLAR PANELS</v>
      </c>
      <c r="C75" s="143"/>
      <c r="D75" s="104">
        <f>SUM('SCHEDULE OF VALUE WORKSHEET'!E71)</f>
        <v>97000</v>
      </c>
      <c r="E75" s="104">
        <f>SUM('Draw #3'!E75:F75)</f>
        <v>0</v>
      </c>
      <c r="F75" s="105">
        <v>0</v>
      </c>
      <c r="G75" s="104">
        <f>SUM('Draw #3'!G75)+'Draw #4'!F75</f>
        <v>97000</v>
      </c>
      <c r="H75" s="109">
        <f t="shared" ref="H75:H135" si="2">SUM(G75-J75)</f>
        <v>97000</v>
      </c>
      <c r="I75" s="110">
        <v>0</v>
      </c>
      <c r="J75" s="109">
        <f>SUM(I75+'Draw #3'!J75)</f>
        <v>0</v>
      </c>
      <c r="K75" s="101" t="str">
        <f t="shared" ref="K75:K135" si="3">IF(J75=0,"",J75/G75)</f>
        <v/>
      </c>
      <c r="L75" s="9"/>
      <c r="M75" s="9"/>
    </row>
    <row r="76" spans="1:13" ht="14.1" customHeight="1">
      <c r="A76" s="4">
        <f>'SCHEDULE OF VALUE WORKSHEET'!A72</f>
        <v>66</v>
      </c>
      <c r="B76" s="142" t="str">
        <f>'SCHEDULE OF VALUE WORKSHEET'!B72</f>
        <v>SECURITY ACCESS &amp; SURVEILLANCE</v>
      </c>
      <c r="C76" s="143"/>
      <c r="D76" s="104">
        <f>SUM('SCHEDULE OF VALUE WORKSHEET'!E72)</f>
        <v>136430</v>
      </c>
      <c r="E76" s="104">
        <f>SUM('Draw #3'!E76:F76)</f>
        <v>0</v>
      </c>
      <c r="F76" s="105">
        <v>0</v>
      </c>
      <c r="G76" s="104">
        <f>SUM('Draw #3'!G76)+'Draw #4'!F76</f>
        <v>136430</v>
      </c>
      <c r="H76" s="109">
        <f t="shared" si="2"/>
        <v>136430</v>
      </c>
      <c r="I76" s="110">
        <v>0</v>
      </c>
      <c r="J76" s="109">
        <f>SUM(I76+'Draw #3'!J76)</f>
        <v>0</v>
      </c>
      <c r="K76" s="101" t="str">
        <f t="shared" si="3"/>
        <v/>
      </c>
      <c r="L76" s="9"/>
      <c r="M76" s="9"/>
    </row>
    <row r="77" spans="1:13" ht="14.1" customHeight="1">
      <c r="A77" s="4">
        <f>'SCHEDULE OF VALUE WORKSHEET'!A73</f>
        <v>67</v>
      </c>
      <c r="B77" s="142" t="str">
        <f>'SCHEDULE OF VALUE WORKSHEET'!B73</f>
        <v>ELEVATORS &amp; LIFT</v>
      </c>
      <c r="C77" s="143"/>
      <c r="D77" s="104">
        <f>SUM('SCHEDULE OF VALUE WORKSHEET'!E73)</f>
        <v>174882</v>
      </c>
      <c r="E77" s="104">
        <f>SUM('Draw #3'!E77:F77)</f>
        <v>0</v>
      </c>
      <c r="F77" s="105">
        <v>0</v>
      </c>
      <c r="G77" s="104">
        <f>SUM('Draw #3'!G77)+'Draw #4'!F77</f>
        <v>174882</v>
      </c>
      <c r="H77" s="109">
        <f t="shared" si="2"/>
        <v>174882</v>
      </c>
      <c r="I77" s="110">
        <v>0</v>
      </c>
      <c r="J77" s="109">
        <f>SUM(I77+'Draw #3'!J77)</f>
        <v>0</v>
      </c>
      <c r="K77" s="101" t="str">
        <f t="shared" si="3"/>
        <v/>
      </c>
      <c r="L77" s="9"/>
      <c r="M77" s="9"/>
    </row>
    <row r="78" spans="1:13" ht="14.1" customHeight="1">
      <c r="A78" s="4">
        <f>'SCHEDULE OF VALUE WORKSHEET'!A74</f>
        <v>68</v>
      </c>
      <c r="B78" s="142" t="str">
        <f>'SCHEDULE OF VALUE WORKSHEET'!B74</f>
        <v>WATER SUBMETER (material)</v>
      </c>
      <c r="C78" s="143"/>
      <c r="D78" s="104">
        <f>SUM('SCHEDULE OF VALUE WORKSHEET'!E74)</f>
        <v>12273</v>
      </c>
      <c r="E78" s="104">
        <f>SUM('Draw #3'!E78:F78)</f>
        <v>0</v>
      </c>
      <c r="F78" s="105">
        <v>0</v>
      </c>
      <c r="G78" s="104">
        <f>SUM('Draw #3'!G78)+'Draw #4'!F78</f>
        <v>12273</v>
      </c>
      <c r="H78" s="109">
        <f t="shared" si="2"/>
        <v>12273</v>
      </c>
      <c r="I78" s="110">
        <v>0</v>
      </c>
      <c r="J78" s="109">
        <f>SUM(I78+'Draw #3'!J78)</f>
        <v>0</v>
      </c>
      <c r="K78" s="101" t="str">
        <f t="shared" si="3"/>
        <v/>
      </c>
      <c r="L78" s="9"/>
      <c r="M78" s="9"/>
    </row>
    <row r="79" spans="1:13" ht="14.1" customHeight="1">
      <c r="A79" s="4">
        <f>'SCHEDULE OF VALUE WORKSHEET'!A75</f>
        <v>69</v>
      </c>
      <c r="B79" s="142" t="str">
        <f>'SCHEDULE OF VALUE WORKSHEET'!B75</f>
        <v>WATER SUBMETER (labor)</v>
      </c>
      <c r="C79" s="143"/>
      <c r="D79" s="104">
        <f>SUM('SCHEDULE OF VALUE WORKSHEET'!E75)</f>
        <v>0</v>
      </c>
      <c r="E79" s="104">
        <f>SUM('Draw #3'!E79:F79)</f>
        <v>0</v>
      </c>
      <c r="F79" s="105">
        <v>0</v>
      </c>
      <c r="G79" s="104">
        <f>SUM('Draw #3'!G79)+'Draw #4'!F79</f>
        <v>0</v>
      </c>
      <c r="H79" s="109">
        <f t="shared" si="2"/>
        <v>0</v>
      </c>
      <c r="I79" s="110">
        <v>0</v>
      </c>
      <c r="J79" s="109">
        <f>SUM(I79+'Draw #3'!J79)</f>
        <v>0</v>
      </c>
      <c r="K79" s="101" t="str">
        <f t="shared" si="3"/>
        <v/>
      </c>
      <c r="L79" s="9"/>
      <c r="M79" s="9"/>
    </row>
    <row r="80" spans="1:13" ht="14.1" customHeight="1">
      <c r="A80" s="4">
        <f>'SCHEDULE OF VALUE WORKSHEET'!A76</f>
        <v>70</v>
      </c>
      <c r="B80" s="142" t="str">
        <f>'SCHEDULE OF VALUE WORKSHEET'!B76</f>
        <v>ROUGH PLUMBING</v>
      </c>
      <c r="C80" s="143"/>
      <c r="D80" s="104">
        <f>SUM('SCHEDULE OF VALUE WORKSHEET'!E76)</f>
        <v>751927</v>
      </c>
      <c r="E80" s="104">
        <f>SUM('Draw #3'!E80:F80)</f>
        <v>0</v>
      </c>
      <c r="F80" s="105">
        <v>0</v>
      </c>
      <c r="G80" s="104">
        <f>SUM('Draw #3'!G80)+'Draw #4'!F80</f>
        <v>751927</v>
      </c>
      <c r="H80" s="109">
        <f t="shared" si="2"/>
        <v>751927</v>
      </c>
      <c r="I80" s="110">
        <v>0</v>
      </c>
      <c r="J80" s="109">
        <f>SUM(I80+'Draw #3'!J80)</f>
        <v>0</v>
      </c>
      <c r="K80" s="101" t="str">
        <f t="shared" si="3"/>
        <v/>
      </c>
      <c r="L80" s="9"/>
      <c r="M80" s="9"/>
    </row>
    <row r="81" spans="1:13" ht="14.1" customHeight="1">
      <c r="A81" s="4">
        <f>'SCHEDULE OF VALUE WORKSHEET'!A77</f>
        <v>71</v>
      </c>
      <c r="B81" s="142" t="str">
        <f>'SCHEDULE OF VALUE WORKSHEET'!B77</f>
        <v>FINISH PLUMBING</v>
      </c>
      <c r="C81" s="143"/>
      <c r="D81" s="104">
        <f>SUM('SCHEDULE OF VALUE WORKSHEET'!E77)</f>
        <v>90000</v>
      </c>
      <c r="E81" s="104">
        <f>SUM('Draw #3'!E81:F81)</f>
        <v>0</v>
      </c>
      <c r="F81" s="105">
        <v>0</v>
      </c>
      <c r="G81" s="104">
        <f>SUM('Draw #3'!G81)+'Draw #4'!F81</f>
        <v>90000</v>
      </c>
      <c r="H81" s="109">
        <f t="shared" si="2"/>
        <v>90000</v>
      </c>
      <c r="I81" s="110">
        <v>0</v>
      </c>
      <c r="J81" s="109">
        <f>SUM(I81+'Draw #3'!J81)</f>
        <v>0</v>
      </c>
      <c r="K81" s="101" t="str">
        <f t="shared" si="3"/>
        <v/>
      </c>
      <c r="L81" s="9"/>
      <c r="M81" s="9"/>
    </row>
    <row r="82" spans="1:13" ht="14.1" customHeight="1">
      <c r="A82" s="4">
        <f>'SCHEDULE OF VALUE WORKSHEET'!A78</f>
        <v>72</v>
      </c>
      <c r="B82" s="142" t="str">
        <f>'SCHEDULE OF VALUE WORKSHEET'!B78</f>
        <v>HVAC</v>
      </c>
      <c r="C82" s="143"/>
      <c r="D82" s="104">
        <f>SUM('SCHEDULE OF VALUE WORKSHEET'!E78)</f>
        <v>259000</v>
      </c>
      <c r="E82" s="104">
        <f>SUM('Draw #3'!E82:F82)</f>
        <v>0</v>
      </c>
      <c r="F82" s="105">
        <v>0</v>
      </c>
      <c r="G82" s="104">
        <f>SUM('Draw #3'!G82)+'Draw #4'!F82</f>
        <v>259000</v>
      </c>
      <c r="H82" s="109">
        <f t="shared" si="2"/>
        <v>259000</v>
      </c>
      <c r="I82" s="110">
        <v>0</v>
      </c>
      <c r="J82" s="109">
        <f>SUM(I82+'Draw #3'!J82)</f>
        <v>0</v>
      </c>
      <c r="K82" s="101" t="str">
        <f t="shared" si="3"/>
        <v/>
      </c>
      <c r="L82" s="9"/>
      <c r="M82" s="9"/>
    </row>
    <row r="83" spans="1:13" ht="14.1" customHeight="1">
      <c r="A83" s="4">
        <f>'SCHEDULE OF VALUE WORKSHEET'!A79</f>
        <v>73</v>
      </c>
      <c r="B83" s="142" t="str">
        <f>'SCHEDULE OF VALUE WORKSHEET'!B79</f>
        <v>ELECTRICAL</v>
      </c>
      <c r="C83" s="143"/>
      <c r="D83" s="104">
        <f>SUM('SCHEDULE OF VALUE WORKSHEET'!E79)</f>
        <v>880486.32</v>
      </c>
      <c r="E83" s="104">
        <f>SUM('Draw #3'!E83:F83)</f>
        <v>0</v>
      </c>
      <c r="F83" s="105">
        <v>0</v>
      </c>
      <c r="G83" s="104">
        <f>SUM('Draw #3'!G83)+'Draw #4'!F83</f>
        <v>880486.32</v>
      </c>
      <c r="H83" s="109">
        <f t="shared" si="2"/>
        <v>880486.32</v>
      </c>
      <c r="I83" s="110">
        <v>0</v>
      </c>
      <c r="J83" s="109">
        <f>SUM(I83+'Draw #3'!J83)</f>
        <v>0</v>
      </c>
      <c r="K83" s="101" t="str">
        <f t="shared" si="3"/>
        <v/>
      </c>
      <c r="L83" s="9"/>
      <c r="M83" s="9"/>
    </row>
    <row r="84" spans="1:13" ht="14.1" customHeight="1">
      <c r="A84" s="4">
        <f>'SCHEDULE OF VALUE WORKSHEET'!A80</f>
        <v>74</v>
      </c>
      <c r="B84" s="142" t="str">
        <f>'SCHEDULE OF VALUE WORKSHEET'!B80</f>
        <v xml:space="preserve">CONTINGENCY </v>
      </c>
      <c r="C84" s="143"/>
      <c r="D84" s="104">
        <f>SUM('SCHEDULE OF VALUE WORKSHEET'!E80)</f>
        <v>529215.20000000007</v>
      </c>
      <c r="E84" s="104">
        <f>SUM('Draw #3'!E84:F84)</f>
        <v>0</v>
      </c>
      <c r="F84" s="105">
        <v>0</v>
      </c>
      <c r="G84" s="104">
        <f>SUM('Draw #3'!G84)+'Draw #4'!F84</f>
        <v>529215.20000000007</v>
      </c>
      <c r="H84" s="109">
        <f t="shared" si="2"/>
        <v>529215.20000000007</v>
      </c>
      <c r="I84" s="110">
        <v>0</v>
      </c>
      <c r="J84" s="109">
        <f>SUM(I84+'Draw #3'!J84)</f>
        <v>0</v>
      </c>
      <c r="K84" s="101" t="str">
        <f t="shared" si="3"/>
        <v/>
      </c>
      <c r="L84" s="9"/>
      <c r="M84" s="9"/>
    </row>
    <row r="85" spans="1:13" ht="14.1" customHeight="1">
      <c r="A85" s="4">
        <f>'SCHEDULE OF VALUE WORKSHEET'!A81</f>
        <v>75</v>
      </c>
      <c r="B85" s="142" t="str">
        <f>'SCHEDULE OF VALUE WORKSHEET'!B81</f>
        <v>INSURANCE (GL w/auto, workers compl)</v>
      </c>
      <c r="C85" s="143"/>
      <c r="D85" s="104">
        <f>SUM('SCHEDULE OF VALUE WORKSHEET'!E81)</f>
        <v>97177.07</v>
      </c>
      <c r="E85" s="104">
        <f>SUM('Draw #3'!E85:F85)</f>
        <v>0</v>
      </c>
      <c r="F85" s="105">
        <v>0</v>
      </c>
      <c r="G85" s="104">
        <f>SUM('Draw #3'!G85)+'Draw #4'!F85</f>
        <v>97177.07</v>
      </c>
      <c r="H85" s="109">
        <f t="shared" si="2"/>
        <v>97177.07</v>
      </c>
      <c r="I85" s="110">
        <v>0</v>
      </c>
      <c r="J85" s="109">
        <f>SUM(I85+'Draw #3'!J85)</f>
        <v>0</v>
      </c>
      <c r="K85" s="101" t="str">
        <f t="shared" si="3"/>
        <v/>
      </c>
      <c r="L85" s="9"/>
      <c r="M85" s="9"/>
    </row>
    <row r="86" spans="1:13" ht="14.1" customHeight="1">
      <c r="A86" s="4">
        <f>'SCHEDULE OF VALUE WORKSHEET'!A82</f>
        <v>76</v>
      </c>
      <c r="B86" s="142" t="str">
        <f>'SCHEDULE OF VALUE WORKSHEET'!B82</f>
        <v>GROSS RECEIPT TAX</v>
      </c>
      <c r="C86" s="143"/>
      <c r="D86" s="104">
        <f>SUM('SCHEDULE OF VALUE WORKSHEET'!E82)</f>
        <v>6543.26</v>
      </c>
      <c r="E86" s="104">
        <f>SUM('Draw #3'!E86:F86)</f>
        <v>0</v>
      </c>
      <c r="F86" s="105">
        <v>0</v>
      </c>
      <c r="G86" s="104">
        <f>SUM('Draw #3'!G86)+'Draw #4'!F86</f>
        <v>6543.26</v>
      </c>
      <c r="H86" s="109">
        <f t="shared" si="2"/>
        <v>6543.26</v>
      </c>
      <c r="I86" s="110">
        <v>0</v>
      </c>
      <c r="J86" s="109">
        <f>SUM(I86+'Draw #3'!J86)</f>
        <v>0</v>
      </c>
      <c r="K86" s="101" t="str">
        <f t="shared" si="3"/>
        <v/>
      </c>
      <c r="L86" s="9"/>
      <c r="M86" s="9"/>
    </row>
    <row r="87" spans="1:13" ht="14.1" customHeight="1">
      <c r="A87" s="4">
        <f>'SCHEDULE OF VALUE WORKSHEET'!A83</f>
        <v>77</v>
      </c>
      <c r="B87" s="142" t="str">
        <f>'SCHEDULE OF VALUE WORKSHEET'!B83</f>
        <v>GC FEE</v>
      </c>
      <c r="C87" s="143"/>
      <c r="D87" s="104">
        <f>SUM('SCHEDULE OF VALUE WORKSHEET'!E83)</f>
        <v>388708.28</v>
      </c>
      <c r="E87" s="104">
        <f>SUM('Draw #3'!E87:F87)</f>
        <v>0</v>
      </c>
      <c r="F87" s="105">
        <v>0</v>
      </c>
      <c r="G87" s="104">
        <f>SUM('Draw #3'!G87)+'Draw #4'!F87</f>
        <v>388708.28</v>
      </c>
      <c r="H87" s="109">
        <f t="shared" si="2"/>
        <v>388708.28</v>
      </c>
      <c r="I87" s="110">
        <v>0</v>
      </c>
      <c r="J87" s="109">
        <f>SUM(I87+'Draw #3'!J87)</f>
        <v>0</v>
      </c>
      <c r="K87" s="101" t="str">
        <f t="shared" si="3"/>
        <v/>
      </c>
      <c r="L87" s="9"/>
      <c r="M87" s="9"/>
    </row>
    <row r="88" spans="1:13" ht="14.1" customHeight="1">
      <c r="A88" s="4">
        <f>'SCHEDULE OF VALUE WORKSHEET'!A84</f>
        <v>78</v>
      </c>
      <c r="B88" s="142" t="str">
        <f>'SCHEDULE OF VALUE WORKSHEET'!B84</f>
        <v>DEVELOPMENT FEE</v>
      </c>
      <c r="C88" s="143"/>
      <c r="D88" s="104">
        <f>SUM('SCHEDULE OF VALUE WORKSHEET'!E84)</f>
        <v>180523.5</v>
      </c>
      <c r="E88" s="104">
        <f>SUM('Draw #3'!E88:F88)</f>
        <v>0</v>
      </c>
      <c r="F88" s="105">
        <v>0</v>
      </c>
      <c r="G88" s="104">
        <f>SUM('Draw #3'!G88)+'Draw #4'!F88</f>
        <v>180523.5</v>
      </c>
      <c r="H88" s="109">
        <f t="shared" si="2"/>
        <v>180523.5</v>
      </c>
      <c r="I88" s="110">
        <v>0</v>
      </c>
      <c r="J88" s="109">
        <f>SUM(I88+'Draw #3'!J88)</f>
        <v>0</v>
      </c>
      <c r="K88" s="101" t="str">
        <f t="shared" si="3"/>
        <v/>
      </c>
      <c r="L88" s="9"/>
      <c r="M88" s="9"/>
    </row>
    <row r="89" spans="1:13" ht="14.1" customHeight="1">
      <c r="A89" s="4">
        <f>'SCHEDULE OF VALUE WORKSHEET'!A85</f>
        <v>79</v>
      </c>
      <c r="B89" s="142" t="str">
        <f>'SCHEDULE OF VALUE WORKSHEET'!B85</f>
        <v>CARRYING COSTS</v>
      </c>
      <c r="C89" s="143"/>
      <c r="D89" s="104">
        <f>SUM('SCHEDULE OF VALUE WORKSHEET'!E85)</f>
        <v>92885.53</v>
      </c>
      <c r="E89" s="104">
        <f>SUM('Draw #3'!E89:F89)</f>
        <v>0</v>
      </c>
      <c r="F89" s="105">
        <v>0</v>
      </c>
      <c r="G89" s="104">
        <f>SUM('Draw #3'!G89)+'Draw #4'!F89</f>
        <v>92885.53</v>
      </c>
      <c r="H89" s="109">
        <f t="shared" si="2"/>
        <v>92885.53</v>
      </c>
      <c r="I89" s="110">
        <v>0</v>
      </c>
      <c r="J89" s="109">
        <f>SUM(I89+'Draw #3'!J89)</f>
        <v>0</v>
      </c>
      <c r="K89" s="101" t="str">
        <f t="shared" si="3"/>
        <v/>
      </c>
      <c r="L89" s="9"/>
      <c r="M89" s="9"/>
    </row>
    <row r="90" spans="1:13" ht="14.1" customHeight="1">
      <c r="A90" s="4">
        <f>'SCHEDULE OF VALUE WORKSHEET'!A86</f>
        <v>80</v>
      </c>
      <c r="B90" s="142" t="str">
        <f>'SCHEDULE OF VALUE WORKSHEET'!B86</f>
        <v>FINANCING COSTS</v>
      </c>
      <c r="C90" s="143"/>
      <c r="D90" s="104">
        <f>SUM('SCHEDULE OF VALUE WORKSHEET'!E86)</f>
        <v>0</v>
      </c>
      <c r="E90" s="104">
        <f>SUM('Draw #3'!E90:F90)</f>
        <v>0</v>
      </c>
      <c r="F90" s="105">
        <v>0</v>
      </c>
      <c r="G90" s="104">
        <f>SUM('Draw #3'!G90)+'Draw #4'!F90</f>
        <v>0</v>
      </c>
      <c r="H90" s="109">
        <f t="shared" si="2"/>
        <v>0</v>
      </c>
      <c r="I90" s="110">
        <v>0</v>
      </c>
      <c r="J90" s="109">
        <f>SUM(I90+'Draw #3'!J90)</f>
        <v>0</v>
      </c>
      <c r="K90" s="101" t="str">
        <f t="shared" si="3"/>
        <v/>
      </c>
      <c r="L90" s="9"/>
      <c r="M90" s="9"/>
    </row>
    <row r="91" spans="1:13" ht="14.1" customHeight="1">
      <c r="A91" s="4" t="e">
        <f>'SCHEDULE OF VALUE WORKSHEET'!#REF!</f>
        <v>#REF!</v>
      </c>
      <c r="B91" s="142" t="e">
        <f>'SCHEDULE OF VALUE WORKSHEET'!#REF!</f>
        <v>#REF!</v>
      </c>
      <c r="C91" s="143"/>
      <c r="D91" s="104" t="e">
        <f>SUM('SCHEDULE OF VALUE WORKSHEET'!#REF!)</f>
        <v>#REF!</v>
      </c>
      <c r="E91" s="104">
        <f>SUM('Draw #3'!E91:F91)</f>
        <v>0</v>
      </c>
      <c r="F91" s="105">
        <v>0</v>
      </c>
      <c r="G91" s="104" t="e">
        <f>SUM('Draw #3'!G91)+'Draw #4'!F91</f>
        <v>#REF!</v>
      </c>
      <c r="H91" s="109" t="e">
        <f t="shared" si="2"/>
        <v>#REF!</v>
      </c>
      <c r="I91" s="110">
        <v>0</v>
      </c>
      <c r="J91" s="109">
        <f>SUM(I91+'Draw #3'!J91)</f>
        <v>0</v>
      </c>
      <c r="K91" s="101" t="str">
        <f t="shared" si="3"/>
        <v/>
      </c>
      <c r="L91" s="9"/>
      <c r="M91" s="9"/>
    </row>
    <row r="92" spans="1:13" ht="14.1" customHeight="1">
      <c r="A92" s="4" t="e">
        <f>'SCHEDULE OF VALUE WORKSHEET'!#REF!</f>
        <v>#REF!</v>
      </c>
      <c r="B92" s="142" t="e">
        <f>'SCHEDULE OF VALUE WORKSHEET'!#REF!</f>
        <v>#REF!</v>
      </c>
      <c r="C92" s="143"/>
      <c r="D92" s="104" t="e">
        <f>SUM('SCHEDULE OF VALUE WORKSHEET'!#REF!)</f>
        <v>#REF!</v>
      </c>
      <c r="E92" s="104">
        <f>SUM('Draw #3'!E92:F92)</f>
        <v>0</v>
      </c>
      <c r="F92" s="105">
        <v>0</v>
      </c>
      <c r="G92" s="104" t="e">
        <f>SUM('Draw #3'!G92)+'Draw #4'!F92</f>
        <v>#REF!</v>
      </c>
      <c r="H92" s="109" t="e">
        <f t="shared" si="2"/>
        <v>#REF!</v>
      </c>
      <c r="I92" s="110">
        <v>0</v>
      </c>
      <c r="J92" s="109">
        <f>SUM(I92+'Draw #3'!J92)</f>
        <v>0</v>
      </c>
      <c r="K92" s="101" t="str">
        <f t="shared" si="3"/>
        <v/>
      </c>
      <c r="L92" s="9"/>
      <c r="M92" s="9"/>
    </row>
    <row r="93" spans="1:13" ht="14.1" customHeight="1">
      <c r="A93" s="4" t="e">
        <f>'SCHEDULE OF VALUE WORKSHEET'!#REF!</f>
        <v>#REF!</v>
      </c>
      <c r="B93" s="142" t="e">
        <f>'SCHEDULE OF VALUE WORKSHEET'!#REF!</f>
        <v>#REF!</v>
      </c>
      <c r="C93" s="143"/>
      <c r="D93" s="104" t="e">
        <f>SUM('SCHEDULE OF VALUE WORKSHEET'!#REF!)</f>
        <v>#REF!</v>
      </c>
      <c r="E93" s="104">
        <f>SUM('Draw #3'!E93:F93)</f>
        <v>0</v>
      </c>
      <c r="F93" s="105">
        <v>0</v>
      </c>
      <c r="G93" s="104" t="e">
        <f>SUM('Draw #3'!G93)+'Draw #4'!F93</f>
        <v>#REF!</v>
      </c>
      <c r="H93" s="109" t="e">
        <f t="shared" si="2"/>
        <v>#REF!</v>
      </c>
      <c r="I93" s="110">
        <v>0</v>
      </c>
      <c r="J93" s="109">
        <f>SUM(I93+'Draw #3'!J93)</f>
        <v>0</v>
      </c>
      <c r="K93" s="101" t="str">
        <f t="shared" si="3"/>
        <v/>
      </c>
      <c r="L93" s="9"/>
      <c r="M93" s="9"/>
    </row>
    <row r="94" spans="1:13" ht="14.1" customHeight="1">
      <c r="A94" s="4" t="e">
        <f>'SCHEDULE OF VALUE WORKSHEET'!#REF!</f>
        <v>#REF!</v>
      </c>
      <c r="B94" s="142" t="e">
        <f>'SCHEDULE OF VALUE WORKSHEET'!#REF!</f>
        <v>#REF!</v>
      </c>
      <c r="C94" s="143"/>
      <c r="D94" s="104" t="e">
        <f>SUM('SCHEDULE OF VALUE WORKSHEET'!#REF!)</f>
        <v>#REF!</v>
      </c>
      <c r="E94" s="104">
        <f>SUM('Draw #3'!E94:F94)</f>
        <v>0</v>
      </c>
      <c r="F94" s="105">
        <v>0</v>
      </c>
      <c r="G94" s="104" t="e">
        <f>SUM('Draw #3'!G94)+'Draw #4'!F94</f>
        <v>#REF!</v>
      </c>
      <c r="H94" s="109" t="e">
        <f t="shared" si="2"/>
        <v>#REF!</v>
      </c>
      <c r="I94" s="110">
        <v>0</v>
      </c>
      <c r="J94" s="109">
        <f>SUM(I94+'Draw #3'!J94)</f>
        <v>0</v>
      </c>
      <c r="K94" s="101" t="str">
        <f t="shared" si="3"/>
        <v/>
      </c>
      <c r="L94" s="9"/>
      <c r="M94" s="9"/>
    </row>
    <row r="95" spans="1:13" ht="14.1" customHeight="1">
      <c r="A95" s="4" t="e">
        <f>'SCHEDULE OF VALUE WORKSHEET'!#REF!</f>
        <v>#REF!</v>
      </c>
      <c r="B95" s="142" t="e">
        <f>'SCHEDULE OF VALUE WORKSHEET'!#REF!</f>
        <v>#REF!</v>
      </c>
      <c r="C95" s="143"/>
      <c r="D95" s="104" t="e">
        <f>SUM('SCHEDULE OF VALUE WORKSHEET'!#REF!)</f>
        <v>#REF!</v>
      </c>
      <c r="E95" s="104">
        <f>SUM('Draw #3'!E95:F95)</f>
        <v>0</v>
      </c>
      <c r="F95" s="105">
        <v>0</v>
      </c>
      <c r="G95" s="104" t="e">
        <f>SUM('Draw #3'!G95)+'Draw #4'!F95</f>
        <v>#REF!</v>
      </c>
      <c r="H95" s="109" t="e">
        <f t="shared" si="2"/>
        <v>#REF!</v>
      </c>
      <c r="I95" s="110">
        <v>0</v>
      </c>
      <c r="J95" s="109">
        <f>SUM(I95+'Draw #3'!J95)</f>
        <v>0</v>
      </c>
      <c r="K95" s="101" t="str">
        <f t="shared" si="3"/>
        <v/>
      </c>
      <c r="L95" s="9"/>
      <c r="M95" s="9"/>
    </row>
    <row r="96" spans="1:13" ht="14.1" customHeight="1">
      <c r="A96" s="4" t="e">
        <f>'SCHEDULE OF VALUE WORKSHEET'!#REF!</f>
        <v>#REF!</v>
      </c>
      <c r="B96" s="142" t="e">
        <f>'SCHEDULE OF VALUE WORKSHEET'!#REF!</f>
        <v>#REF!</v>
      </c>
      <c r="C96" s="143"/>
      <c r="D96" s="104" t="e">
        <f>SUM('SCHEDULE OF VALUE WORKSHEET'!#REF!)</f>
        <v>#REF!</v>
      </c>
      <c r="E96" s="104">
        <f>SUM('Draw #3'!E96:F96)</f>
        <v>0</v>
      </c>
      <c r="F96" s="105">
        <v>0</v>
      </c>
      <c r="G96" s="104" t="e">
        <f>SUM('Draw #3'!G96)+'Draw #4'!F96</f>
        <v>#REF!</v>
      </c>
      <c r="H96" s="109" t="e">
        <f t="shared" si="2"/>
        <v>#REF!</v>
      </c>
      <c r="I96" s="110">
        <v>0</v>
      </c>
      <c r="J96" s="109">
        <f>SUM(I96+'Draw #3'!J96)</f>
        <v>0</v>
      </c>
      <c r="K96" s="101" t="str">
        <f t="shared" si="3"/>
        <v/>
      </c>
      <c r="L96" s="9"/>
      <c r="M96" s="9"/>
    </row>
    <row r="97" spans="1:13" ht="14.1" customHeight="1">
      <c r="A97" s="4" t="e">
        <f>'SCHEDULE OF VALUE WORKSHEET'!#REF!</f>
        <v>#REF!</v>
      </c>
      <c r="B97" s="142" t="e">
        <f>'SCHEDULE OF VALUE WORKSHEET'!#REF!</f>
        <v>#REF!</v>
      </c>
      <c r="C97" s="143"/>
      <c r="D97" s="104" t="e">
        <f>SUM('SCHEDULE OF VALUE WORKSHEET'!#REF!)</f>
        <v>#REF!</v>
      </c>
      <c r="E97" s="104">
        <f>SUM('Draw #3'!E97:F97)</f>
        <v>0</v>
      </c>
      <c r="F97" s="105">
        <v>0</v>
      </c>
      <c r="G97" s="104" t="e">
        <f>SUM('Draw #3'!G97)+'Draw #4'!F97</f>
        <v>#REF!</v>
      </c>
      <c r="H97" s="109" t="e">
        <f t="shared" si="2"/>
        <v>#REF!</v>
      </c>
      <c r="I97" s="110">
        <v>0</v>
      </c>
      <c r="J97" s="109">
        <f>SUM(I97+'Draw #3'!J97)</f>
        <v>0</v>
      </c>
      <c r="K97" s="101" t="str">
        <f t="shared" si="3"/>
        <v/>
      </c>
      <c r="L97" s="9"/>
      <c r="M97" s="9"/>
    </row>
    <row r="98" spans="1:13" ht="14.1" customHeight="1">
      <c r="A98" s="4" t="e">
        <f>'SCHEDULE OF VALUE WORKSHEET'!#REF!</f>
        <v>#REF!</v>
      </c>
      <c r="B98" s="142" t="e">
        <f>'SCHEDULE OF VALUE WORKSHEET'!#REF!</f>
        <v>#REF!</v>
      </c>
      <c r="C98" s="143"/>
      <c r="D98" s="104" t="e">
        <f>SUM('SCHEDULE OF VALUE WORKSHEET'!#REF!)</f>
        <v>#REF!</v>
      </c>
      <c r="E98" s="104">
        <f>SUM('Draw #3'!E98:F98)</f>
        <v>0</v>
      </c>
      <c r="F98" s="105">
        <v>0</v>
      </c>
      <c r="G98" s="104" t="e">
        <f>SUM('Draw #3'!G98)+'Draw #4'!F98</f>
        <v>#REF!</v>
      </c>
      <c r="H98" s="109" t="e">
        <f t="shared" si="2"/>
        <v>#REF!</v>
      </c>
      <c r="I98" s="110">
        <v>0</v>
      </c>
      <c r="J98" s="109">
        <f>SUM(I98+'Draw #3'!J98)</f>
        <v>0</v>
      </c>
      <c r="K98" s="101" t="str">
        <f t="shared" si="3"/>
        <v/>
      </c>
      <c r="L98" s="9"/>
      <c r="M98" s="9"/>
    </row>
    <row r="99" spans="1:13" ht="14.1" customHeight="1">
      <c r="A99" s="4" t="e">
        <f>'SCHEDULE OF VALUE WORKSHEET'!#REF!</f>
        <v>#REF!</v>
      </c>
      <c r="B99" s="142" t="e">
        <f>'SCHEDULE OF VALUE WORKSHEET'!#REF!</f>
        <v>#REF!</v>
      </c>
      <c r="C99" s="143"/>
      <c r="D99" s="104" t="e">
        <f>SUM('SCHEDULE OF VALUE WORKSHEET'!#REF!)</f>
        <v>#REF!</v>
      </c>
      <c r="E99" s="104">
        <f>SUM('Draw #3'!E99:F99)</f>
        <v>0</v>
      </c>
      <c r="F99" s="105">
        <v>0</v>
      </c>
      <c r="G99" s="104" t="e">
        <f>SUM('Draw #3'!G99)+'Draw #4'!F99</f>
        <v>#REF!</v>
      </c>
      <c r="H99" s="109" t="e">
        <f t="shared" si="2"/>
        <v>#REF!</v>
      </c>
      <c r="I99" s="110">
        <v>0</v>
      </c>
      <c r="J99" s="109">
        <f>SUM(I99+'Draw #3'!J99)</f>
        <v>0</v>
      </c>
      <c r="K99" s="101" t="str">
        <f t="shared" si="3"/>
        <v/>
      </c>
      <c r="L99" s="9"/>
      <c r="M99" s="9"/>
    </row>
    <row r="100" spans="1:13" ht="14.1" customHeight="1">
      <c r="A100" s="4" t="e">
        <f>'SCHEDULE OF VALUE WORKSHEET'!#REF!</f>
        <v>#REF!</v>
      </c>
      <c r="B100" s="142" t="e">
        <f>'SCHEDULE OF VALUE WORKSHEET'!#REF!</f>
        <v>#REF!</v>
      </c>
      <c r="C100" s="143"/>
      <c r="D100" s="104" t="e">
        <f>SUM('SCHEDULE OF VALUE WORKSHEET'!#REF!)</f>
        <v>#REF!</v>
      </c>
      <c r="E100" s="104">
        <f>SUM('Draw #3'!E100:F100)</f>
        <v>0</v>
      </c>
      <c r="F100" s="105">
        <v>0</v>
      </c>
      <c r="G100" s="104" t="e">
        <f>SUM('Draw #3'!G100)+'Draw #4'!F100</f>
        <v>#REF!</v>
      </c>
      <c r="H100" s="109" t="e">
        <f t="shared" si="2"/>
        <v>#REF!</v>
      </c>
      <c r="I100" s="110">
        <v>0</v>
      </c>
      <c r="J100" s="109">
        <f>SUM(I100+'Draw #3'!J100)</f>
        <v>0</v>
      </c>
      <c r="K100" s="101" t="str">
        <f t="shared" si="3"/>
        <v/>
      </c>
      <c r="L100" s="9"/>
      <c r="M100" s="9"/>
    </row>
    <row r="101" spans="1:13" ht="14.1" customHeight="1">
      <c r="A101" s="4" t="e">
        <f>'SCHEDULE OF VALUE WORKSHEET'!#REF!</f>
        <v>#REF!</v>
      </c>
      <c r="B101" s="142" t="e">
        <f>'SCHEDULE OF VALUE WORKSHEET'!#REF!</f>
        <v>#REF!</v>
      </c>
      <c r="C101" s="143"/>
      <c r="D101" s="104" t="e">
        <f>SUM('SCHEDULE OF VALUE WORKSHEET'!#REF!)</f>
        <v>#REF!</v>
      </c>
      <c r="E101" s="104">
        <f>SUM('Draw #3'!E101:F101)</f>
        <v>0</v>
      </c>
      <c r="F101" s="105">
        <v>0</v>
      </c>
      <c r="G101" s="104" t="e">
        <f>SUM('Draw #3'!G101)+'Draw #4'!F101</f>
        <v>#REF!</v>
      </c>
      <c r="H101" s="109" t="e">
        <f t="shared" si="2"/>
        <v>#REF!</v>
      </c>
      <c r="I101" s="110">
        <v>0</v>
      </c>
      <c r="J101" s="109">
        <f>SUM(I101+'Draw #3'!J101)</f>
        <v>0</v>
      </c>
      <c r="K101" s="101" t="str">
        <f t="shared" si="3"/>
        <v/>
      </c>
      <c r="L101" s="9"/>
      <c r="M101" s="9"/>
    </row>
    <row r="102" spans="1:13" ht="14.1" customHeight="1">
      <c r="A102" s="4" t="e">
        <f>'SCHEDULE OF VALUE WORKSHEET'!#REF!</f>
        <v>#REF!</v>
      </c>
      <c r="B102" s="142" t="e">
        <f>'SCHEDULE OF VALUE WORKSHEET'!#REF!</f>
        <v>#REF!</v>
      </c>
      <c r="C102" s="143"/>
      <c r="D102" s="104" t="e">
        <f>SUM('SCHEDULE OF VALUE WORKSHEET'!#REF!)</f>
        <v>#REF!</v>
      </c>
      <c r="E102" s="104">
        <f>SUM('Draw #3'!E102:F102)</f>
        <v>0</v>
      </c>
      <c r="F102" s="105">
        <v>0</v>
      </c>
      <c r="G102" s="104" t="e">
        <f>SUM('Draw #3'!G102)+'Draw #4'!F102</f>
        <v>#REF!</v>
      </c>
      <c r="H102" s="109" t="e">
        <f t="shared" si="2"/>
        <v>#REF!</v>
      </c>
      <c r="I102" s="110">
        <v>0</v>
      </c>
      <c r="J102" s="109">
        <f>SUM(I102+'Draw #3'!J102)</f>
        <v>0</v>
      </c>
      <c r="K102" s="101" t="str">
        <f t="shared" si="3"/>
        <v/>
      </c>
      <c r="L102" s="9"/>
      <c r="M102" s="9"/>
    </row>
    <row r="103" spans="1:13" ht="14.1" customHeight="1">
      <c r="A103" s="4" t="e">
        <f>'SCHEDULE OF VALUE WORKSHEET'!#REF!</f>
        <v>#REF!</v>
      </c>
      <c r="B103" s="142" t="e">
        <f>'SCHEDULE OF VALUE WORKSHEET'!#REF!</f>
        <v>#REF!</v>
      </c>
      <c r="C103" s="143"/>
      <c r="D103" s="104" t="e">
        <f>SUM('SCHEDULE OF VALUE WORKSHEET'!#REF!)</f>
        <v>#REF!</v>
      </c>
      <c r="E103" s="104">
        <f>SUM('Draw #3'!E103:F103)</f>
        <v>0</v>
      </c>
      <c r="F103" s="105">
        <v>0</v>
      </c>
      <c r="G103" s="104" t="e">
        <f>SUM('Draw #3'!G103)+'Draw #4'!F103</f>
        <v>#REF!</v>
      </c>
      <c r="H103" s="109" t="e">
        <f t="shared" si="2"/>
        <v>#REF!</v>
      </c>
      <c r="I103" s="110">
        <v>0</v>
      </c>
      <c r="J103" s="109">
        <f>SUM(I103+'Draw #3'!J103)</f>
        <v>0</v>
      </c>
      <c r="K103" s="101" t="str">
        <f t="shared" si="3"/>
        <v/>
      </c>
      <c r="L103" s="9"/>
      <c r="M103" s="9"/>
    </row>
    <row r="104" spans="1:13" ht="14.1" customHeight="1">
      <c r="A104" s="4" t="e">
        <f>'SCHEDULE OF VALUE WORKSHEET'!#REF!</f>
        <v>#REF!</v>
      </c>
      <c r="B104" s="142" t="e">
        <f>'SCHEDULE OF VALUE WORKSHEET'!#REF!</f>
        <v>#REF!</v>
      </c>
      <c r="C104" s="143"/>
      <c r="D104" s="104" t="e">
        <f>SUM('SCHEDULE OF VALUE WORKSHEET'!#REF!)</f>
        <v>#REF!</v>
      </c>
      <c r="E104" s="104">
        <f>SUM('Draw #3'!E104:F104)</f>
        <v>0</v>
      </c>
      <c r="F104" s="105">
        <v>0</v>
      </c>
      <c r="G104" s="104" t="e">
        <f>SUM('Draw #3'!G104)+'Draw #4'!F104</f>
        <v>#REF!</v>
      </c>
      <c r="H104" s="109" t="e">
        <f t="shared" si="2"/>
        <v>#REF!</v>
      </c>
      <c r="I104" s="110">
        <v>0</v>
      </c>
      <c r="J104" s="109">
        <f>SUM(I104+'Draw #3'!J104)</f>
        <v>0</v>
      </c>
      <c r="K104" s="101" t="str">
        <f t="shared" si="3"/>
        <v/>
      </c>
      <c r="L104" s="9"/>
      <c r="M104" s="9"/>
    </row>
    <row r="105" spans="1:13" ht="14.1" customHeight="1">
      <c r="A105" s="4" t="e">
        <f>'SCHEDULE OF VALUE WORKSHEET'!#REF!</f>
        <v>#REF!</v>
      </c>
      <c r="B105" s="142" t="e">
        <f>'SCHEDULE OF VALUE WORKSHEET'!#REF!</f>
        <v>#REF!</v>
      </c>
      <c r="C105" s="143"/>
      <c r="D105" s="104" t="e">
        <f>SUM('SCHEDULE OF VALUE WORKSHEET'!#REF!)</f>
        <v>#REF!</v>
      </c>
      <c r="E105" s="104">
        <f>SUM('Draw #3'!E105:F105)</f>
        <v>0</v>
      </c>
      <c r="F105" s="105">
        <v>0</v>
      </c>
      <c r="G105" s="104" t="e">
        <f>SUM('Draw #3'!G105)+'Draw #4'!F105</f>
        <v>#REF!</v>
      </c>
      <c r="H105" s="109" t="e">
        <f t="shared" si="2"/>
        <v>#REF!</v>
      </c>
      <c r="I105" s="110">
        <v>0</v>
      </c>
      <c r="J105" s="109">
        <f>SUM(I105+'Draw #3'!J105)</f>
        <v>0</v>
      </c>
      <c r="K105" s="101" t="str">
        <f t="shared" si="3"/>
        <v/>
      </c>
      <c r="L105" s="9"/>
      <c r="M105" s="9"/>
    </row>
    <row r="106" spans="1:13" ht="14.1" customHeight="1">
      <c r="A106" s="4" t="e">
        <f>'SCHEDULE OF VALUE WORKSHEET'!#REF!</f>
        <v>#REF!</v>
      </c>
      <c r="B106" s="142" t="e">
        <f>'SCHEDULE OF VALUE WORKSHEET'!#REF!</f>
        <v>#REF!</v>
      </c>
      <c r="C106" s="143"/>
      <c r="D106" s="104" t="e">
        <f>SUM('SCHEDULE OF VALUE WORKSHEET'!#REF!)</f>
        <v>#REF!</v>
      </c>
      <c r="E106" s="104">
        <f>SUM('Draw #3'!E106:F106)</f>
        <v>0</v>
      </c>
      <c r="F106" s="105">
        <v>0</v>
      </c>
      <c r="G106" s="104" t="e">
        <f>SUM('Draw #3'!G106)+'Draw #4'!F106</f>
        <v>#REF!</v>
      </c>
      <c r="H106" s="109" t="e">
        <f t="shared" si="2"/>
        <v>#REF!</v>
      </c>
      <c r="I106" s="110">
        <v>0</v>
      </c>
      <c r="J106" s="109">
        <f>SUM(I106+'Draw #3'!J106)</f>
        <v>0</v>
      </c>
      <c r="K106" s="101" t="str">
        <f t="shared" si="3"/>
        <v/>
      </c>
      <c r="L106" s="9"/>
      <c r="M106" s="9"/>
    </row>
    <row r="107" spans="1:13" ht="14.1" customHeight="1">
      <c r="A107" s="4" t="e">
        <f>'SCHEDULE OF VALUE WORKSHEET'!#REF!</f>
        <v>#REF!</v>
      </c>
      <c r="B107" s="142" t="e">
        <f>'SCHEDULE OF VALUE WORKSHEET'!#REF!</f>
        <v>#REF!</v>
      </c>
      <c r="C107" s="143"/>
      <c r="D107" s="104" t="e">
        <f>SUM('SCHEDULE OF VALUE WORKSHEET'!#REF!)</f>
        <v>#REF!</v>
      </c>
      <c r="E107" s="104">
        <f>SUM('Draw #3'!E107:F107)</f>
        <v>0</v>
      </c>
      <c r="F107" s="105">
        <v>0</v>
      </c>
      <c r="G107" s="104" t="e">
        <f>SUM('Draw #3'!G107)+'Draw #4'!F107</f>
        <v>#REF!</v>
      </c>
      <c r="H107" s="109" t="e">
        <f t="shared" si="2"/>
        <v>#REF!</v>
      </c>
      <c r="I107" s="110">
        <v>0</v>
      </c>
      <c r="J107" s="109">
        <f>SUM(I107+'Draw #3'!J107)</f>
        <v>0</v>
      </c>
      <c r="K107" s="101" t="str">
        <f t="shared" si="3"/>
        <v/>
      </c>
      <c r="L107" s="9"/>
      <c r="M107" s="9"/>
    </row>
    <row r="108" spans="1:13" ht="14.1" customHeight="1">
      <c r="A108" s="4" t="e">
        <f>'SCHEDULE OF VALUE WORKSHEET'!#REF!</f>
        <v>#REF!</v>
      </c>
      <c r="B108" s="142" t="e">
        <f>'SCHEDULE OF VALUE WORKSHEET'!#REF!</f>
        <v>#REF!</v>
      </c>
      <c r="C108" s="143"/>
      <c r="D108" s="104" t="e">
        <f>SUM('SCHEDULE OF VALUE WORKSHEET'!#REF!)</f>
        <v>#REF!</v>
      </c>
      <c r="E108" s="104">
        <f>SUM('Draw #3'!E108:F108)</f>
        <v>0</v>
      </c>
      <c r="F108" s="105">
        <v>0</v>
      </c>
      <c r="G108" s="104" t="e">
        <f>SUM('Draw #3'!G108)+'Draw #4'!F108</f>
        <v>#REF!</v>
      </c>
      <c r="H108" s="109" t="e">
        <f t="shared" si="2"/>
        <v>#REF!</v>
      </c>
      <c r="I108" s="110">
        <v>0</v>
      </c>
      <c r="J108" s="109">
        <f>SUM(I108+'Draw #3'!J108)</f>
        <v>0</v>
      </c>
      <c r="K108" s="101" t="str">
        <f t="shared" si="3"/>
        <v/>
      </c>
      <c r="L108" s="9"/>
      <c r="M108" s="9"/>
    </row>
    <row r="109" spans="1:13" ht="14.1" customHeight="1">
      <c r="A109" s="4" t="e">
        <f>'SCHEDULE OF VALUE WORKSHEET'!#REF!</f>
        <v>#REF!</v>
      </c>
      <c r="B109" s="142" t="e">
        <f>'SCHEDULE OF VALUE WORKSHEET'!#REF!</f>
        <v>#REF!</v>
      </c>
      <c r="C109" s="143"/>
      <c r="D109" s="104" t="e">
        <f>SUM('SCHEDULE OF VALUE WORKSHEET'!#REF!)</f>
        <v>#REF!</v>
      </c>
      <c r="E109" s="104">
        <f>SUM('Draw #3'!E109:F109)</f>
        <v>0</v>
      </c>
      <c r="F109" s="105">
        <v>0</v>
      </c>
      <c r="G109" s="104" t="e">
        <f>SUM('Draw #3'!G109)+'Draw #4'!F109</f>
        <v>#REF!</v>
      </c>
      <c r="H109" s="109" t="e">
        <f t="shared" si="2"/>
        <v>#REF!</v>
      </c>
      <c r="I109" s="110">
        <v>0</v>
      </c>
      <c r="J109" s="109">
        <f>SUM(I109+'Draw #3'!J109)</f>
        <v>0</v>
      </c>
      <c r="K109" s="101" t="str">
        <f t="shared" si="3"/>
        <v/>
      </c>
      <c r="L109" s="9"/>
      <c r="M109" s="9"/>
    </row>
    <row r="110" spans="1:13" ht="14.1" customHeight="1">
      <c r="A110" s="4" t="e">
        <f>'SCHEDULE OF VALUE WORKSHEET'!#REF!</f>
        <v>#REF!</v>
      </c>
      <c r="B110" s="142" t="e">
        <f>'SCHEDULE OF VALUE WORKSHEET'!#REF!</f>
        <v>#REF!</v>
      </c>
      <c r="C110" s="143"/>
      <c r="D110" s="104" t="e">
        <f>SUM('SCHEDULE OF VALUE WORKSHEET'!#REF!)</f>
        <v>#REF!</v>
      </c>
      <c r="E110" s="104">
        <f>SUM('Draw #3'!E110:F110)</f>
        <v>0</v>
      </c>
      <c r="F110" s="105">
        <v>0</v>
      </c>
      <c r="G110" s="104" t="e">
        <f>SUM('Draw #3'!G110)+'Draw #4'!F110</f>
        <v>#REF!</v>
      </c>
      <c r="H110" s="109" t="e">
        <f t="shared" si="2"/>
        <v>#REF!</v>
      </c>
      <c r="I110" s="110">
        <v>0</v>
      </c>
      <c r="J110" s="109">
        <f>SUM(I110+'Draw #3'!J110)</f>
        <v>0</v>
      </c>
      <c r="K110" s="101" t="str">
        <f t="shared" si="3"/>
        <v/>
      </c>
      <c r="L110" s="9"/>
      <c r="M110" s="9"/>
    </row>
    <row r="111" spans="1:13" ht="14.1" customHeight="1">
      <c r="A111" s="4" t="e">
        <f>'SCHEDULE OF VALUE WORKSHEET'!#REF!</f>
        <v>#REF!</v>
      </c>
      <c r="B111" s="142" t="e">
        <f>'SCHEDULE OF VALUE WORKSHEET'!#REF!</f>
        <v>#REF!</v>
      </c>
      <c r="C111" s="143"/>
      <c r="D111" s="104" t="e">
        <f>SUM('SCHEDULE OF VALUE WORKSHEET'!#REF!)</f>
        <v>#REF!</v>
      </c>
      <c r="E111" s="104">
        <f>SUM('Draw #3'!E111:F111)</f>
        <v>0</v>
      </c>
      <c r="F111" s="105">
        <v>0</v>
      </c>
      <c r="G111" s="104" t="e">
        <f>SUM('Draw #3'!G111)+'Draw #4'!F111</f>
        <v>#REF!</v>
      </c>
      <c r="H111" s="109" t="e">
        <f t="shared" si="2"/>
        <v>#REF!</v>
      </c>
      <c r="I111" s="110">
        <v>0</v>
      </c>
      <c r="J111" s="109">
        <f>SUM(I111+'Draw #3'!J111)</f>
        <v>0</v>
      </c>
      <c r="K111" s="101" t="str">
        <f t="shared" si="3"/>
        <v/>
      </c>
      <c r="L111" s="9"/>
      <c r="M111" s="9"/>
    </row>
    <row r="112" spans="1:13" ht="14.1" customHeight="1">
      <c r="A112" s="4" t="e">
        <f>'SCHEDULE OF VALUE WORKSHEET'!#REF!</f>
        <v>#REF!</v>
      </c>
      <c r="B112" s="142" t="e">
        <f>'SCHEDULE OF VALUE WORKSHEET'!#REF!</f>
        <v>#REF!</v>
      </c>
      <c r="C112" s="143"/>
      <c r="D112" s="104" t="e">
        <f>SUM('SCHEDULE OF VALUE WORKSHEET'!#REF!)</f>
        <v>#REF!</v>
      </c>
      <c r="E112" s="104">
        <f>SUM('Draw #3'!E112:F112)</f>
        <v>0</v>
      </c>
      <c r="F112" s="105">
        <v>0</v>
      </c>
      <c r="G112" s="104" t="e">
        <f>SUM('Draw #3'!G112)+'Draw #4'!F112</f>
        <v>#REF!</v>
      </c>
      <c r="H112" s="109" t="e">
        <f t="shared" si="2"/>
        <v>#REF!</v>
      </c>
      <c r="I112" s="110">
        <v>0</v>
      </c>
      <c r="J112" s="109">
        <f>SUM(I112+'Draw #3'!J112)</f>
        <v>0</v>
      </c>
      <c r="K112" s="101" t="str">
        <f t="shared" si="3"/>
        <v/>
      </c>
      <c r="L112" s="9"/>
      <c r="M112" s="9"/>
    </row>
    <row r="113" spans="1:13" ht="14.1" customHeight="1">
      <c r="A113" s="4" t="e">
        <f>'SCHEDULE OF VALUE WORKSHEET'!#REF!</f>
        <v>#REF!</v>
      </c>
      <c r="B113" s="142" t="e">
        <f>'SCHEDULE OF VALUE WORKSHEET'!#REF!</f>
        <v>#REF!</v>
      </c>
      <c r="C113" s="143"/>
      <c r="D113" s="104" t="e">
        <f>SUM('SCHEDULE OF VALUE WORKSHEET'!#REF!)</f>
        <v>#REF!</v>
      </c>
      <c r="E113" s="104">
        <f>SUM('Draw #3'!E113:F113)</f>
        <v>0</v>
      </c>
      <c r="F113" s="105">
        <v>0</v>
      </c>
      <c r="G113" s="104" t="e">
        <f>SUM('Draw #3'!G113)+'Draw #4'!F113</f>
        <v>#REF!</v>
      </c>
      <c r="H113" s="109" t="e">
        <f t="shared" si="2"/>
        <v>#REF!</v>
      </c>
      <c r="I113" s="110">
        <v>0</v>
      </c>
      <c r="J113" s="109">
        <f>SUM(I113+'Draw #3'!J113)</f>
        <v>0</v>
      </c>
      <c r="K113" s="101" t="str">
        <f t="shared" si="3"/>
        <v/>
      </c>
      <c r="L113" s="9"/>
      <c r="M113" s="9"/>
    </row>
    <row r="114" spans="1:13" ht="14.1" customHeight="1">
      <c r="A114" s="4" t="e">
        <f>'SCHEDULE OF VALUE WORKSHEET'!#REF!</f>
        <v>#REF!</v>
      </c>
      <c r="B114" s="142" t="e">
        <f>'SCHEDULE OF VALUE WORKSHEET'!#REF!</f>
        <v>#REF!</v>
      </c>
      <c r="C114" s="143"/>
      <c r="D114" s="104" t="e">
        <f>SUM('SCHEDULE OF VALUE WORKSHEET'!#REF!)</f>
        <v>#REF!</v>
      </c>
      <c r="E114" s="104">
        <f>SUM('Draw #3'!E114:F114)</f>
        <v>0</v>
      </c>
      <c r="F114" s="105">
        <v>0</v>
      </c>
      <c r="G114" s="104" t="e">
        <f>SUM('Draw #3'!G114)+'Draw #4'!F114</f>
        <v>#REF!</v>
      </c>
      <c r="H114" s="109" t="e">
        <f t="shared" si="2"/>
        <v>#REF!</v>
      </c>
      <c r="I114" s="110">
        <v>0</v>
      </c>
      <c r="J114" s="109">
        <f>SUM(I114+'Draw #3'!J114)</f>
        <v>0</v>
      </c>
      <c r="K114" s="101" t="str">
        <f t="shared" si="3"/>
        <v/>
      </c>
      <c r="L114" s="9"/>
      <c r="M114" s="9"/>
    </row>
    <row r="115" spans="1:13" ht="14.1" customHeight="1">
      <c r="A115" s="4" t="e">
        <f>'SCHEDULE OF VALUE WORKSHEET'!#REF!</f>
        <v>#REF!</v>
      </c>
      <c r="B115" s="142" t="e">
        <f>'SCHEDULE OF VALUE WORKSHEET'!#REF!</f>
        <v>#REF!</v>
      </c>
      <c r="C115" s="143"/>
      <c r="D115" s="104" t="e">
        <f>SUM('SCHEDULE OF VALUE WORKSHEET'!#REF!)</f>
        <v>#REF!</v>
      </c>
      <c r="E115" s="104">
        <f>SUM('Draw #3'!E115:F115)</f>
        <v>0</v>
      </c>
      <c r="F115" s="105">
        <v>0</v>
      </c>
      <c r="G115" s="104" t="e">
        <f>SUM('Draw #3'!G115)+'Draw #4'!F115</f>
        <v>#REF!</v>
      </c>
      <c r="H115" s="109" t="e">
        <f t="shared" si="2"/>
        <v>#REF!</v>
      </c>
      <c r="I115" s="110">
        <v>0</v>
      </c>
      <c r="J115" s="109">
        <f>SUM(I115+'Draw #3'!J115)</f>
        <v>0</v>
      </c>
      <c r="K115" s="101" t="str">
        <f t="shared" si="3"/>
        <v/>
      </c>
      <c r="L115" s="9"/>
      <c r="M115" s="9"/>
    </row>
    <row r="116" spans="1:13" ht="14.1" customHeight="1">
      <c r="A116" s="4" t="e">
        <f>'SCHEDULE OF VALUE WORKSHEET'!#REF!</f>
        <v>#REF!</v>
      </c>
      <c r="B116" s="142" t="e">
        <f>'SCHEDULE OF VALUE WORKSHEET'!#REF!</f>
        <v>#REF!</v>
      </c>
      <c r="C116" s="143"/>
      <c r="D116" s="104" t="e">
        <f>SUM('SCHEDULE OF VALUE WORKSHEET'!#REF!)</f>
        <v>#REF!</v>
      </c>
      <c r="E116" s="104">
        <f>SUM('Draw #3'!E116:F116)</f>
        <v>0</v>
      </c>
      <c r="F116" s="105">
        <v>0</v>
      </c>
      <c r="G116" s="104" t="e">
        <f>SUM('Draw #3'!G116)+'Draw #4'!F116</f>
        <v>#REF!</v>
      </c>
      <c r="H116" s="109" t="e">
        <f t="shared" si="2"/>
        <v>#REF!</v>
      </c>
      <c r="I116" s="110">
        <v>0</v>
      </c>
      <c r="J116" s="109">
        <f>SUM(I116+'Draw #3'!J116)</f>
        <v>0</v>
      </c>
      <c r="K116" s="101" t="str">
        <f t="shared" si="3"/>
        <v/>
      </c>
      <c r="L116" s="9"/>
      <c r="M116" s="9"/>
    </row>
    <row r="117" spans="1:13" ht="14.1" customHeight="1">
      <c r="A117" s="4">
        <f>'SCHEDULE OF VALUE WORKSHEET'!A87</f>
        <v>82</v>
      </c>
      <c r="B117" s="142" t="str">
        <f>'SCHEDULE OF VALUE WORKSHEET'!B87</f>
        <v xml:space="preserve">Open Item </v>
      </c>
      <c r="C117" s="143"/>
      <c r="D117" s="104">
        <f>SUM('SCHEDULE OF VALUE WORKSHEET'!E87)</f>
        <v>0</v>
      </c>
      <c r="E117" s="104">
        <f>SUM('Draw #3'!E117:F117)</f>
        <v>0</v>
      </c>
      <c r="F117" s="105">
        <v>0</v>
      </c>
      <c r="G117" s="104">
        <f>SUM('Draw #3'!G117)+'Draw #4'!F117</f>
        <v>0</v>
      </c>
      <c r="H117" s="109">
        <f t="shared" si="2"/>
        <v>0</v>
      </c>
      <c r="I117" s="110">
        <v>0</v>
      </c>
      <c r="J117" s="109">
        <f>SUM(I117+'Draw #3'!J117)</f>
        <v>0</v>
      </c>
      <c r="K117" s="101" t="str">
        <f t="shared" si="3"/>
        <v/>
      </c>
      <c r="L117" s="9"/>
      <c r="M117" s="9"/>
    </row>
    <row r="118" spans="1:13" ht="14.1" customHeight="1">
      <c r="A118" s="4">
        <f>'SCHEDULE OF VALUE WORKSHEET'!A88</f>
        <v>83</v>
      </c>
      <c r="B118" s="142" t="str">
        <f>'SCHEDULE OF VALUE WORKSHEET'!B88</f>
        <v xml:space="preserve">Open Item </v>
      </c>
      <c r="C118" s="143"/>
      <c r="D118" s="104">
        <f>SUM('SCHEDULE OF VALUE WORKSHEET'!E88)</f>
        <v>0</v>
      </c>
      <c r="E118" s="104">
        <f>SUM('Draw #3'!E118:F118)</f>
        <v>0</v>
      </c>
      <c r="F118" s="105">
        <v>0</v>
      </c>
      <c r="G118" s="104">
        <f>SUM('Draw #3'!G118)+'Draw #4'!F118</f>
        <v>0</v>
      </c>
      <c r="H118" s="109">
        <f t="shared" si="2"/>
        <v>0</v>
      </c>
      <c r="I118" s="110">
        <v>0</v>
      </c>
      <c r="J118" s="109">
        <f>SUM(I118+'Draw #3'!J118)</f>
        <v>0</v>
      </c>
      <c r="K118" s="101" t="str">
        <f t="shared" si="3"/>
        <v/>
      </c>
      <c r="L118" s="9"/>
      <c r="M118" s="9"/>
    </row>
    <row r="119" spans="1:13" ht="14.1" customHeight="1">
      <c r="A119" s="4">
        <f>'SCHEDULE OF VALUE WORKSHEET'!A89</f>
        <v>84</v>
      </c>
      <c r="B119" s="142" t="str">
        <f>'SCHEDULE OF VALUE WORKSHEET'!B89</f>
        <v xml:space="preserve">Open Item </v>
      </c>
      <c r="C119" s="143"/>
      <c r="D119" s="104">
        <f>SUM('SCHEDULE OF VALUE WORKSHEET'!E89)</f>
        <v>0</v>
      </c>
      <c r="E119" s="104">
        <f>SUM('Draw #3'!E119:F119)</f>
        <v>0</v>
      </c>
      <c r="F119" s="105">
        <v>0</v>
      </c>
      <c r="G119" s="104">
        <f>SUM('Draw #3'!G119)+'Draw #4'!F119</f>
        <v>0</v>
      </c>
      <c r="H119" s="109">
        <f t="shared" si="2"/>
        <v>0</v>
      </c>
      <c r="I119" s="110">
        <v>0</v>
      </c>
      <c r="J119" s="109">
        <f>SUM(I119+'Draw #3'!J119)</f>
        <v>0</v>
      </c>
      <c r="K119" s="101" t="str">
        <f t="shared" si="3"/>
        <v/>
      </c>
      <c r="L119" s="9"/>
      <c r="M119" s="9"/>
    </row>
    <row r="120" spans="1:13" ht="14.1" customHeight="1">
      <c r="A120" s="4">
        <f>'SCHEDULE OF VALUE WORKSHEET'!A90</f>
        <v>85</v>
      </c>
      <c r="B120" s="142" t="str">
        <f>'SCHEDULE OF VALUE WORKSHEET'!B90</f>
        <v xml:space="preserve">Open Item </v>
      </c>
      <c r="C120" s="143"/>
      <c r="D120" s="104">
        <f>SUM('SCHEDULE OF VALUE WORKSHEET'!E90)</f>
        <v>0</v>
      </c>
      <c r="E120" s="104">
        <f>SUM('Draw #3'!E120:F120)</f>
        <v>0</v>
      </c>
      <c r="F120" s="105">
        <v>0</v>
      </c>
      <c r="G120" s="104">
        <f>SUM('Draw #3'!G120)+'Draw #4'!F120</f>
        <v>0</v>
      </c>
      <c r="H120" s="109">
        <f t="shared" si="2"/>
        <v>0</v>
      </c>
      <c r="I120" s="110">
        <v>0</v>
      </c>
      <c r="J120" s="109">
        <f>SUM(I120+'Draw #3'!J120)</f>
        <v>0</v>
      </c>
      <c r="K120" s="101" t="str">
        <f t="shared" si="3"/>
        <v/>
      </c>
      <c r="L120" s="9"/>
      <c r="M120" s="9"/>
    </row>
    <row r="121" spans="1:13" ht="14.1" customHeight="1">
      <c r="A121" s="4">
        <f>'SCHEDULE OF VALUE WORKSHEET'!A91</f>
        <v>86</v>
      </c>
      <c r="B121" s="142" t="str">
        <f>'SCHEDULE OF VALUE WORKSHEET'!B91</f>
        <v xml:space="preserve">Open Item </v>
      </c>
      <c r="C121" s="143"/>
      <c r="D121" s="104">
        <f>SUM('SCHEDULE OF VALUE WORKSHEET'!E91)</f>
        <v>0</v>
      </c>
      <c r="E121" s="104">
        <f>SUM('Draw #3'!E121:F121)</f>
        <v>0</v>
      </c>
      <c r="F121" s="105">
        <v>0</v>
      </c>
      <c r="G121" s="104">
        <f>SUM('Draw #3'!G121)+'Draw #4'!F121</f>
        <v>0</v>
      </c>
      <c r="H121" s="109">
        <f t="shared" si="2"/>
        <v>0</v>
      </c>
      <c r="I121" s="110">
        <v>0</v>
      </c>
      <c r="J121" s="109">
        <f>SUM(I121+'Draw #3'!J121)</f>
        <v>0</v>
      </c>
      <c r="K121" s="101" t="str">
        <f t="shared" si="3"/>
        <v/>
      </c>
      <c r="L121" s="9"/>
      <c r="M121" s="9"/>
    </row>
    <row r="122" spans="1:13" ht="14.1" customHeight="1">
      <c r="A122" s="4">
        <f>'SCHEDULE OF VALUE WORKSHEET'!A92</f>
        <v>87</v>
      </c>
      <c r="B122" s="142" t="str">
        <f>'SCHEDULE OF VALUE WORKSHEET'!B92</f>
        <v xml:space="preserve">Open Item </v>
      </c>
      <c r="C122" s="143"/>
      <c r="D122" s="104">
        <f>SUM('SCHEDULE OF VALUE WORKSHEET'!E92)</f>
        <v>0</v>
      </c>
      <c r="E122" s="104">
        <f>SUM('Draw #3'!E122:F122)</f>
        <v>0</v>
      </c>
      <c r="F122" s="105">
        <v>0</v>
      </c>
      <c r="G122" s="104">
        <f>SUM('Draw #3'!G122)+'Draw #4'!F122</f>
        <v>0</v>
      </c>
      <c r="H122" s="109">
        <f t="shared" si="2"/>
        <v>0</v>
      </c>
      <c r="I122" s="110">
        <v>0</v>
      </c>
      <c r="J122" s="109">
        <f>SUM(I122+'Draw #3'!J122)</f>
        <v>0</v>
      </c>
      <c r="K122" s="101" t="str">
        <f t="shared" si="3"/>
        <v/>
      </c>
      <c r="L122" s="9"/>
      <c r="M122" s="9"/>
    </row>
    <row r="123" spans="1:13" ht="14.1" customHeight="1">
      <c r="A123" s="4">
        <f>'SCHEDULE OF VALUE WORKSHEET'!A93</f>
        <v>88</v>
      </c>
      <c r="B123" s="142" t="str">
        <f>'SCHEDULE OF VALUE WORKSHEET'!B93</f>
        <v xml:space="preserve">Open Item </v>
      </c>
      <c r="C123" s="143"/>
      <c r="D123" s="104">
        <f>SUM('SCHEDULE OF VALUE WORKSHEET'!E93)</f>
        <v>0</v>
      </c>
      <c r="E123" s="104">
        <f>SUM('Draw #3'!E123:F123)</f>
        <v>0</v>
      </c>
      <c r="F123" s="105">
        <v>0</v>
      </c>
      <c r="G123" s="104">
        <f>SUM('Draw #3'!G123)+'Draw #4'!F123</f>
        <v>0</v>
      </c>
      <c r="H123" s="109">
        <f t="shared" si="2"/>
        <v>0</v>
      </c>
      <c r="I123" s="110">
        <v>0</v>
      </c>
      <c r="J123" s="109">
        <f>SUM(I123+'Draw #3'!J123)</f>
        <v>0</v>
      </c>
      <c r="K123" s="101" t="str">
        <f t="shared" si="3"/>
        <v/>
      </c>
      <c r="L123" s="9"/>
      <c r="M123" s="9"/>
    </row>
    <row r="124" spans="1:13" ht="14.1" customHeight="1">
      <c r="A124" s="4">
        <f>'SCHEDULE OF VALUE WORKSHEET'!A94</f>
        <v>89</v>
      </c>
      <c r="B124" s="142" t="str">
        <f>'SCHEDULE OF VALUE WORKSHEET'!B94</f>
        <v xml:space="preserve">Open Item </v>
      </c>
      <c r="C124" s="143"/>
      <c r="D124" s="104">
        <f>SUM('SCHEDULE OF VALUE WORKSHEET'!E94)</f>
        <v>0</v>
      </c>
      <c r="E124" s="104">
        <f>SUM('Draw #3'!E124:F124)</f>
        <v>0</v>
      </c>
      <c r="F124" s="105">
        <v>0</v>
      </c>
      <c r="G124" s="104">
        <f>SUM('Draw #3'!G124)+'Draw #4'!F124</f>
        <v>0</v>
      </c>
      <c r="H124" s="109">
        <f t="shared" si="2"/>
        <v>0</v>
      </c>
      <c r="I124" s="110">
        <v>0</v>
      </c>
      <c r="J124" s="109">
        <f>SUM(I124+'Draw #3'!J124)</f>
        <v>0</v>
      </c>
      <c r="K124" s="101" t="str">
        <f t="shared" si="3"/>
        <v/>
      </c>
      <c r="L124" s="9"/>
      <c r="M124" s="9"/>
    </row>
    <row r="125" spans="1:13" ht="14.1" customHeight="1">
      <c r="A125" s="4">
        <f>'SCHEDULE OF VALUE WORKSHEET'!A95</f>
        <v>90</v>
      </c>
      <c r="B125" s="142" t="str">
        <f>'SCHEDULE OF VALUE WORKSHEET'!B95</f>
        <v xml:space="preserve">Open Item </v>
      </c>
      <c r="C125" s="143"/>
      <c r="D125" s="104">
        <f>SUM('SCHEDULE OF VALUE WORKSHEET'!E95)</f>
        <v>0</v>
      </c>
      <c r="E125" s="104">
        <f>SUM('Draw #3'!E125:F125)</f>
        <v>0</v>
      </c>
      <c r="F125" s="105">
        <v>0</v>
      </c>
      <c r="G125" s="104">
        <f>SUM('Draw #3'!G125)+'Draw #4'!F125</f>
        <v>0</v>
      </c>
      <c r="H125" s="109">
        <f t="shared" si="2"/>
        <v>0</v>
      </c>
      <c r="I125" s="110">
        <v>0</v>
      </c>
      <c r="J125" s="109">
        <f>SUM(I125+'Draw #3'!J125)</f>
        <v>0</v>
      </c>
      <c r="K125" s="101" t="str">
        <f t="shared" si="3"/>
        <v/>
      </c>
      <c r="L125" s="9"/>
      <c r="M125" s="9"/>
    </row>
    <row r="126" spans="1:13" ht="14.1" customHeight="1">
      <c r="A126" s="4">
        <f>'SCHEDULE OF VALUE WORKSHEET'!A96</f>
        <v>91</v>
      </c>
      <c r="B126" s="142" t="str">
        <f>'SCHEDULE OF VALUE WORKSHEET'!B96</f>
        <v xml:space="preserve">Open Item </v>
      </c>
      <c r="C126" s="143"/>
      <c r="D126" s="104">
        <f>SUM('SCHEDULE OF VALUE WORKSHEET'!E96)</f>
        <v>0</v>
      </c>
      <c r="E126" s="104">
        <f>SUM('Draw #3'!E126:F126)</f>
        <v>0</v>
      </c>
      <c r="F126" s="105">
        <v>0</v>
      </c>
      <c r="G126" s="104">
        <f>SUM('Draw #3'!G126)+'Draw #4'!F126</f>
        <v>0</v>
      </c>
      <c r="H126" s="109">
        <f t="shared" si="2"/>
        <v>0</v>
      </c>
      <c r="I126" s="110">
        <v>0</v>
      </c>
      <c r="J126" s="109">
        <f>SUM(I126+'Draw #3'!J126)</f>
        <v>0</v>
      </c>
      <c r="K126" s="101" t="str">
        <f t="shared" si="3"/>
        <v/>
      </c>
      <c r="L126" s="9"/>
      <c r="M126" s="9"/>
    </row>
    <row r="127" spans="1:13" ht="14.1" customHeight="1">
      <c r="A127" s="4">
        <f>'SCHEDULE OF VALUE WORKSHEET'!A97</f>
        <v>92</v>
      </c>
      <c r="B127" s="142" t="str">
        <f>'SCHEDULE OF VALUE WORKSHEET'!B97</f>
        <v xml:space="preserve">Open Item </v>
      </c>
      <c r="C127" s="143"/>
      <c r="D127" s="104">
        <f>SUM('SCHEDULE OF VALUE WORKSHEET'!E97)</f>
        <v>0</v>
      </c>
      <c r="E127" s="104">
        <f>SUM('Draw #3'!E127:F127)</f>
        <v>0</v>
      </c>
      <c r="F127" s="105">
        <v>0</v>
      </c>
      <c r="G127" s="104">
        <f>SUM('Draw #3'!G127)+'Draw #4'!F127</f>
        <v>0</v>
      </c>
      <c r="H127" s="109">
        <f t="shared" si="2"/>
        <v>0</v>
      </c>
      <c r="I127" s="110">
        <v>0</v>
      </c>
      <c r="J127" s="109">
        <f>SUM(I127+'Draw #3'!J127)</f>
        <v>0</v>
      </c>
      <c r="K127" s="101" t="str">
        <f t="shared" si="3"/>
        <v/>
      </c>
      <c r="L127" s="9"/>
      <c r="M127" s="9"/>
    </row>
    <row r="128" spans="1:13" ht="14.1" customHeight="1">
      <c r="A128" s="4">
        <f>'SCHEDULE OF VALUE WORKSHEET'!A98</f>
        <v>93</v>
      </c>
      <c r="B128" s="142" t="str">
        <f>'SCHEDULE OF VALUE WORKSHEET'!B98</f>
        <v xml:space="preserve">Open Item </v>
      </c>
      <c r="C128" s="143"/>
      <c r="D128" s="104">
        <f>SUM('SCHEDULE OF VALUE WORKSHEET'!E98)</f>
        <v>0</v>
      </c>
      <c r="E128" s="104">
        <f>SUM('Draw #3'!E128:F128)</f>
        <v>0</v>
      </c>
      <c r="F128" s="105">
        <v>0</v>
      </c>
      <c r="G128" s="104">
        <f>SUM('Draw #3'!G128)+'Draw #4'!F128</f>
        <v>0</v>
      </c>
      <c r="H128" s="109">
        <f t="shared" si="2"/>
        <v>0</v>
      </c>
      <c r="I128" s="110">
        <v>0</v>
      </c>
      <c r="J128" s="109">
        <f>SUM(I128+'Draw #3'!J128)</f>
        <v>0</v>
      </c>
      <c r="K128" s="101" t="str">
        <f t="shared" si="3"/>
        <v/>
      </c>
      <c r="L128" s="9"/>
      <c r="M128" s="9"/>
    </row>
    <row r="129" spans="1:13" ht="14.1" customHeight="1">
      <c r="A129" s="4">
        <f>'SCHEDULE OF VALUE WORKSHEET'!A99</f>
        <v>94</v>
      </c>
      <c r="B129" s="142" t="str">
        <f>'SCHEDULE OF VALUE WORKSHEET'!B99</f>
        <v xml:space="preserve">Open Item </v>
      </c>
      <c r="C129" s="143"/>
      <c r="D129" s="104">
        <f>SUM('SCHEDULE OF VALUE WORKSHEET'!E99)</f>
        <v>0</v>
      </c>
      <c r="E129" s="104">
        <f>SUM('Draw #3'!E129:F129)</f>
        <v>0</v>
      </c>
      <c r="F129" s="105">
        <v>0</v>
      </c>
      <c r="G129" s="104">
        <f>SUM('Draw #3'!G129)+'Draw #4'!F129</f>
        <v>0</v>
      </c>
      <c r="H129" s="109">
        <f t="shared" si="2"/>
        <v>0</v>
      </c>
      <c r="I129" s="110">
        <v>0</v>
      </c>
      <c r="J129" s="109">
        <f>SUM(I129+'Draw #3'!J129)</f>
        <v>0</v>
      </c>
      <c r="K129" s="101" t="str">
        <f t="shared" si="3"/>
        <v/>
      </c>
      <c r="L129" s="9"/>
      <c r="M129" s="9"/>
    </row>
    <row r="130" spans="1:13" ht="14.1" customHeight="1">
      <c r="A130" s="4">
        <f>'SCHEDULE OF VALUE WORKSHEET'!A100</f>
        <v>95</v>
      </c>
      <c r="B130" s="142" t="str">
        <f>'SCHEDULE OF VALUE WORKSHEET'!B100</f>
        <v xml:space="preserve">Open Item </v>
      </c>
      <c r="C130" s="143"/>
      <c r="D130" s="104">
        <f>SUM('SCHEDULE OF VALUE WORKSHEET'!E100)</f>
        <v>0</v>
      </c>
      <c r="E130" s="104">
        <f>SUM('Draw #3'!E130:F130)</f>
        <v>0</v>
      </c>
      <c r="F130" s="105">
        <v>0</v>
      </c>
      <c r="G130" s="104">
        <f>SUM('Draw #3'!G130)+'Draw #4'!F130</f>
        <v>0</v>
      </c>
      <c r="H130" s="109">
        <f t="shared" si="2"/>
        <v>0</v>
      </c>
      <c r="I130" s="110">
        <v>0</v>
      </c>
      <c r="J130" s="109">
        <f>SUM(I130+'Draw #3'!J130)</f>
        <v>0</v>
      </c>
      <c r="K130" s="101" t="str">
        <f t="shared" si="3"/>
        <v/>
      </c>
      <c r="L130" s="9"/>
      <c r="M130" s="9"/>
    </row>
    <row r="131" spans="1:13" ht="14.1" customHeight="1">
      <c r="A131" s="4">
        <f>'SCHEDULE OF VALUE WORKSHEET'!A101</f>
        <v>96</v>
      </c>
      <c r="B131" s="142" t="str">
        <f>'SCHEDULE OF VALUE WORKSHEET'!B101</f>
        <v xml:space="preserve">Open Item </v>
      </c>
      <c r="C131" s="143"/>
      <c r="D131" s="104">
        <f>SUM('SCHEDULE OF VALUE WORKSHEET'!E101)</f>
        <v>0</v>
      </c>
      <c r="E131" s="104">
        <f>SUM('Draw #3'!E131:F131)</f>
        <v>0</v>
      </c>
      <c r="F131" s="105">
        <v>0</v>
      </c>
      <c r="G131" s="104">
        <f>SUM('Draw #3'!G131)+'Draw #4'!F131</f>
        <v>0</v>
      </c>
      <c r="H131" s="109">
        <f t="shared" si="2"/>
        <v>0</v>
      </c>
      <c r="I131" s="110">
        <v>0</v>
      </c>
      <c r="J131" s="109">
        <f>SUM(I131+'Draw #3'!J131)</f>
        <v>0</v>
      </c>
      <c r="K131" s="101" t="str">
        <f t="shared" si="3"/>
        <v/>
      </c>
      <c r="L131" s="9"/>
      <c r="M131" s="9"/>
    </row>
    <row r="132" spans="1:13" ht="14.1" customHeight="1">
      <c r="A132" s="4">
        <f>'SCHEDULE OF VALUE WORKSHEET'!A102</f>
        <v>97</v>
      </c>
      <c r="B132" s="142" t="str">
        <f>'SCHEDULE OF VALUE WORKSHEET'!B102</f>
        <v xml:space="preserve">Open Item </v>
      </c>
      <c r="C132" s="143"/>
      <c r="D132" s="104">
        <f>SUM('SCHEDULE OF VALUE WORKSHEET'!E102)</f>
        <v>0</v>
      </c>
      <c r="E132" s="104">
        <f>SUM('Draw #3'!E132:F132)</f>
        <v>0</v>
      </c>
      <c r="F132" s="105">
        <v>0</v>
      </c>
      <c r="G132" s="104">
        <f>SUM('Draw #3'!G132)+'Draw #4'!F132</f>
        <v>0</v>
      </c>
      <c r="H132" s="109">
        <f t="shared" si="2"/>
        <v>0</v>
      </c>
      <c r="I132" s="110">
        <v>0</v>
      </c>
      <c r="J132" s="109">
        <f>SUM(I132+'Draw #3'!J132)</f>
        <v>0</v>
      </c>
      <c r="K132" s="101" t="str">
        <f t="shared" si="3"/>
        <v/>
      </c>
      <c r="L132" s="9"/>
      <c r="M132" s="9"/>
    </row>
    <row r="133" spans="1:13" ht="14.1" customHeight="1">
      <c r="A133" s="4">
        <f>'SCHEDULE OF VALUE WORKSHEET'!A103</f>
        <v>98</v>
      </c>
      <c r="B133" s="142" t="str">
        <f>'SCHEDULE OF VALUE WORKSHEET'!B103</f>
        <v xml:space="preserve">Open Item </v>
      </c>
      <c r="C133" s="143"/>
      <c r="D133" s="104">
        <f>SUM('SCHEDULE OF VALUE WORKSHEET'!E103)</f>
        <v>0</v>
      </c>
      <c r="E133" s="104">
        <f>SUM('Draw #3'!E133:F133)</f>
        <v>0</v>
      </c>
      <c r="F133" s="105">
        <v>0</v>
      </c>
      <c r="G133" s="104">
        <f>SUM('Draw #3'!G133)+'Draw #4'!F133</f>
        <v>0</v>
      </c>
      <c r="H133" s="109">
        <f t="shared" si="2"/>
        <v>0</v>
      </c>
      <c r="I133" s="110">
        <v>0</v>
      </c>
      <c r="J133" s="109">
        <f>SUM(I133+'Draw #3'!J133)</f>
        <v>0</v>
      </c>
      <c r="K133" s="101" t="str">
        <f t="shared" si="3"/>
        <v/>
      </c>
      <c r="L133" s="9"/>
      <c r="M133" s="9"/>
    </row>
    <row r="134" spans="1:13" ht="14.1" customHeight="1">
      <c r="A134" s="4">
        <f>'SCHEDULE OF VALUE WORKSHEET'!A104</f>
        <v>99</v>
      </c>
      <c r="B134" s="142" t="str">
        <f>'SCHEDULE OF VALUE WORKSHEET'!B104</f>
        <v xml:space="preserve">Open Item </v>
      </c>
      <c r="C134" s="143"/>
      <c r="D134" s="104">
        <f>SUM('SCHEDULE OF VALUE WORKSHEET'!E104)</f>
        <v>0</v>
      </c>
      <c r="E134" s="104">
        <f>SUM('Draw #3'!E134:F134)</f>
        <v>0</v>
      </c>
      <c r="F134" s="105">
        <v>0</v>
      </c>
      <c r="G134" s="104">
        <f>SUM('Draw #3'!G134)+'Draw #4'!F134</f>
        <v>0</v>
      </c>
      <c r="H134" s="109">
        <f t="shared" si="2"/>
        <v>0</v>
      </c>
      <c r="I134" s="110">
        <v>0</v>
      </c>
      <c r="J134" s="109">
        <f>SUM(I134+'Draw #3'!J134)</f>
        <v>0</v>
      </c>
      <c r="K134" s="101" t="str">
        <f t="shared" si="3"/>
        <v/>
      </c>
      <c r="L134" s="9"/>
      <c r="M134" s="9"/>
    </row>
    <row r="135" spans="1:13" ht="14.1" customHeight="1">
      <c r="A135" s="4" t="e">
        <f>'SCHEDULE OF VALUE WORKSHEET'!#REF!</f>
        <v>#REF!</v>
      </c>
      <c r="B135" s="142" t="e">
        <f>'SCHEDULE OF VALUE WORKSHEET'!#REF!</f>
        <v>#REF!</v>
      </c>
      <c r="C135" s="143"/>
      <c r="D135" s="104" t="e">
        <f>SUM('SCHEDULE OF VALUE WORKSHEET'!#REF!)</f>
        <v>#REF!</v>
      </c>
      <c r="E135" s="104">
        <f>SUM('Draw #3'!E135:F135)</f>
        <v>0</v>
      </c>
      <c r="F135" s="105">
        <v>0</v>
      </c>
      <c r="G135" s="104" t="e">
        <f>SUM('Draw #3'!G135)+'Draw #4'!F135</f>
        <v>#REF!</v>
      </c>
      <c r="H135" s="109" t="e">
        <f t="shared" si="2"/>
        <v>#REF!</v>
      </c>
      <c r="I135" s="110">
        <v>0</v>
      </c>
      <c r="J135" s="109">
        <f>SUM(I135+'Draw #3'!J135)</f>
        <v>0</v>
      </c>
      <c r="K135" s="101" t="str">
        <f t="shared" si="3"/>
        <v/>
      </c>
      <c r="L135" s="9"/>
      <c r="M135" s="9"/>
    </row>
    <row r="136" spans="1:13" ht="14.1" customHeight="1">
      <c r="A136" s="165"/>
      <c r="B136" s="166"/>
      <c r="C136" s="166"/>
      <c r="D136" s="166"/>
      <c r="E136" s="166"/>
      <c r="F136" s="166"/>
      <c r="G136" s="166"/>
      <c r="H136" s="166"/>
      <c r="I136" s="166"/>
      <c r="J136" s="166"/>
      <c r="K136" s="167"/>
      <c r="L136" s="10"/>
      <c r="M136" s="10"/>
    </row>
    <row r="137" spans="1:13" ht="18.75" customHeight="1">
      <c r="A137" s="7"/>
      <c r="B137" s="168" t="s">
        <v>2</v>
      </c>
      <c r="C137" s="168"/>
      <c r="D137" s="25" t="e">
        <f t="shared" ref="D137:J137" si="4">SUM(D10:D135)</f>
        <v>#REF!</v>
      </c>
      <c r="E137" s="25">
        <f t="shared" si="4"/>
        <v>0</v>
      </c>
      <c r="F137" s="25">
        <f t="shared" si="4"/>
        <v>0</v>
      </c>
      <c r="G137" s="25" t="e">
        <f t="shared" si="4"/>
        <v>#REF!</v>
      </c>
      <c r="H137" s="25" t="e">
        <f t="shared" si="4"/>
        <v>#REF!</v>
      </c>
      <c r="I137" s="25">
        <f t="shared" si="4"/>
        <v>0</v>
      </c>
      <c r="J137" s="25">
        <f t="shared" si="4"/>
        <v>0</v>
      </c>
      <c r="K137" s="17"/>
      <c r="L137" s="11"/>
      <c r="M137" s="11"/>
    </row>
    <row r="138" spans="1:13" ht="14.1" customHeight="1">
      <c r="A138" s="2"/>
      <c r="B138" s="2"/>
      <c r="C138" s="2"/>
      <c r="D138" s="2"/>
      <c r="E138" s="2"/>
      <c r="F138" s="2"/>
      <c r="G138" s="2"/>
    </row>
    <row r="139" spans="1:13" ht="14.1" customHeight="1">
      <c r="G139" s="2"/>
      <c r="H139" s="140"/>
      <c r="I139" s="140"/>
      <c r="J139" s="140"/>
    </row>
    <row r="140" spans="1:13" ht="14.1" customHeight="1">
      <c r="G140" s="2"/>
    </row>
    <row r="141" spans="1:13" ht="14.1" customHeight="1">
      <c r="G141" s="2"/>
      <c r="H141" s="8"/>
    </row>
    <row r="142" spans="1:13" ht="14.1" customHeight="1">
      <c r="G142" s="2"/>
      <c r="H142" s="8"/>
    </row>
    <row r="143" spans="1:13" ht="14.1" customHeight="1">
      <c r="G143" s="2"/>
    </row>
    <row r="144" spans="1:13" ht="14.1" customHeight="1">
      <c r="G144" s="2"/>
    </row>
    <row r="145" spans="7:7" ht="14.1" customHeight="1">
      <c r="G145" s="2"/>
    </row>
    <row r="146" spans="7:7" ht="14.1" customHeight="1">
      <c r="G146" s="2"/>
    </row>
    <row r="147" spans="7:7" ht="14.1" customHeight="1">
      <c r="G147" s="2"/>
    </row>
    <row r="148" spans="7:7" ht="14.1" customHeight="1">
      <c r="G148" s="3"/>
    </row>
  </sheetData>
  <sheetProtection algorithmName="SHA-512" hashValue="fNo3Fu8PPZRqjSTo9GSExTCGRVXB4oATQL/iW8ZRYpg5zQmgHxUK2jJz7IC+7FU2dONY2yr9XWrn6mJNplIZ3w==" saltValue="n4RtnvNF5yXTAaBQ6JLA+g==" spinCount="100000" sheet="1" selectLockedCells="1"/>
  <mergeCells count="136">
    <mergeCell ref="A1:K2"/>
    <mergeCell ref="B47:C47"/>
    <mergeCell ref="B48:C48"/>
    <mergeCell ref="B49:C49"/>
    <mergeCell ref="B50:C50"/>
    <mergeCell ref="B8:C9"/>
    <mergeCell ref="D8:D9"/>
    <mergeCell ref="G8:G9"/>
    <mergeCell ref="J8:K8"/>
    <mergeCell ref="J9:K9"/>
    <mergeCell ref="F8:F9"/>
    <mergeCell ref="B10:C10"/>
    <mergeCell ref="B11:C11"/>
    <mergeCell ref="B12:C12"/>
    <mergeCell ref="B13:C13"/>
    <mergeCell ref="B26:C26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4:C34"/>
    <mergeCell ref="B35:C35"/>
    <mergeCell ref="B32:C32"/>
    <mergeCell ref="B33:C33"/>
    <mergeCell ref="B27:C27"/>
    <mergeCell ref="B36:C36"/>
    <mergeCell ref="B37:C37"/>
    <mergeCell ref="B46:C46"/>
    <mergeCell ref="A136:K136"/>
    <mergeCell ref="B38:C38"/>
    <mergeCell ref="B39:C39"/>
    <mergeCell ref="B51:C51"/>
    <mergeCell ref="B52:C52"/>
    <mergeCell ref="B53:C53"/>
    <mergeCell ref="B54:C54"/>
    <mergeCell ref="B130:C130"/>
    <mergeCell ref="B57:C57"/>
    <mergeCell ref="B58:C58"/>
    <mergeCell ref="B59:C59"/>
    <mergeCell ref="B117:C117"/>
    <mergeCell ref="B118:C118"/>
    <mergeCell ref="B119:C119"/>
    <mergeCell ref="B60:C60"/>
    <mergeCell ref="B61:C61"/>
    <mergeCell ref="B62:C62"/>
    <mergeCell ref="B131:C131"/>
    <mergeCell ref="B132:C132"/>
    <mergeCell ref="B133:C133"/>
    <mergeCell ref="B134:C134"/>
    <mergeCell ref="B137:C137"/>
    <mergeCell ref="H139:J139"/>
    <mergeCell ref="B40:C40"/>
    <mergeCell ref="B41:C41"/>
    <mergeCell ref="B42:C42"/>
    <mergeCell ref="B43:C43"/>
    <mergeCell ref="B44:C44"/>
    <mergeCell ref="B45:C45"/>
    <mergeCell ref="B55:C55"/>
    <mergeCell ref="B56:C56"/>
    <mergeCell ref="B135:C135"/>
    <mergeCell ref="B120:C120"/>
    <mergeCell ref="B121:C121"/>
    <mergeCell ref="B122:C122"/>
    <mergeCell ref="B128:C128"/>
    <mergeCell ref="B129:C129"/>
    <mergeCell ref="B69:C69"/>
    <mergeCell ref="B70:C70"/>
    <mergeCell ref="B71:C71"/>
    <mergeCell ref="B72:C72"/>
    <mergeCell ref="B73:C73"/>
    <mergeCell ref="B74:C74"/>
    <mergeCell ref="B63:C63"/>
    <mergeCell ref="B64:C64"/>
    <mergeCell ref="B65:C65"/>
    <mergeCell ref="B66:C66"/>
    <mergeCell ref="B67:C67"/>
    <mergeCell ref="B68:C68"/>
    <mergeCell ref="B81:C81"/>
    <mergeCell ref="B82:C82"/>
    <mergeCell ref="B83:C83"/>
    <mergeCell ref="B84:C84"/>
    <mergeCell ref="B85:C85"/>
    <mergeCell ref="B86:C86"/>
    <mergeCell ref="B75:C75"/>
    <mergeCell ref="B76:C76"/>
    <mergeCell ref="B77:C77"/>
    <mergeCell ref="B78:C78"/>
    <mergeCell ref="B79:C79"/>
    <mergeCell ref="B80:C80"/>
    <mergeCell ref="B93:C93"/>
    <mergeCell ref="B94:C94"/>
    <mergeCell ref="B95:C95"/>
    <mergeCell ref="B96:C96"/>
    <mergeCell ref="B97:C97"/>
    <mergeCell ref="B98:C98"/>
    <mergeCell ref="B87:C87"/>
    <mergeCell ref="B88:C88"/>
    <mergeCell ref="B89:C89"/>
    <mergeCell ref="B90:C90"/>
    <mergeCell ref="B91:C91"/>
    <mergeCell ref="B92:C92"/>
    <mergeCell ref="B105:C105"/>
    <mergeCell ref="B106:C106"/>
    <mergeCell ref="B107:C107"/>
    <mergeCell ref="B108:C108"/>
    <mergeCell ref="B109:C109"/>
    <mergeCell ref="B110:C110"/>
    <mergeCell ref="B99:C99"/>
    <mergeCell ref="B100:C100"/>
    <mergeCell ref="B101:C101"/>
    <mergeCell ref="B102:C102"/>
    <mergeCell ref="B103:C103"/>
    <mergeCell ref="B104:C104"/>
    <mergeCell ref="B123:C123"/>
    <mergeCell ref="B124:C124"/>
    <mergeCell ref="B125:C125"/>
    <mergeCell ref="B126:C126"/>
    <mergeCell ref="B127:C127"/>
    <mergeCell ref="B111:C111"/>
    <mergeCell ref="B112:C112"/>
    <mergeCell ref="B113:C113"/>
    <mergeCell ref="B114:C114"/>
    <mergeCell ref="B115:C115"/>
    <mergeCell ref="B116:C116"/>
  </mergeCells>
  <conditionalFormatting sqref="B10:K135">
    <cfRule type="expression" dxfId="67" priority="3" stopIfTrue="1">
      <formula>$I10&gt;0</formula>
    </cfRule>
    <cfRule type="expression" dxfId="66" priority="4" stopIfTrue="1">
      <formula>$K10=100%</formula>
    </cfRule>
  </conditionalFormatting>
  <conditionalFormatting sqref="D10:K135">
    <cfRule type="expression" dxfId="65" priority="1" stopIfTrue="1">
      <formula>$K10=""</formula>
    </cfRule>
    <cfRule type="expression" dxfId="64" priority="2" stopIfTrue="1">
      <formula>$K10&gt;100%</formula>
    </cfRule>
  </conditionalFormatting>
  <pageMargins left="0.7" right="0.7" top="0.75" bottom="0.75" header="0.3" footer="0.3"/>
  <pageSetup scale="73" orientation="portrait" verticalDpi="1200" r:id="rId1"/>
  <colBreaks count="1" manualBreakCount="1">
    <brk id="11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48"/>
  <sheetViews>
    <sheetView showGridLines="0" zoomScale="90" zoomScaleNormal="90" workbookViewId="0">
      <selection activeCell="F10" sqref="F10"/>
    </sheetView>
  </sheetViews>
  <sheetFormatPr defaultColWidth="6.59765625" defaultRowHeight="15.75"/>
  <cols>
    <col min="1" max="1" width="4.8984375" style="1" customWidth="1"/>
    <col min="2" max="2" width="5.69921875" style="1" customWidth="1"/>
    <col min="3" max="3" width="15.19921875" style="1" customWidth="1"/>
    <col min="4" max="5" width="10.59765625" style="1" customWidth="1"/>
    <col min="6" max="9" width="10.69921875" style="1" customWidth="1"/>
    <col min="10" max="10" width="10.59765625" style="1" customWidth="1"/>
    <col min="11" max="11" width="5.09765625" style="18" customWidth="1"/>
    <col min="12" max="13" width="4.69921875" style="1" customWidth="1"/>
    <col min="14" max="16384" width="6.59765625" style="1"/>
  </cols>
  <sheetData>
    <row r="1" spans="1:13">
      <c r="A1" s="171" t="s">
        <v>18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</row>
    <row r="2" spans="1:13">
      <c r="A2" s="174"/>
      <c r="B2" s="153"/>
      <c r="C2" s="153"/>
      <c r="D2" s="153"/>
      <c r="E2" s="153"/>
      <c r="F2" s="153"/>
      <c r="G2" s="153"/>
      <c r="H2" s="153"/>
      <c r="I2" s="153"/>
      <c r="J2" s="153"/>
      <c r="K2" s="175"/>
    </row>
    <row r="3" spans="1:13">
      <c r="A3" s="74"/>
      <c r="B3" s="13" t="s">
        <v>7</v>
      </c>
      <c r="C3" s="35" t="str">
        <f>'SCHEDULE OF VALUE WORKSHEET'!$B$3</f>
        <v>Angeleno Investments</v>
      </c>
      <c r="F3" s="6"/>
      <c r="G3" s="28"/>
      <c r="H3" s="55"/>
      <c r="I3" s="41" t="s">
        <v>5</v>
      </c>
      <c r="J3" s="38">
        <f>SUM(J137)</f>
        <v>0</v>
      </c>
      <c r="K3" s="80" t="e">
        <f>SUM(J3)/J7</f>
        <v>#REF!</v>
      </c>
    </row>
    <row r="4" spans="1:13" ht="16.350000000000001" customHeight="1">
      <c r="A4" s="74"/>
      <c r="B4" s="34" t="s">
        <v>0</v>
      </c>
      <c r="C4" s="36">
        <f ca="1">TODAY()</f>
        <v>45978</v>
      </c>
      <c r="D4" s="36"/>
      <c r="E4" s="36"/>
      <c r="F4" s="15"/>
      <c r="G4" s="3"/>
      <c r="H4" s="75"/>
      <c r="I4" s="41" t="s">
        <v>13</v>
      </c>
      <c r="J4" s="38" t="e">
        <f>SUM(H137)</f>
        <v>#REF!</v>
      </c>
      <c r="K4" s="80"/>
    </row>
    <row r="5" spans="1:13">
      <c r="A5" s="74"/>
      <c r="B5" s="34" t="s">
        <v>6</v>
      </c>
      <c r="C5" s="37" t="str">
        <f>'SCHEDULE OF VALUE WORKSHEET'!B5</f>
        <v>10910 Huston Street</v>
      </c>
      <c r="F5" s="56"/>
      <c r="G5" s="57"/>
      <c r="H5" s="75"/>
      <c r="I5" s="41" t="s">
        <v>14</v>
      </c>
      <c r="J5" s="38" t="e">
        <f>SUM(D137)</f>
        <v>#REF!</v>
      </c>
      <c r="K5" s="80"/>
    </row>
    <row r="6" spans="1:13">
      <c r="A6" s="74"/>
      <c r="B6" s="34" t="s">
        <v>20</v>
      </c>
      <c r="C6" s="48">
        <f>SUM(I137)</f>
        <v>0</v>
      </c>
      <c r="D6" s="6"/>
      <c r="E6" s="6"/>
      <c r="F6" s="6"/>
      <c r="G6" s="57"/>
      <c r="H6" s="75"/>
      <c r="I6" s="42" t="s">
        <v>17</v>
      </c>
      <c r="J6" s="38">
        <f>SUM(F137)</f>
        <v>0</v>
      </c>
      <c r="K6" s="80"/>
    </row>
    <row r="7" spans="1:13">
      <c r="A7" s="78"/>
      <c r="G7" s="28"/>
      <c r="H7" s="20"/>
      <c r="I7" s="34" t="s">
        <v>15</v>
      </c>
      <c r="J7" s="29" t="e">
        <f>SUM(G137)</f>
        <v>#REF!</v>
      </c>
      <c r="K7" s="80"/>
    </row>
    <row r="8" spans="1:13">
      <c r="A8" s="19"/>
      <c r="B8" s="169" t="s">
        <v>1</v>
      </c>
      <c r="C8" s="170"/>
      <c r="D8" s="177" t="s">
        <v>8</v>
      </c>
      <c r="E8" s="102" t="s">
        <v>24</v>
      </c>
      <c r="F8" s="176" t="s">
        <v>26</v>
      </c>
      <c r="G8" s="177" t="s">
        <v>9</v>
      </c>
      <c r="H8" s="30" t="s">
        <v>10</v>
      </c>
      <c r="I8" s="31" t="s">
        <v>12</v>
      </c>
      <c r="J8" s="178" t="s">
        <v>3</v>
      </c>
      <c r="K8" s="179"/>
      <c r="L8" s="12"/>
      <c r="M8" s="12"/>
    </row>
    <row r="9" spans="1:13" ht="14.1" customHeight="1">
      <c r="A9" s="19"/>
      <c r="B9" s="146"/>
      <c r="C9" s="147"/>
      <c r="D9" s="162"/>
      <c r="E9" s="103" t="s">
        <v>25</v>
      </c>
      <c r="F9" s="164"/>
      <c r="G9" s="162"/>
      <c r="H9" s="32" t="s">
        <v>22</v>
      </c>
      <c r="I9" s="33">
        <v>5</v>
      </c>
      <c r="J9" s="180" t="s">
        <v>4</v>
      </c>
      <c r="K9" s="181"/>
      <c r="L9" s="12"/>
      <c r="M9" s="12"/>
    </row>
    <row r="10" spans="1:13" ht="14.1" customHeight="1">
      <c r="A10" s="4">
        <f>'SCHEDULE OF VALUE WORKSHEET'!A7</f>
        <v>1</v>
      </c>
      <c r="B10" s="142" t="str">
        <f>'SCHEDULE OF VALUE WORKSHEET'!B7</f>
        <v>SOFT COSTS</v>
      </c>
      <c r="C10" s="143"/>
      <c r="D10" s="104">
        <f>SUM('SCHEDULE OF VALUE WORKSHEET'!E7)</f>
        <v>0</v>
      </c>
      <c r="E10" s="104">
        <f>SUM('Draw #4'!E10:F10)</f>
        <v>0</v>
      </c>
      <c r="F10" s="105">
        <v>0</v>
      </c>
      <c r="G10" s="104">
        <f>SUM('Draw #4'!G10)+'Draw #5'!F10</f>
        <v>0</v>
      </c>
      <c r="H10" s="109">
        <f>SUM(G10-J10)</f>
        <v>0</v>
      </c>
      <c r="I10" s="110">
        <v>0</v>
      </c>
      <c r="J10" s="109">
        <f>SUM(I10+'Draw #4'!J10)</f>
        <v>0</v>
      </c>
      <c r="K10" s="101" t="str">
        <f>IF(J10=0,"",J10/G10)</f>
        <v/>
      </c>
      <c r="L10" s="9"/>
      <c r="M10" s="9"/>
    </row>
    <row r="11" spans="1:13" ht="14.1" customHeight="1">
      <c r="A11" s="4">
        <f>'SCHEDULE OF VALUE WORKSHEET'!A8</f>
        <v>2</v>
      </c>
      <c r="B11" s="142" t="str">
        <f>'SCHEDULE OF VALUE WORKSHEET'!B8</f>
        <v>Site Security</v>
      </c>
      <c r="C11" s="143"/>
      <c r="D11" s="104">
        <f>SUM('SCHEDULE OF VALUE WORKSHEET'!E8)</f>
        <v>10580.63</v>
      </c>
      <c r="E11" s="104">
        <f>SUM('Draw #4'!E11:F11)</f>
        <v>0</v>
      </c>
      <c r="F11" s="105">
        <v>0</v>
      </c>
      <c r="G11" s="104">
        <f>SUM('Draw #4'!G11)+'Draw #5'!F11</f>
        <v>10580.63</v>
      </c>
      <c r="H11" s="109">
        <f t="shared" ref="H11:H74" si="0">SUM(G11-J11)</f>
        <v>10580.63</v>
      </c>
      <c r="I11" s="110">
        <v>0</v>
      </c>
      <c r="J11" s="109">
        <f>SUM(I11+'Draw #4'!J11)</f>
        <v>0</v>
      </c>
      <c r="K11" s="101" t="str">
        <f t="shared" ref="K11:K74" si="1">IF(J11=0,"",J11/G11)</f>
        <v/>
      </c>
      <c r="L11" s="9"/>
      <c r="M11" s="9"/>
    </row>
    <row r="12" spans="1:13" ht="14.1" customHeight="1">
      <c r="A12" s="4">
        <f>'SCHEDULE OF VALUE WORKSHEET'!A9</f>
        <v>3</v>
      </c>
      <c r="B12" s="142" t="str">
        <f>'SCHEDULE OF VALUE WORKSHEET'!B9</f>
        <v>Soils Inspection</v>
      </c>
      <c r="C12" s="143"/>
      <c r="D12" s="104">
        <f>SUM('SCHEDULE OF VALUE WORKSHEET'!E9)</f>
        <v>0</v>
      </c>
      <c r="E12" s="104">
        <f>SUM('Draw #4'!E12:F12)</f>
        <v>0</v>
      </c>
      <c r="F12" s="105">
        <v>0</v>
      </c>
      <c r="G12" s="104">
        <f>SUM('Draw #4'!G12)+'Draw #5'!F12</f>
        <v>0</v>
      </c>
      <c r="H12" s="109">
        <f t="shared" si="0"/>
        <v>0</v>
      </c>
      <c r="I12" s="110">
        <v>0</v>
      </c>
      <c r="J12" s="109">
        <f>SUM(I12+'Draw #4'!J12)</f>
        <v>0</v>
      </c>
      <c r="K12" s="101" t="str">
        <f t="shared" si="1"/>
        <v/>
      </c>
      <c r="L12" s="9"/>
      <c r="M12" s="9"/>
    </row>
    <row r="13" spans="1:13" ht="14.1" customHeight="1">
      <c r="A13" s="4">
        <f>'SCHEDULE OF VALUE WORKSHEET'!A10</f>
        <v>4</v>
      </c>
      <c r="B13" s="142" t="str">
        <f>'SCHEDULE OF VALUE WORKSHEET'!B10</f>
        <v>Offsites (Transformer)</v>
      </c>
      <c r="C13" s="143"/>
      <c r="D13" s="104">
        <f>SUM('SCHEDULE OF VALUE WORKSHEET'!E10)</f>
        <v>20000</v>
      </c>
      <c r="E13" s="104">
        <f>SUM('Draw #4'!E13:F13)</f>
        <v>0</v>
      </c>
      <c r="F13" s="105">
        <v>0</v>
      </c>
      <c r="G13" s="104">
        <f>SUM('Draw #4'!G13)+'Draw #5'!F13</f>
        <v>20000</v>
      </c>
      <c r="H13" s="109">
        <f t="shared" si="0"/>
        <v>20000</v>
      </c>
      <c r="I13" s="110">
        <v>0</v>
      </c>
      <c r="J13" s="109">
        <f>SUM(I13+'Draw #4'!J13)</f>
        <v>0</v>
      </c>
      <c r="K13" s="101" t="str">
        <f t="shared" si="1"/>
        <v/>
      </c>
      <c r="L13" s="9"/>
      <c r="M13" s="9"/>
    </row>
    <row r="14" spans="1:13" ht="14.1" customHeight="1">
      <c r="A14" s="4">
        <f>'SCHEDULE OF VALUE WORKSHEET'!A11</f>
        <v>5</v>
      </c>
      <c r="B14" s="142" t="str">
        <f>'SCHEDULE OF VALUE WORKSHEET'!B11</f>
        <v>Plan Check Fees</v>
      </c>
      <c r="C14" s="143"/>
      <c r="D14" s="104">
        <f>SUM('SCHEDULE OF VALUE WORKSHEET'!E11)</f>
        <v>0</v>
      </c>
      <c r="E14" s="104">
        <f>SUM('Draw #4'!E14:F14)</f>
        <v>0</v>
      </c>
      <c r="F14" s="105">
        <v>0</v>
      </c>
      <c r="G14" s="104">
        <f>SUM('Draw #4'!G14)+'Draw #5'!F14</f>
        <v>0</v>
      </c>
      <c r="H14" s="109">
        <f t="shared" si="0"/>
        <v>0</v>
      </c>
      <c r="I14" s="110">
        <v>0</v>
      </c>
      <c r="J14" s="109">
        <f>SUM(I14+'Draw #4'!J14)</f>
        <v>0</v>
      </c>
      <c r="K14" s="101" t="str">
        <f t="shared" si="1"/>
        <v/>
      </c>
      <c r="L14" s="9"/>
      <c r="M14" s="9"/>
    </row>
    <row r="15" spans="1:13" ht="14.1" customHeight="1">
      <c r="A15" s="4">
        <f>'SCHEDULE OF VALUE WORKSHEET'!A12</f>
        <v>6</v>
      </c>
      <c r="B15" s="142" t="str">
        <f>'SCHEDULE OF VALUE WORKSHEET'!B12</f>
        <v>Permits</v>
      </c>
      <c r="C15" s="143"/>
      <c r="D15" s="104">
        <f>SUM('SCHEDULE OF VALUE WORKSHEET'!E12)</f>
        <v>0</v>
      </c>
      <c r="E15" s="104">
        <f>SUM('Draw #4'!E15:F15)</f>
        <v>0</v>
      </c>
      <c r="F15" s="105">
        <v>0</v>
      </c>
      <c r="G15" s="104">
        <f>SUM('Draw #4'!G15)+'Draw #5'!F15</f>
        <v>0</v>
      </c>
      <c r="H15" s="109">
        <f t="shared" si="0"/>
        <v>0</v>
      </c>
      <c r="I15" s="110">
        <v>0</v>
      </c>
      <c r="J15" s="109">
        <f>SUM(I15+'Draw #4'!J15)</f>
        <v>0</v>
      </c>
      <c r="K15" s="101" t="str">
        <f t="shared" si="1"/>
        <v/>
      </c>
      <c r="L15" s="9"/>
      <c r="M15" s="9"/>
    </row>
    <row r="16" spans="1:13" ht="14.1" customHeight="1">
      <c r="A16" s="4">
        <f>'SCHEDULE OF VALUE WORKSHEET'!A13</f>
        <v>7</v>
      </c>
      <c r="B16" s="142" t="str">
        <f>'SCHEDULE OF VALUE WORKSHEET'!B13</f>
        <v>Survey</v>
      </c>
      <c r="C16" s="143"/>
      <c r="D16" s="104">
        <f>SUM('SCHEDULE OF VALUE WORKSHEET'!E13)</f>
        <v>0</v>
      </c>
      <c r="E16" s="104">
        <f>SUM('Draw #4'!E16:F16)</f>
        <v>0</v>
      </c>
      <c r="F16" s="105">
        <v>0</v>
      </c>
      <c r="G16" s="104">
        <f>SUM('Draw #4'!G16)+'Draw #5'!F16</f>
        <v>0</v>
      </c>
      <c r="H16" s="109">
        <f t="shared" si="0"/>
        <v>0</v>
      </c>
      <c r="I16" s="110">
        <v>0</v>
      </c>
      <c r="J16" s="109">
        <f>SUM(I16+'Draw #4'!J16)</f>
        <v>0</v>
      </c>
      <c r="K16" s="101" t="str">
        <f t="shared" si="1"/>
        <v/>
      </c>
      <c r="L16" s="9"/>
      <c r="M16" s="9"/>
    </row>
    <row r="17" spans="1:13" ht="14.1" customHeight="1">
      <c r="A17" s="4">
        <f>'SCHEDULE OF VALUE WORKSHEET'!A14</f>
        <v>8</v>
      </c>
      <c r="B17" s="142" t="str">
        <f>'SCHEDULE OF VALUE WORKSHEET'!B14</f>
        <v>Soils Engineer</v>
      </c>
      <c r="C17" s="143"/>
      <c r="D17" s="104">
        <f>SUM('SCHEDULE OF VALUE WORKSHEET'!E14)</f>
        <v>0</v>
      </c>
      <c r="E17" s="104">
        <f>SUM('Draw #4'!E17:F17)</f>
        <v>0</v>
      </c>
      <c r="F17" s="105">
        <v>0</v>
      </c>
      <c r="G17" s="104">
        <f>SUM('Draw #4'!G17)+'Draw #5'!F17</f>
        <v>0</v>
      </c>
      <c r="H17" s="109">
        <f t="shared" si="0"/>
        <v>0</v>
      </c>
      <c r="I17" s="110">
        <v>0</v>
      </c>
      <c r="J17" s="109">
        <f>SUM(I17+'Draw #4'!J17)</f>
        <v>0</v>
      </c>
      <c r="K17" s="101" t="str">
        <f t="shared" si="1"/>
        <v/>
      </c>
      <c r="L17" s="9"/>
      <c r="M17" s="9"/>
    </row>
    <row r="18" spans="1:13" ht="14.1" customHeight="1">
      <c r="A18" s="4">
        <f>'SCHEDULE OF VALUE WORKSHEET'!A15</f>
        <v>9</v>
      </c>
      <c r="B18" s="142" t="str">
        <f>'SCHEDULE OF VALUE WORKSHEET'!B15</f>
        <v>Soils Permit + T24</v>
      </c>
      <c r="C18" s="143"/>
      <c r="D18" s="104">
        <f>SUM('SCHEDULE OF VALUE WORKSHEET'!E15)</f>
        <v>2500</v>
      </c>
      <c r="E18" s="104">
        <f>SUM('Draw #4'!E18:F18)</f>
        <v>0</v>
      </c>
      <c r="F18" s="105">
        <v>0</v>
      </c>
      <c r="G18" s="104">
        <f>SUM('Draw #4'!G18)+'Draw #5'!F18</f>
        <v>2500</v>
      </c>
      <c r="H18" s="109">
        <f t="shared" si="0"/>
        <v>2500</v>
      </c>
      <c r="I18" s="110">
        <v>0</v>
      </c>
      <c r="J18" s="109">
        <f>SUM(I18+'Draw #4'!J18)</f>
        <v>0</v>
      </c>
      <c r="K18" s="101" t="str">
        <f t="shared" si="1"/>
        <v/>
      </c>
      <c r="L18" s="9"/>
      <c r="M18" s="9"/>
    </row>
    <row r="19" spans="1:13" ht="14.1" customHeight="1">
      <c r="A19" s="4">
        <f>'SCHEDULE OF VALUE WORKSHEET'!A16</f>
        <v>10</v>
      </c>
      <c r="B19" s="142" t="str">
        <f>'SCHEDULE OF VALUE WORKSHEET'!B16</f>
        <v>Special Inspections - Deputy</v>
      </c>
      <c r="C19" s="143"/>
      <c r="D19" s="104">
        <f>SUM('SCHEDULE OF VALUE WORKSHEET'!E16)</f>
        <v>15000</v>
      </c>
      <c r="E19" s="104">
        <f>SUM('Draw #4'!E19:F19)</f>
        <v>0</v>
      </c>
      <c r="F19" s="105">
        <v>0</v>
      </c>
      <c r="G19" s="104">
        <f>SUM('Draw #4'!G19)+'Draw #5'!F19</f>
        <v>15000</v>
      </c>
      <c r="H19" s="109">
        <f t="shared" si="0"/>
        <v>15000</v>
      </c>
      <c r="I19" s="110">
        <v>0</v>
      </c>
      <c r="J19" s="109">
        <f>SUM(I19+'Draw #4'!J19)</f>
        <v>0</v>
      </c>
      <c r="K19" s="101" t="str">
        <f t="shared" si="1"/>
        <v/>
      </c>
      <c r="L19" s="9"/>
      <c r="M19" s="9"/>
    </row>
    <row r="20" spans="1:13" ht="14.1" customHeight="1">
      <c r="A20" s="4">
        <f>'SCHEDULE OF VALUE WORKSHEET'!A17</f>
        <v>11</v>
      </c>
      <c r="B20" s="142" t="str">
        <f>'SCHEDULE OF VALUE WORKSHEET'!B17</f>
        <v>Architect</v>
      </c>
      <c r="C20" s="143"/>
      <c r="D20" s="104">
        <f>SUM('SCHEDULE OF VALUE WORKSHEET'!E17)</f>
        <v>0</v>
      </c>
      <c r="E20" s="104">
        <f>SUM('Draw #4'!E20:F20)</f>
        <v>0</v>
      </c>
      <c r="F20" s="105">
        <v>0</v>
      </c>
      <c r="G20" s="104">
        <f>SUM('Draw #4'!G20)+'Draw #5'!F20</f>
        <v>0</v>
      </c>
      <c r="H20" s="109">
        <f t="shared" si="0"/>
        <v>0</v>
      </c>
      <c r="I20" s="110">
        <v>0</v>
      </c>
      <c r="J20" s="109">
        <f>SUM(I20+'Draw #4'!J20)</f>
        <v>0</v>
      </c>
      <c r="K20" s="101" t="str">
        <f t="shared" si="1"/>
        <v/>
      </c>
      <c r="L20" s="9"/>
      <c r="M20" s="9"/>
    </row>
    <row r="21" spans="1:13" ht="14.1" customHeight="1">
      <c r="A21" s="4">
        <f>'SCHEDULE OF VALUE WORKSHEET'!A18</f>
        <v>12</v>
      </c>
      <c r="B21" s="142" t="str">
        <f>'SCHEDULE OF VALUE WORKSHEET'!B18</f>
        <v>Structural Engineer</v>
      </c>
      <c r="C21" s="143"/>
      <c r="D21" s="104">
        <f>SUM('SCHEDULE OF VALUE WORKSHEET'!E18)</f>
        <v>0</v>
      </c>
      <c r="E21" s="104">
        <f>SUM('Draw #4'!E21:F21)</f>
        <v>0</v>
      </c>
      <c r="F21" s="105">
        <v>0</v>
      </c>
      <c r="G21" s="104">
        <f>SUM('Draw #4'!G21)+'Draw #5'!F21</f>
        <v>0</v>
      </c>
      <c r="H21" s="109">
        <f t="shared" si="0"/>
        <v>0</v>
      </c>
      <c r="I21" s="110">
        <v>0</v>
      </c>
      <c r="J21" s="109">
        <f>SUM(I21+'Draw #4'!J21)</f>
        <v>0</v>
      </c>
      <c r="K21" s="101" t="str">
        <f t="shared" si="1"/>
        <v/>
      </c>
      <c r="L21" s="9"/>
      <c r="M21" s="9"/>
    </row>
    <row r="22" spans="1:13" ht="14.1" customHeight="1">
      <c r="A22" s="4">
        <f>'SCHEDULE OF VALUE WORKSHEET'!A19</f>
        <v>13</v>
      </c>
      <c r="B22" s="142" t="str">
        <f>'SCHEDULE OF VALUE WORKSHEET'!B19</f>
        <v>Structural Observation</v>
      </c>
      <c r="C22" s="143"/>
      <c r="D22" s="104">
        <f>SUM('SCHEDULE OF VALUE WORKSHEET'!E19)</f>
        <v>8000</v>
      </c>
      <c r="E22" s="104">
        <f>SUM('Draw #4'!E22:F22)</f>
        <v>0</v>
      </c>
      <c r="F22" s="105">
        <v>0</v>
      </c>
      <c r="G22" s="104">
        <f>SUM('Draw #4'!G22)+'Draw #5'!F22</f>
        <v>8000</v>
      </c>
      <c r="H22" s="109">
        <f t="shared" si="0"/>
        <v>8000</v>
      </c>
      <c r="I22" s="110">
        <v>0</v>
      </c>
      <c r="J22" s="109">
        <f>SUM(I22+'Draw #4'!J22)</f>
        <v>0</v>
      </c>
      <c r="K22" s="101" t="str">
        <f t="shared" si="1"/>
        <v/>
      </c>
      <c r="L22" s="9"/>
      <c r="M22" s="9"/>
    </row>
    <row r="23" spans="1:13" ht="14.1" customHeight="1">
      <c r="A23" s="4">
        <f>'SCHEDULE OF VALUE WORKSHEET'!A20</f>
        <v>14</v>
      </c>
      <c r="B23" s="142" t="str">
        <f>'SCHEDULE OF VALUE WORKSHEET'!B20</f>
        <v>Civil Engineering</v>
      </c>
      <c r="C23" s="143"/>
      <c r="D23" s="104">
        <f>SUM('SCHEDULE OF VALUE WORKSHEET'!E20)</f>
        <v>0</v>
      </c>
      <c r="E23" s="104">
        <f>SUM('Draw #4'!E23:F23)</f>
        <v>0</v>
      </c>
      <c r="F23" s="105">
        <v>0</v>
      </c>
      <c r="G23" s="104">
        <f>SUM('Draw #4'!G23)+'Draw #5'!F23</f>
        <v>0</v>
      </c>
      <c r="H23" s="109">
        <f t="shared" si="0"/>
        <v>0</v>
      </c>
      <c r="I23" s="110">
        <v>0</v>
      </c>
      <c r="J23" s="109">
        <f>SUM(I23+'Draw #4'!J23)</f>
        <v>0</v>
      </c>
      <c r="K23" s="101" t="str">
        <f t="shared" si="1"/>
        <v/>
      </c>
      <c r="L23" s="9"/>
      <c r="M23" s="9"/>
    </row>
    <row r="24" spans="1:13" ht="14.1" customHeight="1">
      <c r="A24" s="4">
        <f>'SCHEDULE OF VALUE WORKSHEET'!A21</f>
        <v>15</v>
      </c>
      <c r="B24" s="142" t="str">
        <f>'SCHEDULE OF VALUE WORKSHEET'!B21</f>
        <v>Grading Permit</v>
      </c>
      <c r="C24" s="143"/>
      <c r="D24" s="104">
        <f>SUM('SCHEDULE OF VALUE WORKSHEET'!E21)</f>
        <v>0</v>
      </c>
      <c r="E24" s="104">
        <f>SUM('Draw #4'!E24:F24)</f>
        <v>0</v>
      </c>
      <c r="F24" s="105">
        <v>0</v>
      </c>
      <c r="G24" s="104">
        <f>SUM('Draw #4'!G24)+'Draw #5'!F24</f>
        <v>0</v>
      </c>
      <c r="H24" s="109">
        <f t="shared" si="0"/>
        <v>0</v>
      </c>
      <c r="I24" s="110">
        <v>0</v>
      </c>
      <c r="J24" s="109">
        <f>SUM(I24+'Draw #4'!J24)</f>
        <v>0</v>
      </c>
      <c r="K24" s="101" t="str">
        <f t="shared" si="1"/>
        <v/>
      </c>
      <c r="L24" s="9"/>
      <c r="M24" s="9"/>
    </row>
    <row r="25" spans="1:13" ht="14.1" customHeight="1">
      <c r="A25" s="4">
        <f>'SCHEDULE OF VALUE WORKSHEET'!A22</f>
        <v>16</v>
      </c>
      <c r="B25" s="142" t="str">
        <f>'SCHEDULE OF VALUE WORKSHEET'!B22</f>
        <v>Landscape Architect/Designer</v>
      </c>
      <c r="C25" s="143"/>
      <c r="D25" s="104">
        <f>SUM('SCHEDULE OF VALUE WORKSHEET'!E22)</f>
        <v>0</v>
      </c>
      <c r="E25" s="104">
        <f>SUM('Draw #4'!E25:F25)</f>
        <v>0</v>
      </c>
      <c r="F25" s="105">
        <v>0</v>
      </c>
      <c r="G25" s="104">
        <f>SUM('Draw #4'!G25)+'Draw #5'!F25</f>
        <v>0</v>
      </c>
      <c r="H25" s="109">
        <f t="shared" si="0"/>
        <v>0</v>
      </c>
      <c r="I25" s="110">
        <v>0</v>
      </c>
      <c r="J25" s="109">
        <f>SUM(I25+'Draw #4'!J25)</f>
        <v>0</v>
      </c>
      <c r="K25" s="101" t="str">
        <f t="shared" si="1"/>
        <v/>
      </c>
      <c r="L25" s="9"/>
      <c r="M25" s="9"/>
    </row>
    <row r="26" spans="1:13" ht="14.1" customHeight="1">
      <c r="A26" s="4">
        <f>'SCHEDULE OF VALUE WORKSHEET'!A23</f>
        <v>17</v>
      </c>
      <c r="B26" s="142" t="str">
        <f>'SCHEDULE OF VALUE WORKSHEET'!B23</f>
        <v>Driveway Apron Permit</v>
      </c>
      <c r="C26" s="143"/>
      <c r="D26" s="104">
        <f>SUM('SCHEDULE OF VALUE WORKSHEET'!E23)</f>
        <v>2500</v>
      </c>
      <c r="E26" s="104">
        <f>SUM('Draw #4'!E26:F26)</f>
        <v>0</v>
      </c>
      <c r="F26" s="105">
        <v>0</v>
      </c>
      <c r="G26" s="104">
        <f>SUM('Draw #4'!G26)+'Draw #5'!F26</f>
        <v>2500</v>
      </c>
      <c r="H26" s="109">
        <f t="shared" si="0"/>
        <v>2500</v>
      </c>
      <c r="I26" s="110">
        <v>0</v>
      </c>
      <c r="J26" s="109">
        <f>SUM(I26+'Draw #4'!J26)</f>
        <v>0</v>
      </c>
      <c r="K26" s="101" t="str">
        <f t="shared" si="1"/>
        <v/>
      </c>
      <c r="L26" s="9"/>
      <c r="M26" s="9"/>
    </row>
    <row r="27" spans="1:13" ht="14.1" customHeight="1">
      <c r="A27" s="4">
        <f>'SCHEDULE OF VALUE WORKSHEET'!A24</f>
        <v>18</v>
      </c>
      <c r="B27" s="142" t="str">
        <f>'SCHEDULE OF VALUE WORKSHEET'!B24</f>
        <v>Punch List - Misc.</v>
      </c>
      <c r="C27" s="143"/>
      <c r="D27" s="104">
        <f>SUM('SCHEDULE OF VALUE WORKSHEET'!E24)</f>
        <v>21962.77</v>
      </c>
      <c r="E27" s="104">
        <f>SUM('Draw #4'!E27:F27)</f>
        <v>0</v>
      </c>
      <c r="F27" s="105">
        <v>0</v>
      </c>
      <c r="G27" s="104">
        <f>SUM('Draw #4'!G27)+'Draw #5'!F27</f>
        <v>21962.77</v>
      </c>
      <c r="H27" s="109">
        <f t="shared" si="0"/>
        <v>21962.77</v>
      </c>
      <c r="I27" s="110">
        <v>0</v>
      </c>
      <c r="J27" s="109">
        <f>SUM(I27+'Draw #4'!J27)</f>
        <v>0</v>
      </c>
      <c r="K27" s="101" t="str">
        <f t="shared" si="1"/>
        <v/>
      </c>
      <c r="L27" s="9"/>
      <c r="M27" s="9"/>
    </row>
    <row r="28" spans="1:13" ht="14.1" customHeight="1">
      <c r="A28" s="4">
        <f>'SCHEDULE OF VALUE WORKSHEET'!A25</f>
        <v>19</v>
      </c>
      <c r="B28" s="142" t="str">
        <f>'SCHEDULE OF VALUE WORKSHEET'!B25</f>
        <v>EBM, Low Voltage, Landscape, Waterproofing CA</v>
      </c>
      <c r="C28" s="143"/>
      <c r="D28" s="104">
        <f>SUM('SCHEDULE OF VALUE WORKSHEET'!E25)</f>
        <v>0</v>
      </c>
      <c r="E28" s="104">
        <f>SUM('Draw #4'!E28:F28)</f>
        <v>0</v>
      </c>
      <c r="F28" s="105">
        <v>0</v>
      </c>
      <c r="G28" s="104">
        <f>SUM('Draw #4'!G28)+'Draw #5'!F28</f>
        <v>0</v>
      </c>
      <c r="H28" s="109">
        <f t="shared" si="0"/>
        <v>0</v>
      </c>
      <c r="I28" s="110">
        <v>0</v>
      </c>
      <c r="J28" s="109">
        <f>SUM(I28+'Draw #4'!J28)</f>
        <v>0</v>
      </c>
      <c r="K28" s="101" t="str">
        <f t="shared" si="1"/>
        <v/>
      </c>
      <c r="L28" s="9"/>
      <c r="M28" s="9"/>
    </row>
    <row r="29" spans="1:13" ht="14.1" customHeight="1">
      <c r="A29" s="4">
        <f>'SCHEDULE OF VALUE WORKSHEET'!A26</f>
        <v>20</v>
      </c>
      <c r="B29" s="142" t="str">
        <f>'SCHEDULE OF VALUE WORKSHEET'!B26</f>
        <v>Project Accounting/Tax Filing</v>
      </c>
      <c r="C29" s="143"/>
      <c r="D29" s="104">
        <f>SUM('SCHEDULE OF VALUE WORKSHEET'!E26)</f>
        <v>12994.01</v>
      </c>
      <c r="E29" s="104">
        <f>SUM('Draw #4'!E29:F29)</f>
        <v>0</v>
      </c>
      <c r="F29" s="105">
        <v>0</v>
      </c>
      <c r="G29" s="104">
        <f>SUM('Draw #4'!G29)+'Draw #5'!F29</f>
        <v>12994.01</v>
      </c>
      <c r="H29" s="109">
        <f t="shared" si="0"/>
        <v>12994.01</v>
      </c>
      <c r="I29" s="110">
        <v>0</v>
      </c>
      <c r="J29" s="109">
        <f>SUM(I29+'Draw #4'!J29)</f>
        <v>0</v>
      </c>
      <c r="K29" s="101" t="str">
        <f t="shared" si="1"/>
        <v/>
      </c>
      <c r="L29" s="9"/>
      <c r="M29" s="9"/>
    </row>
    <row r="30" spans="1:13" ht="14.1" customHeight="1">
      <c r="A30" s="4">
        <f>'SCHEDULE OF VALUE WORKSHEET'!A27</f>
        <v>21</v>
      </c>
      <c r="B30" s="142" t="str">
        <f>'SCHEDULE OF VALUE WORKSHEET'!B27</f>
        <v>Legal &amp; Professional Fees</v>
      </c>
      <c r="C30" s="143"/>
      <c r="D30" s="104">
        <f>SUM('SCHEDULE OF VALUE WORKSHEET'!E27)</f>
        <v>873.38999999999942</v>
      </c>
      <c r="E30" s="104">
        <f>SUM('Draw #4'!E30:F30)</f>
        <v>0</v>
      </c>
      <c r="F30" s="105">
        <v>0</v>
      </c>
      <c r="G30" s="104">
        <f>SUM('Draw #4'!G30)+'Draw #5'!F30</f>
        <v>873.38999999999942</v>
      </c>
      <c r="H30" s="109">
        <f t="shared" si="0"/>
        <v>873.38999999999942</v>
      </c>
      <c r="I30" s="110">
        <v>0</v>
      </c>
      <c r="J30" s="109">
        <f>SUM(I30+'Draw #4'!J30)</f>
        <v>0</v>
      </c>
      <c r="K30" s="101" t="str">
        <f t="shared" si="1"/>
        <v/>
      </c>
      <c r="L30" s="9"/>
      <c r="M30" s="9"/>
    </row>
    <row r="31" spans="1:13" ht="14.1" customHeight="1">
      <c r="A31" s="4">
        <f>'SCHEDULE OF VALUE WORKSHEET'!A28</f>
        <v>22</v>
      </c>
      <c r="B31" s="142" t="str">
        <f>'SCHEDULE OF VALUE WORKSHEET'!B28</f>
        <v>Sewer CCTV and inspection</v>
      </c>
      <c r="C31" s="143"/>
      <c r="D31" s="104">
        <f>SUM('SCHEDULE OF VALUE WORKSHEET'!E28)</f>
        <v>0</v>
      </c>
      <c r="E31" s="104">
        <f>SUM('Draw #4'!E31:F31)</f>
        <v>0</v>
      </c>
      <c r="F31" s="105">
        <v>0</v>
      </c>
      <c r="G31" s="104">
        <f>SUM('Draw #4'!G31)+'Draw #5'!F31</f>
        <v>0</v>
      </c>
      <c r="H31" s="109">
        <f t="shared" si="0"/>
        <v>0</v>
      </c>
      <c r="I31" s="110">
        <v>0</v>
      </c>
      <c r="J31" s="109">
        <f>SUM(I31+'Draw #4'!J31)</f>
        <v>0</v>
      </c>
      <c r="K31" s="101" t="str">
        <f t="shared" si="1"/>
        <v/>
      </c>
      <c r="L31" s="9"/>
      <c r="M31" s="9"/>
    </row>
    <row r="32" spans="1:13" ht="14.1" customHeight="1">
      <c r="A32" s="4">
        <f>'SCHEDULE OF VALUE WORKSHEET'!A29</f>
        <v>23</v>
      </c>
      <c r="B32" s="142" t="str">
        <f>'SCHEDULE OF VALUE WORKSHEET'!B29</f>
        <v>Environmental Phase I</v>
      </c>
      <c r="C32" s="143"/>
      <c r="D32" s="104">
        <f>SUM('SCHEDULE OF VALUE WORKSHEET'!E29)</f>
        <v>0</v>
      </c>
      <c r="E32" s="104">
        <f>SUM('Draw #4'!E32:F32)</f>
        <v>0</v>
      </c>
      <c r="F32" s="105">
        <v>0</v>
      </c>
      <c r="G32" s="104">
        <f>SUM('Draw #4'!G32)+'Draw #5'!F32</f>
        <v>0</v>
      </c>
      <c r="H32" s="109">
        <f t="shared" si="0"/>
        <v>0</v>
      </c>
      <c r="I32" s="110">
        <v>0</v>
      </c>
      <c r="J32" s="109">
        <f>SUM(I32+'Draw #4'!J32)</f>
        <v>0</v>
      </c>
      <c r="K32" s="101" t="str">
        <f t="shared" si="1"/>
        <v/>
      </c>
      <c r="L32" s="9"/>
      <c r="M32" s="9"/>
    </row>
    <row r="33" spans="1:13" ht="14.1" customHeight="1">
      <c r="A33" s="4">
        <f>'SCHEDULE OF VALUE WORKSHEET'!A30</f>
        <v>24</v>
      </c>
      <c r="B33" s="142" t="str">
        <f>'SCHEDULE OF VALUE WORKSHEET'!B30</f>
        <v>Dry Utility Consultant</v>
      </c>
      <c r="C33" s="143"/>
      <c r="D33" s="104">
        <f>SUM('SCHEDULE OF VALUE WORKSHEET'!E30)</f>
        <v>0</v>
      </c>
      <c r="E33" s="104">
        <f>SUM('Draw #4'!E33:F33)</f>
        <v>0</v>
      </c>
      <c r="F33" s="105">
        <v>0</v>
      </c>
      <c r="G33" s="104">
        <f>SUM('Draw #4'!G33)+'Draw #5'!F33</f>
        <v>0</v>
      </c>
      <c r="H33" s="109">
        <f t="shared" si="0"/>
        <v>0</v>
      </c>
      <c r="I33" s="110">
        <v>0</v>
      </c>
      <c r="J33" s="109">
        <f>SUM(I33+'Draw #4'!J33)</f>
        <v>0</v>
      </c>
      <c r="K33" s="101" t="str">
        <f t="shared" si="1"/>
        <v/>
      </c>
      <c r="L33" s="9"/>
      <c r="M33" s="9"/>
    </row>
    <row r="34" spans="1:13" ht="14.1" customHeight="1">
      <c r="A34" s="4">
        <f>'SCHEDULE OF VALUE WORKSHEET'!A31</f>
        <v>25</v>
      </c>
      <c r="B34" s="142" t="str">
        <f>'SCHEDULE OF VALUE WORKSHEET'!B31</f>
        <v>Dry Utility Survey</v>
      </c>
      <c r="C34" s="143"/>
      <c r="D34" s="104">
        <f>SUM('SCHEDULE OF VALUE WORKSHEET'!E31)</f>
        <v>5000</v>
      </c>
      <c r="E34" s="104">
        <f>SUM('Draw #4'!E34:F34)</f>
        <v>0</v>
      </c>
      <c r="F34" s="105">
        <v>0</v>
      </c>
      <c r="G34" s="104">
        <f>SUM('Draw #4'!G34)+'Draw #5'!F34</f>
        <v>5000</v>
      </c>
      <c r="H34" s="109">
        <f t="shared" si="0"/>
        <v>5000</v>
      </c>
      <c r="I34" s="110">
        <v>0</v>
      </c>
      <c r="J34" s="109">
        <f>SUM(I34+'Draw #4'!J34)</f>
        <v>0</v>
      </c>
      <c r="K34" s="101" t="str">
        <f t="shared" si="1"/>
        <v/>
      </c>
      <c r="L34" s="9"/>
      <c r="M34" s="9"/>
    </row>
    <row r="35" spans="1:13" ht="14.1" customHeight="1">
      <c r="A35" s="4">
        <f>'SCHEDULE OF VALUE WORKSHEET'!A32</f>
        <v>26</v>
      </c>
      <c r="B35" s="142" t="str">
        <f>'SCHEDULE OF VALUE WORKSHEET'!B32</f>
        <v>MEP</v>
      </c>
      <c r="C35" s="143"/>
      <c r="D35" s="104">
        <f>SUM('SCHEDULE OF VALUE WORKSHEET'!E32)</f>
        <v>0</v>
      </c>
      <c r="E35" s="104">
        <f>SUM('Draw #4'!E35:F35)</f>
        <v>0</v>
      </c>
      <c r="F35" s="105">
        <v>0</v>
      </c>
      <c r="G35" s="104">
        <f>SUM('Draw #4'!G35)+'Draw #5'!F35</f>
        <v>0</v>
      </c>
      <c r="H35" s="109">
        <f t="shared" si="0"/>
        <v>0</v>
      </c>
      <c r="I35" s="110">
        <v>0</v>
      </c>
      <c r="J35" s="109">
        <f>SUM(I35+'Draw #4'!J35)</f>
        <v>0</v>
      </c>
      <c r="K35" s="101" t="str">
        <f t="shared" si="1"/>
        <v/>
      </c>
      <c r="L35" s="9"/>
      <c r="M35" s="9"/>
    </row>
    <row r="36" spans="1:13" ht="14.1" customHeight="1">
      <c r="A36" s="4">
        <f>'SCHEDULE OF VALUE WORKSHEET'!A33</f>
        <v>27</v>
      </c>
      <c r="B36" s="142" t="str">
        <f>'SCHEDULE OF VALUE WORKSHEET'!B33</f>
        <v>Civil Construction Administration</v>
      </c>
      <c r="C36" s="143"/>
      <c r="D36" s="104">
        <f>SUM('SCHEDULE OF VALUE WORKSHEET'!E33)</f>
        <v>5000</v>
      </c>
      <c r="E36" s="104">
        <f>SUM('Draw #4'!E36:F36)</f>
        <v>0</v>
      </c>
      <c r="F36" s="105">
        <v>0</v>
      </c>
      <c r="G36" s="104">
        <f>SUM('Draw #4'!G36)+'Draw #5'!F36</f>
        <v>5000</v>
      </c>
      <c r="H36" s="109">
        <f t="shared" si="0"/>
        <v>5000</v>
      </c>
      <c r="I36" s="110">
        <v>0</v>
      </c>
      <c r="J36" s="109">
        <f>SUM(I36+'Draw #4'!J36)</f>
        <v>0</v>
      </c>
      <c r="K36" s="101" t="str">
        <f t="shared" si="1"/>
        <v/>
      </c>
      <c r="L36" s="9"/>
      <c r="M36" s="9"/>
    </row>
    <row r="37" spans="1:13" ht="14.1" customHeight="1">
      <c r="A37" s="4">
        <f>'SCHEDULE OF VALUE WORKSHEET'!A34</f>
        <v>28</v>
      </c>
      <c r="B37" s="142" t="str">
        <f>'SCHEDULE OF VALUE WORKSHEET'!B34</f>
        <v>Permit Clearances &amp; Agency Reviews</v>
      </c>
      <c r="C37" s="143"/>
      <c r="D37" s="104">
        <f>SUM('SCHEDULE OF VALUE WORKSHEET'!E34)</f>
        <v>0</v>
      </c>
      <c r="E37" s="104">
        <f>SUM('Draw #4'!E37:F37)</f>
        <v>0</v>
      </c>
      <c r="F37" s="105">
        <v>0</v>
      </c>
      <c r="G37" s="104">
        <f>SUM('Draw #4'!G37)+'Draw #5'!F37</f>
        <v>0</v>
      </c>
      <c r="H37" s="109">
        <f t="shared" si="0"/>
        <v>0</v>
      </c>
      <c r="I37" s="110">
        <v>0</v>
      </c>
      <c r="J37" s="109">
        <f>SUM(I37+'Draw #4'!J37)</f>
        <v>0</v>
      </c>
      <c r="K37" s="101" t="str">
        <f t="shared" si="1"/>
        <v/>
      </c>
      <c r="L37" s="9"/>
      <c r="M37" s="9"/>
    </row>
    <row r="38" spans="1:13" ht="14.1" customHeight="1">
      <c r="A38" s="4">
        <f>'SCHEDULE OF VALUE WORKSHEET'!A35</f>
        <v>29</v>
      </c>
      <c r="B38" s="142" t="str">
        <f>'SCHEDULE OF VALUE WORKSHEET'!B35</f>
        <v>Demo Permit Fees</v>
      </c>
      <c r="C38" s="143"/>
      <c r="D38" s="104">
        <f>SUM('SCHEDULE OF VALUE WORKSHEET'!E35)</f>
        <v>500</v>
      </c>
      <c r="E38" s="104">
        <f>SUM('Draw #4'!E38:F38)</f>
        <v>0</v>
      </c>
      <c r="F38" s="105">
        <v>0</v>
      </c>
      <c r="G38" s="104">
        <f>SUM('Draw #4'!G38)+'Draw #5'!F38</f>
        <v>500</v>
      </c>
      <c r="H38" s="109">
        <f t="shared" si="0"/>
        <v>500</v>
      </c>
      <c r="I38" s="110">
        <v>0</v>
      </c>
      <c r="J38" s="109">
        <f>SUM(I38+'Draw #4'!J38)</f>
        <v>0</v>
      </c>
      <c r="K38" s="101" t="str">
        <f t="shared" si="1"/>
        <v/>
      </c>
      <c r="L38" s="9"/>
      <c r="M38" s="9"/>
    </row>
    <row r="39" spans="1:13" ht="14.1" customHeight="1">
      <c r="A39" s="4">
        <f>'SCHEDULE OF VALUE WORKSHEET'!A36</f>
        <v>30</v>
      </c>
      <c r="B39" s="142" t="str">
        <f>'SCHEDULE OF VALUE WORKSHEET'!B36</f>
        <v>MEP Fees</v>
      </c>
      <c r="C39" s="143"/>
      <c r="D39" s="104">
        <f>SUM('SCHEDULE OF VALUE WORKSHEET'!E36)</f>
        <v>0</v>
      </c>
      <c r="E39" s="104">
        <f>SUM('Draw #4'!E39:F39)</f>
        <v>0</v>
      </c>
      <c r="F39" s="105">
        <v>0</v>
      </c>
      <c r="G39" s="104">
        <f>SUM('Draw #4'!G39)+'Draw #5'!F39</f>
        <v>0</v>
      </c>
      <c r="H39" s="109">
        <f t="shared" si="0"/>
        <v>0</v>
      </c>
      <c r="I39" s="110">
        <v>0</v>
      </c>
      <c r="J39" s="109">
        <f>SUM(I39+'Draw #4'!J39)</f>
        <v>0</v>
      </c>
      <c r="K39" s="101" t="str">
        <f t="shared" si="1"/>
        <v/>
      </c>
      <c r="L39" s="9"/>
      <c r="M39" s="9"/>
    </row>
    <row r="40" spans="1:13" ht="14.1" customHeight="1">
      <c r="A40" s="4">
        <f>'SCHEDULE OF VALUE WORKSHEET'!A37</f>
        <v>31</v>
      </c>
      <c r="B40" s="142" t="str">
        <f>'SCHEDULE OF VALUE WORKSHEET'!B37</f>
        <v>Agency Signoffs</v>
      </c>
      <c r="C40" s="143"/>
      <c r="D40" s="104">
        <f>SUM('SCHEDULE OF VALUE WORKSHEET'!E37)</f>
        <v>0</v>
      </c>
      <c r="E40" s="104">
        <f>SUM('Draw #4'!E40:F40)</f>
        <v>0</v>
      </c>
      <c r="F40" s="105">
        <v>0</v>
      </c>
      <c r="G40" s="104">
        <f>SUM('Draw #4'!G40)+'Draw #5'!F40</f>
        <v>0</v>
      </c>
      <c r="H40" s="109">
        <f t="shared" si="0"/>
        <v>0</v>
      </c>
      <c r="I40" s="110">
        <v>0</v>
      </c>
      <c r="J40" s="109">
        <f>SUM(I40+'Draw #4'!J40)</f>
        <v>0</v>
      </c>
      <c r="K40" s="101" t="str">
        <f t="shared" si="1"/>
        <v/>
      </c>
      <c r="L40" s="9"/>
      <c r="M40" s="9"/>
    </row>
    <row r="41" spans="1:13" ht="14.1" customHeight="1">
      <c r="A41" s="4">
        <f>'SCHEDULE OF VALUE WORKSHEET'!A38</f>
        <v>32</v>
      </c>
      <c r="B41" s="142" t="str">
        <f>'SCHEDULE OF VALUE WORKSHEET'!B38</f>
        <v>Specifications Writer Consultant</v>
      </c>
      <c r="C41" s="143"/>
      <c r="D41" s="104">
        <f>SUM('SCHEDULE OF VALUE WORKSHEET'!E38)</f>
        <v>2000</v>
      </c>
      <c r="E41" s="104">
        <f>SUM('Draw #4'!E41:F41)</f>
        <v>0</v>
      </c>
      <c r="F41" s="105">
        <v>0</v>
      </c>
      <c r="G41" s="104">
        <f>SUM('Draw #4'!G41)+'Draw #5'!F41</f>
        <v>2000</v>
      </c>
      <c r="H41" s="109">
        <f t="shared" si="0"/>
        <v>2000</v>
      </c>
      <c r="I41" s="110">
        <v>0</v>
      </c>
      <c r="J41" s="109">
        <f>SUM(I41+'Draw #4'!J41)</f>
        <v>0</v>
      </c>
      <c r="K41" s="101" t="str">
        <f t="shared" si="1"/>
        <v/>
      </c>
      <c r="L41" s="9"/>
      <c r="M41" s="9"/>
    </row>
    <row r="42" spans="1:13" ht="14.1" customHeight="1">
      <c r="A42" s="4">
        <f>'SCHEDULE OF VALUE WORKSHEET'!A39</f>
        <v>33</v>
      </c>
      <c r="B42" s="142" t="str">
        <f>'SCHEDULE OF VALUE WORKSHEET'!B39</f>
        <v>Construction Consultant</v>
      </c>
      <c r="C42" s="143"/>
      <c r="D42" s="104">
        <f>SUM('SCHEDULE OF VALUE WORKSHEET'!E39)</f>
        <v>0</v>
      </c>
      <c r="E42" s="104">
        <f>SUM('Draw #4'!E42:F42)</f>
        <v>0</v>
      </c>
      <c r="F42" s="105">
        <v>0</v>
      </c>
      <c r="G42" s="104">
        <f>SUM('Draw #4'!G42)+'Draw #5'!F42</f>
        <v>0</v>
      </c>
      <c r="H42" s="109">
        <f t="shared" si="0"/>
        <v>0</v>
      </c>
      <c r="I42" s="110">
        <v>0</v>
      </c>
      <c r="J42" s="109">
        <f>SUM(I42+'Draw #4'!J42)</f>
        <v>0</v>
      </c>
      <c r="K42" s="101" t="str">
        <f t="shared" si="1"/>
        <v/>
      </c>
      <c r="L42" s="9"/>
      <c r="M42" s="9"/>
    </row>
    <row r="43" spans="1:13" ht="14.1" customHeight="1">
      <c r="A43" s="4">
        <f>'SCHEDULE OF VALUE WORKSHEET'!A40</f>
        <v>34</v>
      </c>
      <c r="B43" s="142" t="str">
        <f>'SCHEDULE OF VALUE WORKSHEET'!B40</f>
        <v>Low Voltage Consultant</v>
      </c>
      <c r="C43" s="143"/>
      <c r="D43" s="104">
        <f>SUM('SCHEDULE OF VALUE WORKSHEET'!E40)</f>
        <v>15524</v>
      </c>
      <c r="E43" s="104">
        <f>SUM('Draw #4'!E43:F43)</f>
        <v>0</v>
      </c>
      <c r="F43" s="105">
        <v>0</v>
      </c>
      <c r="G43" s="104">
        <f>SUM('Draw #4'!G43)+'Draw #5'!F43</f>
        <v>15524</v>
      </c>
      <c r="H43" s="109">
        <f t="shared" si="0"/>
        <v>15524</v>
      </c>
      <c r="I43" s="110">
        <v>0</v>
      </c>
      <c r="J43" s="109">
        <f>SUM(I43+'Draw #4'!J43)</f>
        <v>0</v>
      </c>
      <c r="K43" s="101" t="str">
        <f t="shared" si="1"/>
        <v/>
      </c>
      <c r="L43" s="9"/>
      <c r="M43" s="9"/>
    </row>
    <row r="44" spans="1:13" ht="14.1" customHeight="1">
      <c r="A44" s="4">
        <f>'SCHEDULE OF VALUE WORKSHEET'!A41</f>
        <v>35</v>
      </c>
      <c r="B44" s="142" t="str">
        <f>'SCHEDULE OF VALUE WORKSHEET'!B41</f>
        <v>Photovoltaic Consultant</v>
      </c>
      <c r="C44" s="143"/>
      <c r="D44" s="104">
        <f>SUM('SCHEDULE OF VALUE WORKSHEET'!E41)</f>
        <v>5000</v>
      </c>
      <c r="E44" s="104">
        <f>SUM('Draw #4'!E44:F44)</f>
        <v>0</v>
      </c>
      <c r="F44" s="105">
        <v>0</v>
      </c>
      <c r="G44" s="104">
        <f>SUM('Draw #4'!G44)+'Draw #5'!F44</f>
        <v>5000</v>
      </c>
      <c r="H44" s="109">
        <f t="shared" si="0"/>
        <v>5000</v>
      </c>
      <c r="I44" s="110">
        <v>0</v>
      </c>
      <c r="J44" s="109">
        <f>SUM(I44+'Draw #4'!J44)</f>
        <v>0</v>
      </c>
      <c r="K44" s="101" t="str">
        <f t="shared" si="1"/>
        <v/>
      </c>
      <c r="L44" s="9"/>
      <c r="M44" s="9"/>
    </row>
    <row r="45" spans="1:13" ht="14.1" customHeight="1">
      <c r="A45" s="4">
        <f>'SCHEDULE OF VALUE WORKSHEET'!A42</f>
        <v>36</v>
      </c>
      <c r="B45" s="142" t="str">
        <f>'SCHEDULE OF VALUE WORKSHEET'!B42</f>
        <v>Construction Management / Observation (OO)</v>
      </c>
      <c r="C45" s="143"/>
      <c r="D45" s="104">
        <f>SUM('SCHEDULE OF VALUE WORKSHEET'!E42)</f>
        <v>49427.9</v>
      </c>
      <c r="E45" s="104">
        <f>SUM('Draw #4'!E45:F45)</f>
        <v>0</v>
      </c>
      <c r="F45" s="105">
        <v>0</v>
      </c>
      <c r="G45" s="104">
        <f>SUM('Draw #4'!G45)+'Draw #5'!F45</f>
        <v>49427.9</v>
      </c>
      <c r="H45" s="109">
        <f t="shared" si="0"/>
        <v>49427.9</v>
      </c>
      <c r="I45" s="110">
        <v>0</v>
      </c>
      <c r="J45" s="109">
        <f>SUM(I45+'Draw #4'!J45)</f>
        <v>0</v>
      </c>
      <c r="K45" s="101" t="str">
        <f t="shared" si="1"/>
        <v/>
      </c>
      <c r="L45" s="9"/>
      <c r="M45" s="9"/>
    </row>
    <row r="46" spans="1:13" ht="14.1" customHeight="1">
      <c r="A46" s="4" t="e">
        <f>'SCHEDULE OF VALUE WORKSHEET'!#REF!</f>
        <v>#REF!</v>
      </c>
      <c r="B46" s="142" t="e">
        <f>'SCHEDULE OF VALUE WORKSHEET'!#REF!</f>
        <v>#REF!</v>
      </c>
      <c r="C46" s="143"/>
      <c r="D46" s="104" t="e">
        <f>SUM('SCHEDULE OF VALUE WORKSHEET'!#REF!)</f>
        <v>#REF!</v>
      </c>
      <c r="E46" s="104">
        <f>SUM('Draw #4'!E46:F46)</f>
        <v>0</v>
      </c>
      <c r="F46" s="105">
        <v>0</v>
      </c>
      <c r="G46" s="104" t="e">
        <f>SUM('Draw #4'!G46)+'Draw #5'!F46</f>
        <v>#REF!</v>
      </c>
      <c r="H46" s="109" t="e">
        <f t="shared" si="0"/>
        <v>#REF!</v>
      </c>
      <c r="I46" s="110">
        <v>0</v>
      </c>
      <c r="J46" s="109">
        <f>SUM(I46+'Draw #4'!J46)</f>
        <v>0</v>
      </c>
      <c r="K46" s="101" t="str">
        <f t="shared" si="1"/>
        <v/>
      </c>
      <c r="L46" s="9"/>
      <c r="M46" s="9"/>
    </row>
    <row r="47" spans="1:13" ht="14.1" customHeight="1">
      <c r="A47" s="4">
        <f>'SCHEDULE OF VALUE WORKSHEET'!A43</f>
        <v>37</v>
      </c>
      <c r="B47" s="142" t="str">
        <f>'SCHEDULE OF VALUE WORKSHEET'!B43</f>
        <v>CMFA Startup Fee</v>
      </c>
      <c r="C47" s="143"/>
      <c r="D47" s="104">
        <f>SUM('SCHEDULE OF VALUE WORKSHEET'!E43)</f>
        <v>22800</v>
      </c>
      <c r="E47" s="104">
        <f>SUM('Draw #4'!E47:F47)</f>
        <v>0</v>
      </c>
      <c r="F47" s="105">
        <v>0</v>
      </c>
      <c r="G47" s="104">
        <f>SUM('Draw #4'!G47)+'Draw #5'!F47</f>
        <v>22800</v>
      </c>
      <c r="H47" s="109">
        <f t="shared" si="0"/>
        <v>22800</v>
      </c>
      <c r="I47" s="110">
        <v>0</v>
      </c>
      <c r="J47" s="109">
        <f>SUM(I47+'Draw #4'!J47)</f>
        <v>0</v>
      </c>
      <c r="K47" s="101" t="str">
        <f t="shared" si="1"/>
        <v/>
      </c>
      <c r="L47" s="9"/>
      <c r="M47" s="9"/>
    </row>
    <row r="48" spans="1:13" ht="14.1" customHeight="1">
      <c r="A48" s="4">
        <f>'SCHEDULE OF VALUE WORKSHEET'!A44</f>
        <v>38</v>
      </c>
      <c r="B48" s="142" t="str">
        <f>'SCHEDULE OF VALUE WORKSHEET'!B44</f>
        <v>Non-Profit Start Up Fee</v>
      </c>
      <c r="C48" s="143"/>
      <c r="D48" s="104">
        <f>SUM('SCHEDULE OF VALUE WORKSHEET'!E44)</f>
        <v>25000</v>
      </c>
      <c r="E48" s="104">
        <f>SUM('Draw #4'!E48:F48)</f>
        <v>0</v>
      </c>
      <c r="F48" s="105">
        <v>0</v>
      </c>
      <c r="G48" s="104">
        <f>SUM('Draw #4'!G48)+'Draw #5'!F48</f>
        <v>25000</v>
      </c>
      <c r="H48" s="109">
        <f t="shared" si="0"/>
        <v>25000</v>
      </c>
      <c r="I48" s="110">
        <v>0</v>
      </c>
      <c r="J48" s="109">
        <f>SUM(I48+'Draw #4'!J48)</f>
        <v>0</v>
      </c>
      <c r="K48" s="101" t="str">
        <f t="shared" si="1"/>
        <v/>
      </c>
      <c r="L48" s="9"/>
      <c r="M48" s="9"/>
    </row>
    <row r="49" spans="1:13" ht="14.1" customHeight="1">
      <c r="A49" s="4">
        <f>'SCHEDULE OF VALUE WORKSHEET'!A45</f>
        <v>39</v>
      </c>
      <c r="B49" s="142" t="str">
        <f>'SCHEDULE OF VALUE WORKSHEET'!B45</f>
        <v>CMFA Construction Fee</v>
      </c>
      <c r="C49" s="143"/>
      <c r="D49" s="104">
        <f>SUM('SCHEDULE OF VALUE WORKSHEET'!E45)</f>
        <v>12000</v>
      </c>
      <c r="E49" s="104">
        <f>SUM('Draw #4'!E49:F49)</f>
        <v>0</v>
      </c>
      <c r="F49" s="105">
        <v>0</v>
      </c>
      <c r="G49" s="104">
        <f>SUM('Draw #4'!G49)+'Draw #5'!F49</f>
        <v>12000</v>
      </c>
      <c r="H49" s="109">
        <f t="shared" si="0"/>
        <v>12000</v>
      </c>
      <c r="I49" s="110">
        <v>0</v>
      </c>
      <c r="J49" s="109">
        <f>SUM(I49+'Draw #4'!J49)</f>
        <v>0</v>
      </c>
      <c r="K49" s="101" t="str">
        <f t="shared" si="1"/>
        <v/>
      </c>
      <c r="L49" s="9"/>
      <c r="M49" s="9"/>
    </row>
    <row r="50" spans="1:13" ht="14.1" customHeight="1">
      <c r="A50" s="4">
        <f>'SCHEDULE OF VALUE WORKSHEET'!A46</f>
        <v>40</v>
      </c>
      <c r="B50" s="142" t="str">
        <f>'SCHEDULE OF VALUE WORKSHEET'!B46</f>
        <v>Non-Profit Construction Fee</v>
      </c>
      <c r="C50" s="143"/>
      <c r="D50" s="104">
        <f>SUM('SCHEDULE OF VALUE WORKSHEET'!E46)</f>
        <v>10000</v>
      </c>
      <c r="E50" s="104">
        <f>SUM('Draw #4'!E50:F50)</f>
        <v>0</v>
      </c>
      <c r="F50" s="105">
        <v>0</v>
      </c>
      <c r="G50" s="104">
        <f>SUM('Draw #4'!G50)+'Draw #5'!F50</f>
        <v>10000</v>
      </c>
      <c r="H50" s="109">
        <f t="shared" si="0"/>
        <v>10000</v>
      </c>
      <c r="I50" s="110">
        <v>0</v>
      </c>
      <c r="J50" s="109">
        <f>SUM(I50+'Draw #4'!J50)</f>
        <v>0</v>
      </c>
      <c r="K50" s="101" t="str">
        <f t="shared" si="1"/>
        <v/>
      </c>
      <c r="L50" s="9"/>
      <c r="M50" s="9"/>
    </row>
    <row r="51" spans="1:13" ht="14.1" customHeight="1">
      <c r="A51" s="4">
        <f>'SCHEDULE OF VALUE WORKSHEET'!A47</f>
        <v>41</v>
      </c>
      <c r="B51" s="142" t="str">
        <f>'SCHEDULE OF VALUE WORKSHEET'!B47</f>
        <v>WTE Legal Costs for CMFA &amp; Non-Profit Partner</v>
      </c>
      <c r="C51" s="143"/>
      <c r="D51" s="104">
        <f>SUM('SCHEDULE OF VALUE WORKSHEET'!E47)</f>
        <v>20000</v>
      </c>
      <c r="E51" s="104">
        <f>SUM('Draw #4'!E51:F51)</f>
        <v>0</v>
      </c>
      <c r="F51" s="105">
        <v>0</v>
      </c>
      <c r="G51" s="104">
        <f>SUM('Draw #4'!G51)+'Draw #5'!F51</f>
        <v>20000</v>
      </c>
      <c r="H51" s="109">
        <f t="shared" si="0"/>
        <v>20000</v>
      </c>
      <c r="I51" s="110">
        <v>0</v>
      </c>
      <c r="J51" s="109">
        <f>SUM(I51+'Draw #4'!J51)</f>
        <v>0</v>
      </c>
      <c r="K51" s="101" t="str">
        <f t="shared" si="1"/>
        <v/>
      </c>
      <c r="L51" s="9"/>
      <c r="M51" s="9"/>
    </row>
    <row r="52" spans="1:13" ht="14.1" customHeight="1">
      <c r="A52" s="4" t="e">
        <f>'SCHEDULE OF VALUE WORKSHEET'!#REF!</f>
        <v>#REF!</v>
      </c>
      <c r="B52" s="142" t="e">
        <f>'SCHEDULE OF VALUE WORKSHEET'!#REF!</f>
        <v>#REF!</v>
      </c>
      <c r="C52" s="143"/>
      <c r="D52" s="104" t="e">
        <f>SUM('SCHEDULE OF VALUE WORKSHEET'!#REF!)</f>
        <v>#REF!</v>
      </c>
      <c r="E52" s="104">
        <f>SUM('Draw #4'!E52:F52)</f>
        <v>0</v>
      </c>
      <c r="F52" s="105">
        <v>0</v>
      </c>
      <c r="G52" s="104" t="e">
        <f>SUM('Draw #4'!G52)+'Draw #5'!F52</f>
        <v>#REF!</v>
      </c>
      <c r="H52" s="109" t="e">
        <f t="shared" si="0"/>
        <v>#REF!</v>
      </c>
      <c r="I52" s="110">
        <v>0</v>
      </c>
      <c r="J52" s="109">
        <f>SUM(I52+'Draw #4'!J52)</f>
        <v>0</v>
      </c>
      <c r="K52" s="101" t="str">
        <f t="shared" si="1"/>
        <v/>
      </c>
      <c r="L52" s="9"/>
      <c r="M52" s="9"/>
    </row>
    <row r="53" spans="1:13" ht="14.1" customHeight="1">
      <c r="A53" s="4">
        <f>'SCHEDULE OF VALUE WORKSHEET'!A49</f>
        <v>43</v>
      </c>
      <c r="B53" s="142" t="str">
        <f>'SCHEDULE OF VALUE WORKSHEET'!B49</f>
        <v>GENERAL CONDITIONS</v>
      </c>
      <c r="C53" s="143"/>
      <c r="D53" s="104">
        <f>SUM('SCHEDULE OF VALUE WORKSHEET'!E49)</f>
        <v>362115.24</v>
      </c>
      <c r="E53" s="104">
        <f>SUM('Draw #4'!E53:F53)</f>
        <v>0</v>
      </c>
      <c r="F53" s="105">
        <v>0</v>
      </c>
      <c r="G53" s="104">
        <f>SUM('Draw #4'!G53)+'Draw #5'!F53</f>
        <v>362115.24</v>
      </c>
      <c r="H53" s="109">
        <f t="shared" si="0"/>
        <v>362115.24</v>
      </c>
      <c r="I53" s="110">
        <v>0</v>
      </c>
      <c r="J53" s="109">
        <f>SUM(I53+'Draw #4'!J53)</f>
        <v>0</v>
      </c>
      <c r="K53" s="101" t="str">
        <f t="shared" si="1"/>
        <v/>
      </c>
      <c r="L53" s="9"/>
      <c r="M53" s="9"/>
    </row>
    <row r="54" spans="1:13" ht="14.1" customHeight="1">
      <c r="A54" s="4">
        <f>'SCHEDULE OF VALUE WORKSHEET'!A50</f>
        <v>44</v>
      </c>
      <c r="B54" s="142" t="str">
        <f>'SCHEDULE OF VALUE WORKSHEET'!B50</f>
        <v>GENERAL REQUIREMENT</v>
      </c>
      <c r="C54" s="143"/>
      <c r="D54" s="104">
        <f>SUM('SCHEDULE OF VALUE WORKSHEET'!E50)</f>
        <v>124657.88</v>
      </c>
      <c r="E54" s="104">
        <f>SUM('Draw #4'!E54:F54)</f>
        <v>0</v>
      </c>
      <c r="F54" s="105">
        <v>0</v>
      </c>
      <c r="G54" s="104">
        <f>SUM('Draw #4'!G54)+'Draw #5'!F54</f>
        <v>124657.88</v>
      </c>
      <c r="H54" s="109">
        <f t="shared" si="0"/>
        <v>124657.88</v>
      </c>
      <c r="I54" s="110">
        <v>0</v>
      </c>
      <c r="J54" s="109">
        <f>SUM(I54+'Draw #4'!J54)</f>
        <v>0</v>
      </c>
      <c r="K54" s="101" t="str">
        <f t="shared" si="1"/>
        <v/>
      </c>
      <c r="L54" s="9"/>
      <c r="M54" s="9"/>
    </row>
    <row r="55" spans="1:13" ht="14.1" customHeight="1">
      <c r="A55" s="4">
        <f>'SCHEDULE OF VALUE WORKSHEET'!A51</f>
        <v>45</v>
      </c>
      <c r="B55" s="142" t="str">
        <f>'SCHEDULE OF VALUE WORKSHEET'!B51</f>
        <v>SITE WORK</v>
      </c>
      <c r="C55" s="143"/>
      <c r="D55" s="104">
        <f>SUM('SCHEDULE OF VALUE WORKSHEET'!E51)</f>
        <v>139049.51</v>
      </c>
      <c r="E55" s="104">
        <f>SUM('Draw #4'!E55:F55)</f>
        <v>0</v>
      </c>
      <c r="F55" s="105">
        <v>0</v>
      </c>
      <c r="G55" s="104">
        <f>SUM('Draw #4'!G55)+'Draw #5'!F55</f>
        <v>139049.51</v>
      </c>
      <c r="H55" s="109">
        <f t="shared" si="0"/>
        <v>139049.51</v>
      </c>
      <c r="I55" s="110">
        <v>0</v>
      </c>
      <c r="J55" s="109">
        <f>SUM(I55+'Draw #4'!J55)</f>
        <v>0</v>
      </c>
      <c r="K55" s="101" t="str">
        <f t="shared" si="1"/>
        <v/>
      </c>
      <c r="L55" s="9"/>
      <c r="M55" s="9"/>
    </row>
    <row r="56" spans="1:13" ht="14.1" customHeight="1">
      <c r="A56" s="4">
        <f>'SCHEDULE OF VALUE WORKSHEET'!A52</f>
        <v>46</v>
      </c>
      <c r="B56" s="142" t="str">
        <f>'SCHEDULE OF VALUE WORKSHEET'!B52</f>
        <v>CONCRETE</v>
      </c>
      <c r="C56" s="143"/>
      <c r="D56" s="104">
        <f>SUM('SCHEDULE OF VALUE WORKSHEET'!E52)</f>
        <v>253182</v>
      </c>
      <c r="E56" s="104">
        <f>SUM('Draw #4'!E56:F56)</f>
        <v>0</v>
      </c>
      <c r="F56" s="105">
        <v>0</v>
      </c>
      <c r="G56" s="104">
        <f>SUM('Draw #4'!G56)+'Draw #5'!F56</f>
        <v>253182</v>
      </c>
      <c r="H56" s="109">
        <f t="shared" si="0"/>
        <v>253182</v>
      </c>
      <c r="I56" s="110">
        <v>0</v>
      </c>
      <c r="J56" s="109">
        <f>SUM(I56+'Draw #4'!J56)</f>
        <v>0</v>
      </c>
      <c r="K56" s="101" t="str">
        <f t="shared" si="1"/>
        <v/>
      </c>
      <c r="L56" s="9"/>
      <c r="M56" s="9"/>
    </row>
    <row r="57" spans="1:13" ht="14.1" customHeight="1">
      <c r="A57" s="4">
        <f>'SCHEDULE OF VALUE WORKSHEET'!A53</f>
        <v>47</v>
      </c>
      <c r="B57" s="142" t="str">
        <f>'SCHEDULE OF VALUE WORKSHEET'!B53</f>
        <v>MASONRY</v>
      </c>
      <c r="C57" s="143"/>
      <c r="D57" s="104">
        <f>SUM('SCHEDULE OF VALUE WORKSHEET'!E53)</f>
        <v>3562.64</v>
      </c>
      <c r="E57" s="104">
        <f>SUM('Draw #4'!E57:F57)</f>
        <v>0</v>
      </c>
      <c r="F57" s="105">
        <v>0</v>
      </c>
      <c r="G57" s="104">
        <f>SUM('Draw #4'!G57)+'Draw #5'!F57</f>
        <v>3562.64</v>
      </c>
      <c r="H57" s="109">
        <f t="shared" si="0"/>
        <v>3562.64</v>
      </c>
      <c r="I57" s="110">
        <v>0</v>
      </c>
      <c r="J57" s="109">
        <f>SUM(I57+'Draw #4'!J57)</f>
        <v>0</v>
      </c>
      <c r="K57" s="101" t="str">
        <f t="shared" si="1"/>
        <v/>
      </c>
      <c r="L57" s="9"/>
      <c r="M57" s="9"/>
    </row>
    <row r="58" spans="1:13" ht="14.1" customHeight="1">
      <c r="A58" s="4">
        <f>'SCHEDULE OF VALUE WORKSHEET'!A54</f>
        <v>48</v>
      </c>
      <c r="B58" s="142" t="str">
        <f>'SCHEDULE OF VALUE WORKSHEET'!B54</f>
        <v>METALS</v>
      </c>
      <c r="C58" s="143"/>
      <c r="D58" s="104">
        <f>SUM('SCHEDULE OF VALUE WORKSHEET'!E54)</f>
        <v>324100</v>
      </c>
      <c r="E58" s="104">
        <f>SUM('Draw #4'!E58:F58)</f>
        <v>0</v>
      </c>
      <c r="F58" s="105">
        <v>0</v>
      </c>
      <c r="G58" s="104">
        <f>SUM('Draw #4'!G58)+'Draw #5'!F58</f>
        <v>324100</v>
      </c>
      <c r="H58" s="109">
        <f t="shared" si="0"/>
        <v>324100</v>
      </c>
      <c r="I58" s="110">
        <v>0</v>
      </c>
      <c r="J58" s="109">
        <f>SUM(I58+'Draw #4'!J58)</f>
        <v>0</v>
      </c>
      <c r="K58" s="101" t="str">
        <f t="shared" si="1"/>
        <v/>
      </c>
      <c r="L58" s="9"/>
      <c r="M58" s="9"/>
    </row>
    <row r="59" spans="1:13" ht="14.1" customHeight="1">
      <c r="A59" s="4">
        <f>'SCHEDULE OF VALUE WORKSHEET'!A55</f>
        <v>49</v>
      </c>
      <c r="B59" s="142" t="str">
        <f>'SCHEDULE OF VALUE WORKSHEET'!B55</f>
        <v>FRAMING</v>
      </c>
      <c r="C59" s="143"/>
      <c r="D59" s="104">
        <f>SUM('SCHEDULE OF VALUE WORKSHEET'!E55)</f>
        <v>818554</v>
      </c>
      <c r="E59" s="104">
        <f>SUM('Draw #4'!E59:F59)</f>
        <v>0</v>
      </c>
      <c r="F59" s="105">
        <v>0</v>
      </c>
      <c r="G59" s="104">
        <f>SUM('Draw #4'!G59)+'Draw #5'!F59</f>
        <v>818554</v>
      </c>
      <c r="H59" s="109">
        <f t="shared" si="0"/>
        <v>818554</v>
      </c>
      <c r="I59" s="110">
        <v>0</v>
      </c>
      <c r="J59" s="109">
        <f>SUM(I59+'Draw #4'!J59)</f>
        <v>0</v>
      </c>
      <c r="K59" s="101" t="str">
        <f t="shared" si="1"/>
        <v/>
      </c>
      <c r="L59" s="9"/>
      <c r="M59" s="9"/>
    </row>
    <row r="60" spans="1:13" ht="14.1" customHeight="1">
      <c r="A60" s="4">
        <f>'SCHEDULE OF VALUE WORKSHEET'!A56</f>
        <v>50</v>
      </c>
      <c r="B60" s="142" t="str">
        <f>'SCHEDULE OF VALUE WORKSHEET'!B56</f>
        <v>COUNTERTOPS</v>
      </c>
      <c r="C60" s="143"/>
      <c r="D60" s="104">
        <f>SUM('SCHEDULE OF VALUE WORKSHEET'!E56)</f>
        <v>56930</v>
      </c>
      <c r="E60" s="104">
        <f>SUM('Draw #4'!E60:F60)</f>
        <v>0</v>
      </c>
      <c r="F60" s="105">
        <v>0</v>
      </c>
      <c r="G60" s="104">
        <f>SUM('Draw #4'!G60)+'Draw #5'!F60</f>
        <v>56930</v>
      </c>
      <c r="H60" s="109">
        <f t="shared" si="0"/>
        <v>56930</v>
      </c>
      <c r="I60" s="110">
        <v>0</v>
      </c>
      <c r="J60" s="109">
        <f>SUM(I60+'Draw #4'!J60)</f>
        <v>0</v>
      </c>
      <c r="K60" s="101" t="str">
        <f t="shared" si="1"/>
        <v/>
      </c>
      <c r="L60" s="9"/>
      <c r="M60" s="9"/>
    </row>
    <row r="61" spans="1:13" ht="14.1" customHeight="1">
      <c r="A61" s="4">
        <f>'SCHEDULE OF VALUE WORKSHEET'!A57</f>
        <v>51</v>
      </c>
      <c r="B61" s="142" t="str">
        <f>'SCHEDULE OF VALUE WORKSHEET'!B57</f>
        <v>CABINETS</v>
      </c>
      <c r="C61" s="143"/>
      <c r="D61" s="104">
        <f>SUM('SCHEDULE OF VALUE WORKSHEET'!E57)</f>
        <v>56930</v>
      </c>
      <c r="E61" s="104">
        <f>SUM('Draw #4'!E61:F61)</f>
        <v>0</v>
      </c>
      <c r="F61" s="105">
        <v>0</v>
      </c>
      <c r="G61" s="104">
        <f>SUM('Draw #4'!G61)+'Draw #5'!F61</f>
        <v>56930</v>
      </c>
      <c r="H61" s="109">
        <f t="shared" si="0"/>
        <v>56930</v>
      </c>
      <c r="I61" s="110">
        <v>0</v>
      </c>
      <c r="J61" s="109">
        <f>SUM(I61+'Draw #4'!J61)</f>
        <v>0</v>
      </c>
      <c r="K61" s="101" t="str">
        <f t="shared" si="1"/>
        <v/>
      </c>
      <c r="L61" s="9"/>
      <c r="M61" s="9"/>
    </row>
    <row r="62" spans="1:13" ht="14.1" customHeight="1">
      <c r="A62" s="4">
        <f>'SCHEDULE OF VALUE WORKSHEET'!A58</f>
        <v>52</v>
      </c>
      <c r="B62" s="142" t="str">
        <f>'SCHEDULE OF VALUE WORKSHEET'!B58</f>
        <v>THERMAL MOISTURE PROTECTION</v>
      </c>
      <c r="C62" s="143"/>
      <c r="D62" s="104">
        <f>SUM('SCHEDULE OF VALUE WORKSHEET'!E58)</f>
        <v>173148</v>
      </c>
      <c r="E62" s="104">
        <f>SUM('Draw #4'!E62:F62)</f>
        <v>0</v>
      </c>
      <c r="F62" s="105">
        <v>0</v>
      </c>
      <c r="G62" s="104">
        <f>SUM('Draw #4'!G62)+'Draw #5'!F62</f>
        <v>173148</v>
      </c>
      <c r="H62" s="109">
        <f t="shared" si="0"/>
        <v>173148</v>
      </c>
      <c r="I62" s="110">
        <v>0</v>
      </c>
      <c r="J62" s="109">
        <f>SUM(I62+'Draw #4'!J62)</f>
        <v>0</v>
      </c>
      <c r="K62" s="101" t="str">
        <f t="shared" si="1"/>
        <v/>
      </c>
      <c r="L62" s="9"/>
      <c r="M62" s="9"/>
    </row>
    <row r="63" spans="1:13" ht="14.1" customHeight="1">
      <c r="A63" s="4">
        <f>'SCHEDULE OF VALUE WORKSHEET'!A59</f>
        <v>53</v>
      </c>
      <c r="B63" s="142" t="str">
        <f>'SCHEDULE OF VALUE WORKSHEET'!B59</f>
        <v>DOORS</v>
      </c>
      <c r="C63" s="143"/>
      <c r="D63" s="104">
        <f>SUM('SCHEDULE OF VALUE WORKSHEET'!E59)</f>
        <v>204087.33</v>
      </c>
      <c r="E63" s="104">
        <f>SUM('Draw #4'!E63:F63)</f>
        <v>0</v>
      </c>
      <c r="F63" s="105">
        <v>0</v>
      </c>
      <c r="G63" s="104">
        <f>SUM('Draw #4'!G63)+'Draw #5'!F63</f>
        <v>204087.33</v>
      </c>
      <c r="H63" s="109">
        <f t="shared" si="0"/>
        <v>204087.33</v>
      </c>
      <c r="I63" s="110">
        <v>0</v>
      </c>
      <c r="J63" s="109">
        <f>SUM(I63+'Draw #4'!J63)</f>
        <v>0</v>
      </c>
      <c r="K63" s="101" t="str">
        <f t="shared" si="1"/>
        <v/>
      </c>
      <c r="L63" s="9"/>
      <c r="M63" s="9"/>
    </row>
    <row r="64" spans="1:13" ht="14.1" customHeight="1">
      <c r="A64" s="4">
        <f>'SCHEDULE OF VALUE WORKSHEET'!A60</f>
        <v>54</v>
      </c>
      <c r="B64" s="142" t="str">
        <f>'SCHEDULE OF VALUE WORKSHEET'!B60</f>
        <v>WINDOWS</v>
      </c>
      <c r="C64" s="143"/>
      <c r="D64" s="104">
        <f>SUM('SCHEDULE OF VALUE WORKSHEET'!E60)</f>
        <v>106274.25</v>
      </c>
      <c r="E64" s="104">
        <f>SUM('Draw #4'!E64:F64)</f>
        <v>0</v>
      </c>
      <c r="F64" s="105">
        <v>0</v>
      </c>
      <c r="G64" s="104">
        <f>SUM('Draw #4'!G64)+'Draw #5'!F64</f>
        <v>106274.25</v>
      </c>
      <c r="H64" s="109">
        <f t="shared" si="0"/>
        <v>106274.25</v>
      </c>
      <c r="I64" s="110">
        <v>0</v>
      </c>
      <c r="J64" s="109">
        <f>SUM(I64+'Draw #4'!J64)</f>
        <v>0</v>
      </c>
      <c r="K64" s="101" t="str">
        <f t="shared" si="1"/>
        <v/>
      </c>
      <c r="L64" s="9"/>
      <c r="M64" s="9"/>
    </row>
    <row r="65" spans="1:13" ht="14.1" customHeight="1">
      <c r="A65" s="4">
        <f>'SCHEDULE OF VALUE WORKSHEET'!A61</f>
        <v>55</v>
      </c>
      <c r="B65" s="142" t="str">
        <f>'SCHEDULE OF VALUE WORKSHEET'!B61</f>
        <v>STUCCO</v>
      </c>
      <c r="C65" s="143"/>
      <c r="D65" s="104">
        <f>SUM('SCHEDULE OF VALUE WORKSHEET'!E61)</f>
        <v>208002</v>
      </c>
      <c r="E65" s="104">
        <f>SUM('Draw #4'!E65:F65)</f>
        <v>0</v>
      </c>
      <c r="F65" s="105">
        <v>0</v>
      </c>
      <c r="G65" s="104">
        <f>SUM('Draw #4'!G65)+'Draw #5'!F65</f>
        <v>208002</v>
      </c>
      <c r="H65" s="109">
        <f t="shared" si="0"/>
        <v>208002</v>
      </c>
      <c r="I65" s="110">
        <v>0</v>
      </c>
      <c r="J65" s="109">
        <f>SUM(I65+'Draw #4'!J65)</f>
        <v>0</v>
      </c>
      <c r="K65" s="101" t="str">
        <f t="shared" si="1"/>
        <v/>
      </c>
      <c r="L65" s="9"/>
      <c r="M65" s="9"/>
    </row>
    <row r="66" spans="1:13" ht="14.1" customHeight="1">
      <c r="A66" s="4">
        <f>'SCHEDULE OF VALUE WORKSHEET'!A62</f>
        <v>56</v>
      </c>
      <c r="B66" s="142" t="str">
        <f>'SCHEDULE OF VALUE WORKSHEET'!B62</f>
        <v>DRYWALL</v>
      </c>
      <c r="C66" s="143"/>
      <c r="D66" s="104">
        <f>SUM('SCHEDULE OF VALUE WORKSHEET'!E62)</f>
        <v>416355</v>
      </c>
      <c r="E66" s="104">
        <f>SUM('Draw #4'!E66:F66)</f>
        <v>0</v>
      </c>
      <c r="F66" s="105">
        <v>0</v>
      </c>
      <c r="G66" s="104">
        <f>SUM('Draw #4'!G66)+'Draw #5'!F66</f>
        <v>416355</v>
      </c>
      <c r="H66" s="109">
        <f t="shared" si="0"/>
        <v>416355</v>
      </c>
      <c r="I66" s="110">
        <v>0</v>
      </c>
      <c r="J66" s="109">
        <f>SUM(I66+'Draw #4'!J66)</f>
        <v>0</v>
      </c>
      <c r="K66" s="101" t="str">
        <f t="shared" si="1"/>
        <v/>
      </c>
      <c r="L66" s="9"/>
      <c r="M66" s="9"/>
    </row>
    <row r="67" spans="1:13" ht="14.1" customHeight="1">
      <c r="A67" s="4">
        <f>'SCHEDULE OF VALUE WORKSHEET'!A63</f>
        <v>57</v>
      </c>
      <c r="B67" s="142" t="str">
        <f>'SCHEDULE OF VALUE WORKSHEET'!B63</f>
        <v>PAINTING</v>
      </c>
      <c r="C67" s="143"/>
      <c r="D67" s="104">
        <f>SUM('SCHEDULE OF VALUE WORKSHEET'!E63)</f>
        <v>120700</v>
      </c>
      <c r="E67" s="104">
        <f>SUM('Draw #4'!E67:F67)</f>
        <v>0</v>
      </c>
      <c r="F67" s="105">
        <v>0</v>
      </c>
      <c r="G67" s="104">
        <f>SUM('Draw #4'!G67)+'Draw #5'!F67</f>
        <v>120700</v>
      </c>
      <c r="H67" s="109">
        <f t="shared" si="0"/>
        <v>120700</v>
      </c>
      <c r="I67" s="110">
        <v>0</v>
      </c>
      <c r="J67" s="109">
        <f>SUM(I67+'Draw #4'!J67)</f>
        <v>0</v>
      </c>
      <c r="K67" s="101" t="str">
        <f t="shared" si="1"/>
        <v/>
      </c>
      <c r="L67" s="9"/>
      <c r="M67" s="9"/>
    </row>
    <row r="68" spans="1:13" ht="14.1" customHeight="1">
      <c r="A68" s="4">
        <f>'SCHEDULE OF VALUE WORKSHEET'!A64</f>
        <v>58</v>
      </c>
      <c r="B68" s="142" t="str">
        <f>'SCHEDULE OF VALUE WORKSHEET'!B64</f>
        <v>FLOORING - common areas</v>
      </c>
      <c r="C68" s="143"/>
      <c r="D68" s="104">
        <f>SUM('SCHEDULE OF VALUE WORKSHEET'!E64)</f>
        <v>45150</v>
      </c>
      <c r="E68" s="104">
        <f>SUM('Draw #4'!E68:F68)</f>
        <v>0</v>
      </c>
      <c r="F68" s="105">
        <v>0</v>
      </c>
      <c r="G68" s="104">
        <f>SUM('Draw #4'!G68)+'Draw #5'!F68</f>
        <v>45150</v>
      </c>
      <c r="H68" s="109">
        <f t="shared" si="0"/>
        <v>45150</v>
      </c>
      <c r="I68" s="110">
        <v>0</v>
      </c>
      <c r="J68" s="109">
        <f>SUM(I68+'Draw #4'!J68)</f>
        <v>0</v>
      </c>
      <c r="K68" s="101" t="str">
        <f t="shared" si="1"/>
        <v/>
      </c>
      <c r="L68" s="9"/>
      <c r="M68" s="9"/>
    </row>
    <row r="69" spans="1:13" ht="14.1" customHeight="1">
      <c r="A69" s="4">
        <f>'SCHEDULE OF VALUE WORKSHEET'!A65</f>
        <v>59</v>
      </c>
      <c r="B69" s="142" t="str">
        <f>'SCHEDULE OF VALUE WORKSHEET'!B65</f>
        <v>FLOORING - Units with baseboards</v>
      </c>
      <c r="C69" s="143"/>
      <c r="D69" s="104">
        <f>SUM('SCHEDULE OF VALUE WORKSHEET'!E65)</f>
        <v>93335</v>
      </c>
      <c r="E69" s="104">
        <f>SUM('Draw #4'!E69:F69)</f>
        <v>0</v>
      </c>
      <c r="F69" s="105">
        <v>0</v>
      </c>
      <c r="G69" s="104">
        <f>SUM('Draw #4'!G69)+'Draw #5'!F69</f>
        <v>93335</v>
      </c>
      <c r="H69" s="109">
        <f t="shared" si="0"/>
        <v>93335</v>
      </c>
      <c r="I69" s="110">
        <v>0</v>
      </c>
      <c r="J69" s="109">
        <f>SUM(I69+'Draw #4'!J69)</f>
        <v>0</v>
      </c>
      <c r="K69" s="101" t="str">
        <f t="shared" si="1"/>
        <v/>
      </c>
      <c r="L69" s="9"/>
      <c r="M69" s="9"/>
    </row>
    <row r="70" spans="1:13" ht="14.1" customHeight="1">
      <c r="A70" s="4">
        <f>'SCHEDULE OF VALUE WORKSHEET'!A66</f>
        <v>60</v>
      </c>
      <c r="B70" s="142" t="str">
        <f>'SCHEDULE OF VALUE WORKSHEET'!B66</f>
        <v>SPECIALTIES</v>
      </c>
      <c r="C70" s="143"/>
      <c r="D70" s="104">
        <f>SUM('SCHEDULE OF VALUE WORKSHEET'!E66)</f>
        <v>25109.21</v>
      </c>
      <c r="E70" s="104">
        <f>SUM('Draw #4'!E70:F70)</f>
        <v>0</v>
      </c>
      <c r="F70" s="105">
        <v>0</v>
      </c>
      <c r="G70" s="104">
        <f>SUM('Draw #4'!G70)+'Draw #5'!F70</f>
        <v>25109.21</v>
      </c>
      <c r="H70" s="109">
        <f t="shared" si="0"/>
        <v>25109.21</v>
      </c>
      <c r="I70" s="110">
        <v>0</v>
      </c>
      <c r="J70" s="109">
        <f>SUM(I70+'Draw #4'!J70)</f>
        <v>0</v>
      </c>
      <c r="K70" s="101" t="str">
        <f t="shared" si="1"/>
        <v/>
      </c>
      <c r="L70" s="9"/>
      <c r="M70" s="9"/>
    </row>
    <row r="71" spans="1:13" ht="14.1" customHeight="1">
      <c r="A71" s="4">
        <f>'SCHEDULE OF VALUE WORKSHEET'!A67</f>
        <v>61</v>
      </c>
      <c r="B71" s="142" t="str">
        <f>'SCHEDULE OF VALUE WORKSHEET'!B67</f>
        <v>EQUIPMENT</v>
      </c>
      <c r="C71" s="143"/>
      <c r="D71" s="104">
        <f>SUM('SCHEDULE OF VALUE WORKSHEET'!E67)</f>
        <v>153636</v>
      </c>
      <c r="E71" s="104">
        <f>SUM('Draw #4'!E71:F71)</f>
        <v>0</v>
      </c>
      <c r="F71" s="105">
        <v>0</v>
      </c>
      <c r="G71" s="104">
        <f>SUM('Draw #4'!G71)+'Draw #5'!F71</f>
        <v>153636</v>
      </c>
      <c r="H71" s="109">
        <f t="shared" si="0"/>
        <v>153636</v>
      </c>
      <c r="I71" s="110">
        <v>0</v>
      </c>
      <c r="J71" s="109">
        <f>SUM(I71+'Draw #4'!J71)</f>
        <v>0</v>
      </c>
      <c r="K71" s="101" t="str">
        <f t="shared" si="1"/>
        <v/>
      </c>
      <c r="L71" s="9"/>
      <c r="M71" s="9"/>
    </row>
    <row r="72" spans="1:13" ht="14.1" customHeight="1">
      <c r="A72" s="4">
        <f>'SCHEDULE OF VALUE WORKSHEET'!A68</f>
        <v>62</v>
      </c>
      <c r="B72" s="142" t="str">
        <f>'SCHEDULE OF VALUE WORKSHEET'!B68</f>
        <v>FURNISHING</v>
      </c>
      <c r="C72" s="143"/>
      <c r="D72" s="104">
        <f>SUM('SCHEDULE OF VALUE WORKSHEET'!E68)</f>
        <v>0</v>
      </c>
      <c r="E72" s="104">
        <f>SUM('Draw #4'!E72:F72)</f>
        <v>0</v>
      </c>
      <c r="F72" s="105">
        <v>0</v>
      </c>
      <c r="G72" s="104">
        <f>SUM('Draw #4'!G72)+'Draw #5'!F72</f>
        <v>0</v>
      </c>
      <c r="H72" s="109">
        <f t="shared" si="0"/>
        <v>0</v>
      </c>
      <c r="I72" s="110">
        <v>0</v>
      </c>
      <c r="J72" s="109">
        <f>SUM(I72+'Draw #4'!J72)</f>
        <v>0</v>
      </c>
      <c r="K72" s="101" t="str">
        <f t="shared" si="1"/>
        <v/>
      </c>
      <c r="L72" s="9"/>
      <c r="M72" s="9"/>
    </row>
    <row r="73" spans="1:13" ht="14.1" customHeight="1">
      <c r="A73" s="4">
        <f>'SCHEDULE OF VALUE WORKSHEET'!A69</f>
        <v>63</v>
      </c>
      <c r="B73" s="142" t="str">
        <f>'SCHEDULE OF VALUE WORKSHEET'!B69</f>
        <v>FIRE SPRINKLERS</v>
      </c>
      <c r="C73" s="143"/>
      <c r="D73" s="104">
        <f>SUM('SCHEDULE OF VALUE WORKSHEET'!E69)</f>
        <v>108500</v>
      </c>
      <c r="E73" s="104">
        <f>SUM('Draw #4'!E73:F73)</f>
        <v>0</v>
      </c>
      <c r="F73" s="105">
        <v>0</v>
      </c>
      <c r="G73" s="104">
        <f>SUM('Draw #4'!G73)+'Draw #5'!F73</f>
        <v>108500</v>
      </c>
      <c r="H73" s="109">
        <f t="shared" si="0"/>
        <v>108500</v>
      </c>
      <c r="I73" s="110">
        <v>0</v>
      </c>
      <c r="J73" s="109">
        <f>SUM(I73+'Draw #4'!J73)</f>
        <v>0</v>
      </c>
      <c r="K73" s="101" t="str">
        <f t="shared" si="1"/>
        <v/>
      </c>
      <c r="L73" s="9"/>
      <c r="M73" s="9"/>
    </row>
    <row r="74" spans="1:13" ht="14.1" customHeight="1">
      <c r="A74" s="4">
        <f>'SCHEDULE OF VALUE WORKSHEET'!A70</f>
        <v>64</v>
      </c>
      <c r="B74" s="142" t="str">
        <f>'SCHEDULE OF VALUE WORKSHEET'!B70</f>
        <v>FIRE ALARM</v>
      </c>
      <c r="C74" s="143"/>
      <c r="D74" s="104">
        <f>SUM('SCHEDULE OF VALUE WORKSHEET'!E70)</f>
        <v>68401</v>
      </c>
      <c r="E74" s="104">
        <f>SUM('Draw #4'!E74:F74)</f>
        <v>0</v>
      </c>
      <c r="F74" s="105">
        <v>0</v>
      </c>
      <c r="G74" s="104">
        <f>SUM('Draw #4'!G74)+'Draw #5'!F74</f>
        <v>68401</v>
      </c>
      <c r="H74" s="109">
        <f t="shared" si="0"/>
        <v>68401</v>
      </c>
      <c r="I74" s="110">
        <v>0</v>
      </c>
      <c r="J74" s="109">
        <f>SUM(I74+'Draw #4'!J74)</f>
        <v>0</v>
      </c>
      <c r="K74" s="101" t="str">
        <f t="shared" si="1"/>
        <v/>
      </c>
      <c r="L74" s="9"/>
      <c r="M74" s="9"/>
    </row>
    <row r="75" spans="1:13" ht="14.1" customHeight="1">
      <c r="A75" s="4">
        <f>'SCHEDULE OF VALUE WORKSHEET'!A71</f>
        <v>65</v>
      </c>
      <c r="B75" s="142" t="str">
        <f>'SCHEDULE OF VALUE WORKSHEET'!B71</f>
        <v>SOLAR PANELS</v>
      </c>
      <c r="C75" s="143"/>
      <c r="D75" s="104">
        <f>SUM('SCHEDULE OF VALUE WORKSHEET'!E71)</f>
        <v>97000</v>
      </c>
      <c r="E75" s="104">
        <f>SUM('Draw #4'!E75:F75)</f>
        <v>0</v>
      </c>
      <c r="F75" s="105">
        <v>0</v>
      </c>
      <c r="G75" s="104">
        <f>SUM('Draw #4'!G75)+'Draw #5'!F75</f>
        <v>97000</v>
      </c>
      <c r="H75" s="109">
        <f t="shared" ref="H75:H135" si="2">SUM(G75-J75)</f>
        <v>97000</v>
      </c>
      <c r="I75" s="110">
        <v>0</v>
      </c>
      <c r="J75" s="109">
        <f>SUM(I75+'Draw #4'!J75)</f>
        <v>0</v>
      </c>
      <c r="K75" s="101" t="str">
        <f t="shared" ref="K75:K135" si="3">IF(J75=0,"",J75/G75)</f>
        <v/>
      </c>
      <c r="L75" s="9"/>
      <c r="M75" s="9"/>
    </row>
    <row r="76" spans="1:13" ht="14.1" customHeight="1">
      <c r="A76" s="4">
        <f>'SCHEDULE OF VALUE WORKSHEET'!A72</f>
        <v>66</v>
      </c>
      <c r="B76" s="142" t="str">
        <f>'SCHEDULE OF VALUE WORKSHEET'!B72</f>
        <v>SECURITY ACCESS &amp; SURVEILLANCE</v>
      </c>
      <c r="C76" s="143"/>
      <c r="D76" s="104">
        <f>SUM('SCHEDULE OF VALUE WORKSHEET'!E72)</f>
        <v>136430</v>
      </c>
      <c r="E76" s="104">
        <f>SUM('Draw #4'!E76:F76)</f>
        <v>0</v>
      </c>
      <c r="F76" s="105">
        <v>0</v>
      </c>
      <c r="G76" s="104">
        <f>SUM('Draw #4'!G76)+'Draw #5'!F76</f>
        <v>136430</v>
      </c>
      <c r="H76" s="109">
        <f t="shared" si="2"/>
        <v>136430</v>
      </c>
      <c r="I76" s="110">
        <v>0</v>
      </c>
      <c r="J76" s="109">
        <f>SUM(I76+'Draw #4'!J76)</f>
        <v>0</v>
      </c>
      <c r="K76" s="101" t="str">
        <f t="shared" si="3"/>
        <v/>
      </c>
      <c r="L76" s="9"/>
      <c r="M76" s="9"/>
    </row>
    <row r="77" spans="1:13" ht="14.1" customHeight="1">
      <c r="A77" s="4">
        <f>'SCHEDULE OF VALUE WORKSHEET'!A73</f>
        <v>67</v>
      </c>
      <c r="B77" s="142" t="str">
        <f>'SCHEDULE OF VALUE WORKSHEET'!B73</f>
        <v>ELEVATORS &amp; LIFT</v>
      </c>
      <c r="C77" s="143"/>
      <c r="D77" s="104">
        <f>SUM('SCHEDULE OF VALUE WORKSHEET'!E73)</f>
        <v>174882</v>
      </c>
      <c r="E77" s="104">
        <f>SUM('Draw #4'!E77:F77)</f>
        <v>0</v>
      </c>
      <c r="F77" s="105">
        <v>0</v>
      </c>
      <c r="G77" s="104">
        <f>SUM('Draw #4'!G77)+'Draw #5'!F77</f>
        <v>174882</v>
      </c>
      <c r="H77" s="109">
        <f t="shared" si="2"/>
        <v>174882</v>
      </c>
      <c r="I77" s="110">
        <v>0</v>
      </c>
      <c r="J77" s="109">
        <f>SUM(I77+'Draw #4'!J77)</f>
        <v>0</v>
      </c>
      <c r="K77" s="101" t="str">
        <f t="shared" si="3"/>
        <v/>
      </c>
      <c r="L77" s="9"/>
      <c r="M77" s="9"/>
    </row>
    <row r="78" spans="1:13" ht="14.1" customHeight="1">
      <c r="A78" s="4">
        <f>'SCHEDULE OF VALUE WORKSHEET'!A74</f>
        <v>68</v>
      </c>
      <c r="B78" s="142" t="str">
        <f>'SCHEDULE OF VALUE WORKSHEET'!B74</f>
        <v>WATER SUBMETER (material)</v>
      </c>
      <c r="C78" s="143"/>
      <c r="D78" s="104">
        <f>SUM('SCHEDULE OF VALUE WORKSHEET'!E74)</f>
        <v>12273</v>
      </c>
      <c r="E78" s="104">
        <f>SUM('Draw #4'!E78:F78)</f>
        <v>0</v>
      </c>
      <c r="F78" s="105">
        <v>0</v>
      </c>
      <c r="G78" s="104">
        <f>SUM('Draw #4'!G78)+'Draw #5'!F78</f>
        <v>12273</v>
      </c>
      <c r="H78" s="109">
        <f t="shared" si="2"/>
        <v>12273</v>
      </c>
      <c r="I78" s="110">
        <v>0</v>
      </c>
      <c r="J78" s="109">
        <f>SUM(I78+'Draw #4'!J78)</f>
        <v>0</v>
      </c>
      <c r="K78" s="101" t="str">
        <f t="shared" si="3"/>
        <v/>
      </c>
      <c r="L78" s="9"/>
      <c r="M78" s="9"/>
    </row>
    <row r="79" spans="1:13" ht="14.1" customHeight="1">
      <c r="A79" s="4">
        <f>'SCHEDULE OF VALUE WORKSHEET'!A75</f>
        <v>69</v>
      </c>
      <c r="B79" s="142" t="str">
        <f>'SCHEDULE OF VALUE WORKSHEET'!B75</f>
        <v>WATER SUBMETER (labor)</v>
      </c>
      <c r="C79" s="143"/>
      <c r="D79" s="104">
        <f>SUM('SCHEDULE OF VALUE WORKSHEET'!E75)</f>
        <v>0</v>
      </c>
      <c r="E79" s="104">
        <f>SUM('Draw #4'!E79:F79)</f>
        <v>0</v>
      </c>
      <c r="F79" s="105">
        <v>0</v>
      </c>
      <c r="G79" s="104">
        <f>SUM('Draw #4'!G79)+'Draw #5'!F79</f>
        <v>0</v>
      </c>
      <c r="H79" s="109">
        <f t="shared" si="2"/>
        <v>0</v>
      </c>
      <c r="I79" s="110">
        <v>0</v>
      </c>
      <c r="J79" s="109">
        <f>SUM(I79+'Draw #4'!J79)</f>
        <v>0</v>
      </c>
      <c r="K79" s="101" t="str">
        <f t="shared" si="3"/>
        <v/>
      </c>
      <c r="L79" s="9"/>
      <c r="M79" s="9"/>
    </row>
    <row r="80" spans="1:13" ht="14.1" customHeight="1">
      <c r="A80" s="4">
        <f>'SCHEDULE OF VALUE WORKSHEET'!A76</f>
        <v>70</v>
      </c>
      <c r="B80" s="142" t="str">
        <f>'SCHEDULE OF VALUE WORKSHEET'!B76</f>
        <v>ROUGH PLUMBING</v>
      </c>
      <c r="C80" s="143"/>
      <c r="D80" s="104">
        <f>SUM('SCHEDULE OF VALUE WORKSHEET'!E76)</f>
        <v>751927</v>
      </c>
      <c r="E80" s="104">
        <f>SUM('Draw #4'!E80:F80)</f>
        <v>0</v>
      </c>
      <c r="F80" s="105">
        <v>0</v>
      </c>
      <c r="G80" s="104">
        <f>SUM('Draw #4'!G80)+'Draw #5'!F80</f>
        <v>751927</v>
      </c>
      <c r="H80" s="109">
        <f t="shared" si="2"/>
        <v>751927</v>
      </c>
      <c r="I80" s="110">
        <v>0</v>
      </c>
      <c r="J80" s="109">
        <f>SUM(I80+'Draw #4'!J80)</f>
        <v>0</v>
      </c>
      <c r="K80" s="101" t="str">
        <f t="shared" si="3"/>
        <v/>
      </c>
      <c r="L80" s="9"/>
      <c r="M80" s="9"/>
    </row>
    <row r="81" spans="1:13" ht="14.1" customHeight="1">
      <c r="A81" s="4">
        <f>'SCHEDULE OF VALUE WORKSHEET'!A77</f>
        <v>71</v>
      </c>
      <c r="B81" s="142" t="str">
        <f>'SCHEDULE OF VALUE WORKSHEET'!B77</f>
        <v>FINISH PLUMBING</v>
      </c>
      <c r="C81" s="143"/>
      <c r="D81" s="104">
        <f>SUM('SCHEDULE OF VALUE WORKSHEET'!E77)</f>
        <v>90000</v>
      </c>
      <c r="E81" s="104">
        <f>SUM('Draw #4'!E81:F81)</f>
        <v>0</v>
      </c>
      <c r="F81" s="105">
        <v>0</v>
      </c>
      <c r="G81" s="104">
        <f>SUM('Draw #4'!G81)+'Draw #5'!F81</f>
        <v>90000</v>
      </c>
      <c r="H81" s="109">
        <f t="shared" si="2"/>
        <v>90000</v>
      </c>
      <c r="I81" s="110">
        <v>0</v>
      </c>
      <c r="J81" s="109">
        <f>SUM(I81+'Draw #4'!J81)</f>
        <v>0</v>
      </c>
      <c r="K81" s="101" t="str">
        <f t="shared" si="3"/>
        <v/>
      </c>
      <c r="L81" s="9"/>
      <c r="M81" s="9"/>
    </row>
    <row r="82" spans="1:13" ht="14.1" customHeight="1">
      <c r="A82" s="4">
        <f>'SCHEDULE OF VALUE WORKSHEET'!A78</f>
        <v>72</v>
      </c>
      <c r="B82" s="142" t="str">
        <f>'SCHEDULE OF VALUE WORKSHEET'!B78</f>
        <v>HVAC</v>
      </c>
      <c r="C82" s="143"/>
      <c r="D82" s="104">
        <f>SUM('SCHEDULE OF VALUE WORKSHEET'!E78)</f>
        <v>259000</v>
      </c>
      <c r="E82" s="104">
        <f>SUM('Draw #4'!E82:F82)</f>
        <v>0</v>
      </c>
      <c r="F82" s="105">
        <v>0</v>
      </c>
      <c r="G82" s="104">
        <f>SUM('Draw #4'!G82)+'Draw #5'!F82</f>
        <v>259000</v>
      </c>
      <c r="H82" s="109">
        <f t="shared" si="2"/>
        <v>259000</v>
      </c>
      <c r="I82" s="110">
        <v>0</v>
      </c>
      <c r="J82" s="109">
        <f>SUM(I82+'Draw #4'!J82)</f>
        <v>0</v>
      </c>
      <c r="K82" s="101" t="str">
        <f t="shared" si="3"/>
        <v/>
      </c>
      <c r="L82" s="9"/>
      <c r="M82" s="9"/>
    </row>
    <row r="83" spans="1:13" ht="14.1" customHeight="1">
      <c r="A83" s="4">
        <f>'SCHEDULE OF VALUE WORKSHEET'!A79</f>
        <v>73</v>
      </c>
      <c r="B83" s="142" t="str">
        <f>'SCHEDULE OF VALUE WORKSHEET'!B79</f>
        <v>ELECTRICAL</v>
      </c>
      <c r="C83" s="143"/>
      <c r="D83" s="104">
        <f>SUM('SCHEDULE OF VALUE WORKSHEET'!E79)</f>
        <v>880486.32</v>
      </c>
      <c r="E83" s="104">
        <f>SUM('Draw #4'!E83:F83)</f>
        <v>0</v>
      </c>
      <c r="F83" s="105">
        <v>0</v>
      </c>
      <c r="G83" s="104">
        <f>SUM('Draw #4'!G83)+'Draw #5'!F83</f>
        <v>880486.32</v>
      </c>
      <c r="H83" s="109">
        <f t="shared" si="2"/>
        <v>880486.32</v>
      </c>
      <c r="I83" s="110">
        <v>0</v>
      </c>
      <c r="J83" s="109">
        <f>SUM(I83+'Draw #4'!J83)</f>
        <v>0</v>
      </c>
      <c r="K83" s="101" t="str">
        <f t="shared" si="3"/>
        <v/>
      </c>
      <c r="L83" s="9"/>
      <c r="M83" s="9"/>
    </row>
    <row r="84" spans="1:13" ht="14.1" customHeight="1">
      <c r="A84" s="4">
        <f>'SCHEDULE OF VALUE WORKSHEET'!A80</f>
        <v>74</v>
      </c>
      <c r="B84" s="142" t="str">
        <f>'SCHEDULE OF VALUE WORKSHEET'!B80</f>
        <v xml:space="preserve">CONTINGENCY </v>
      </c>
      <c r="C84" s="143"/>
      <c r="D84" s="104">
        <f>SUM('SCHEDULE OF VALUE WORKSHEET'!E80)</f>
        <v>529215.20000000007</v>
      </c>
      <c r="E84" s="104">
        <f>SUM('Draw #4'!E84:F84)</f>
        <v>0</v>
      </c>
      <c r="F84" s="105">
        <v>0</v>
      </c>
      <c r="G84" s="104">
        <f>SUM('Draw #4'!G84)+'Draw #5'!F84</f>
        <v>529215.20000000007</v>
      </c>
      <c r="H84" s="109">
        <f t="shared" si="2"/>
        <v>529215.20000000007</v>
      </c>
      <c r="I84" s="110">
        <v>0</v>
      </c>
      <c r="J84" s="109">
        <f>SUM(I84+'Draw #4'!J84)</f>
        <v>0</v>
      </c>
      <c r="K84" s="101" t="str">
        <f t="shared" si="3"/>
        <v/>
      </c>
      <c r="L84" s="9"/>
      <c r="M84" s="9"/>
    </row>
    <row r="85" spans="1:13" ht="14.1" customHeight="1">
      <c r="A85" s="4">
        <f>'SCHEDULE OF VALUE WORKSHEET'!A81</f>
        <v>75</v>
      </c>
      <c r="B85" s="142" t="str">
        <f>'SCHEDULE OF VALUE WORKSHEET'!B81</f>
        <v>INSURANCE (GL w/auto, workers compl)</v>
      </c>
      <c r="C85" s="143"/>
      <c r="D85" s="104">
        <f>SUM('SCHEDULE OF VALUE WORKSHEET'!E81)</f>
        <v>97177.07</v>
      </c>
      <c r="E85" s="104">
        <f>SUM('Draw #4'!E85:F85)</f>
        <v>0</v>
      </c>
      <c r="F85" s="105">
        <v>0</v>
      </c>
      <c r="G85" s="104">
        <f>SUM('Draw #4'!G85)+'Draw #5'!F85</f>
        <v>97177.07</v>
      </c>
      <c r="H85" s="109">
        <f t="shared" si="2"/>
        <v>97177.07</v>
      </c>
      <c r="I85" s="110">
        <v>0</v>
      </c>
      <c r="J85" s="109">
        <f>SUM(I85+'Draw #4'!J85)</f>
        <v>0</v>
      </c>
      <c r="K85" s="101" t="str">
        <f t="shared" si="3"/>
        <v/>
      </c>
      <c r="L85" s="9"/>
      <c r="M85" s="9"/>
    </row>
    <row r="86" spans="1:13" ht="14.1" customHeight="1">
      <c r="A86" s="4">
        <f>'SCHEDULE OF VALUE WORKSHEET'!A82</f>
        <v>76</v>
      </c>
      <c r="B86" s="142" t="str">
        <f>'SCHEDULE OF VALUE WORKSHEET'!B82</f>
        <v>GROSS RECEIPT TAX</v>
      </c>
      <c r="C86" s="143"/>
      <c r="D86" s="104">
        <f>SUM('SCHEDULE OF VALUE WORKSHEET'!E82)</f>
        <v>6543.26</v>
      </c>
      <c r="E86" s="104">
        <f>SUM('Draw #4'!E86:F86)</f>
        <v>0</v>
      </c>
      <c r="F86" s="105">
        <v>0</v>
      </c>
      <c r="G86" s="104">
        <f>SUM('Draw #4'!G86)+'Draw #5'!F86</f>
        <v>6543.26</v>
      </c>
      <c r="H86" s="109">
        <f t="shared" si="2"/>
        <v>6543.26</v>
      </c>
      <c r="I86" s="110">
        <v>0</v>
      </c>
      <c r="J86" s="109">
        <f>SUM(I86+'Draw #4'!J86)</f>
        <v>0</v>
      </c>
      <c r="K86" s="101" t="str">
        <f t="shared" si="3"/>
        <v/>
      </c>
      <c r="L86" s="9"/>
      <c r="M86" s="9"/>
    </row>
    <row r="87" spans="1:13" ht="14.1" customHeight="1">
      <c r="A87" s="4">
        <f>'SCHEDULE OF VALUE WORKSHEET'!A83</f>
        <v>77</v>
      </c>
      <c r="B87" s="142" t="str">
        <f>'SCHEDULE OF VALUE WORKSHEET'!B83</f>
        <v>GC FEE</v>
      </c>
      <c r="C87" s="143"/>
      <c r="D87" s="104">
        <f>SUM('SCHEDULE OF VALUE WORKSHEET'!E83)</f>
        <v>388708.28</v>
      </c>
      <c r="E87" s="104">
        <f>SUM('Draw #4'!E87:F87)</f>
        <v>0</v>
      </c>
      <c r="F87" s="105">
        <v>0</v>
      </c>
      <c r="G87" s="104">
        <f>SUM('Draw #4'!G87)+'Draw #5'!F87</f>
        <v>388708.28</v>
      </c>
      <c r="H87" s="109">
        <f t="shared" si="2"/>
        <v>388708.28</v>
      </c>
      <c r="I87" s="110">
        <v>0</v>
      </c>
      <c r="J87" s="109">
        <f>SUM(I87+'Draw #4'!J87)</f>
        <v>0</v>
      </c>
      <c r="K87" s="101" t="str">
        <f t="shared" si="3"/>
        <v/>
      </c>
      <c r="L87" s="9"/>
      <c r="M87" s="9"/>
    </row>
    <row r="88" spans="1:13" ht="14.1" customHeight="1">
      <c r="A88" s="4">
        <f>'SCHEDULE OF VALUE WORKSHEET'!A84</f>
        <v>78</v>
      </c>
      <c r="B88" s="142" t="str">
        <f>'SCHEDULE OF VALUE WORKSHEET'!B84</f>
        <v>DEVELOPMENT FEE</v>
      </c>
      <c r="C88" s="143"/>
      <c r="D88" s="104">
        <f>SUM('SCHEDULE OF VALUE WORKSHEET'!E84)</f>
        <v>180523.5</v>
      </c>
      <c r="E88" s="104">
        <f>SUM('Draw #4'!E88:F88)</f>
        <v>0</v>
      </c>
      <c r="F88" s="105">
        <v>0</v>
      </c>
      <c r="G88" s="104">
        <f>SUM('Draw #4'!G88)+'Draw #5'!F88</f>
        <v>180523.5</v>
      </c>
      <c r="H88" s="109">
        <f t="shared" si="2"/>
        <v>180523.5</v>
      </c>
      <c r="I88" s="110">
        <v>0</v>
      </c>
      <c r="J88" s="109">
        <f>SUM(I88+'Draw #4'!J88)</f>
        <v>0</v>
      </c>
      <c r="K88" s="101" t="str">
        <f t="shared" si="3"/>
        <v/>
      </c>
      <c r="L88" s="9"/>
      <c r="M88" s="9"/>
    </row>
    <row r="89" spans="1:13" ht="14.1" customHeight="1">
      <c r="A89" s="4">
        <f>'SCHEDULE OF VALUE WORKSHEET'!A85</f>
        <v>79</v>
      </c>
      <c r="B89" s="142" t="str">
        <f>'SCHEDULE OF VALUE WORKSHEET'!B85</f>
        <v>CARRYING COSTS</v>
      </c>
      <c r="C89" s="143"/>
      <c r="D89" s="104">
        <f>SUM('SCHEDULE OF VALUE WORKSHEET'!E85)</f>
        <v>92885.53</v>
      </c>
      <c r="E89" s="104">
        <f>SUM('Draw #4'!E89:F89)</f>
        <v>0</v>
      </c>
      <c r="F89" s="105">
        <v>0</v>
      </c>
      <c r="G89" s="104">
        <f>SUM('Draw #4'!G89)+'Draw #5'!F89</f>
        <v>92885.53</v>
      </c>
      <c r="H89" s="109">
        <f t="shared" si="2"/>
        <v>92885.53</v>
      </c>
      <c r="I89" s="110">
        <v>0</v>
      </c>
      <c r="J89" s="109">
        <f>SUM(I89+'Draw #4'!J89)</f>
        <v>0</v>
      </c>
      <c r="K89" s="101" t="str">
        <f t="shared" si="3"/>
        <v/>
      </c>
      <c r="L89" s="9"/>
      <c r="M89" s="9"/>
    </row>
    <row r="90" spans="1:13" ht="14.1" customHeight="1">
      <c r="A90" s="4">
        <f>'SCHEDULE OF VALUE WORKSHEET'!A86</f>
        <v>80</v>
      </c>
      <c r="B90" s="142" t="str">
        <f>'SCHEDULE OF VALUE WORKSHEET'!B86</f>
        <v>FINANCING COSTS</v>
      </c>
      <c r="C90" s="143"/>
      <c r="D90" s="104">
        <f>SUM('SCHEDULE OF VALUE WORKSHEET'!E86)</f>
        <v>0</v>
      </c>
      <c r="E90" s="104">
        <f>SUM('Draw #4'!E90:F90)</f>
        <v>0</v>
      </c>
      <c r="F90" s="105">
        <v>0</v>
      </c>
      <c r="G90" s="104">
        <f>SUM('Draw #4'!G90)+'Draw #5'!F90</f>
        <v>0</v>
      </c>
      <c r="H90" s="109">
        <f t="shared" si="2"/>
        <v>0</v>
      </c>
      <c r="I90" s="110">
        <v>0</v>
      </c>
      <c r="J90" s="109">
        <f>SUM(I90+'Draw #4'!J90)</f>
        <v>0</v>
      </c>
      <c r="K90" s="101" t="str">
        <f t="shared" si="3"/>
        <v/>
      </c>
      <c r="L90" s="9"/>
      <c r="M90" s="9"/>
    </row>
    <row r="91" spans="1:13" ht="14.1" customHeight="1">
      <c r="A91" s="4" t="e">
        <f>'SCHEDULE OF VALUE WORKSHEET'!#REF!</f>
        <v>#REF!</v>
      </c>
      <c r="B91" s="142" t="e">
        <f>'SCHEDULE OF VALUE WORKSHEET'!#REF!</f>
        <v>#REF!</v>
      </c>
      <c r="C91" s="143"/>
      <c r="D91" s="104" t="e">
        <f>SUM('SCHEDULE OF VALUE WORKSHEET'!#REF!)</f>
        <v>#REF!</v>
      </c>
      <c r="E91" s="104">
        <f>SUM('Draw #4'!E91:F91)</f>
        <v>0</v>
      </c>
      <c r="F91" s="105">
        <v>0</v>
      </c>
      <c r="G91" s="104" t="e">
        <f>SUM('Draw #4'!G91)+'Draw #5'!F91</f>
        <v>#REF!</v>
      </c>
      <c r="H91" s="109" t="e">
        <f t="shared" si="2"/>
        <v>#REF!</v>
      </c>
      <c r="I91" s="110">
        <v>0</v>
      </c>
      <c r="J91" s="109">
        <f>SUM(I91+'Draw #4'!J91)</f>
        <v>0</v>
      </c>
      <c r="K91" s="101" t="str">
        <f t="shared" si="3"/>
        <v/>
      </c>
      <c r="L91" s="9"/>
      <c r="M91" s="9"/>
    </row>
    <row r="92" spans="1:13" ht="14.1" customHeight="1">
      <c r="A92" s="4" t="e">
        <f>'SCHEDULE OF VALUE WORKSHEET'!#REF!</f>
        <v>#REF!</v>
      </c>
      <c r="B92" s="142" t="e">
        <f>'SCHEDULE OF VALUE WORKSHEET'!#REF!</f>
        <v>#REF!</v>
      </c>
      <c r="C92" s="143"/>
      <c r="D92" s="104" t="e">
        <f>SUM('SCHEDULE OF VALUE WORKSHEET'!#REF!)</f>
        <v>#REF!</v>
      </c>
      <c r="E92" s="104">
        <f>SUM('Draw #4'!E92:F92)</f>
        <v>0</v>
      </c>
      <c r="F92" s="105">
        <v>0</v>
      </c>
      <c r="G92" s="104" t="e">
        <f>SUM('Draw #4'!G92)+'Draw #5'!F92</f>
        <v>#REF!</v>
      </c>
      <c r="H92" s="109" t="e">
        <f t="shared" si="2"/>
        <v>#REF!</v>
      </c>
      <c r="I92" s="110">
        <v>0</v>
      </c>
      <c r="J92" s="109">
        <f>SUM(I92+'Draw #4'!J92)</f>
        <v>0</v>
      </c>
      <c r="K92" s="101" t="str">
        <f t="shared" si="3"/>
        <v/>
      </c>
      <c r="L92" s="9"/>
      <c r="M92" s="9"/>
    </row>
    <row r="93" spans="1:13" ht="14.1" customHeight="1">
      <c r="A93" s="4" t="e">
        <f>'SCHEDULE OF VALUE WORKSHEET'!#REF!</f>
        <v>#REF!</v>
      </c>
      <c r="B93" s="142" t="e">
        <f>'SCHEDULE OF VALUE WORKSHEET'!#REF!</f>
        <v>#REF!</v>
      </c>
      <c r="C93" s="143"/>
      <c r="D93" s="104" t="e">
        <f>SUM('SCHEDULE OF VALUE WORKSHEET'!#REF!)</f>
        <v>#REF!</v>
      </c>
      <c r="E93" s="104">
        <f>SUM('Draw #4'!E93:F93)</f>
        <v>0</v>
      </c>
      <c r="F93" s="105">
        <v>0</v>
      </c>
      <c r="G93" s="104" t="e">
        <f>SUM('Draw #4'!G93)+'Draw #5'!F93</f>
        <v>#REF!</v>
      </c>
      <c r="H93" s="109" t="e">
        <f t="shared" si="2"/>
        <v>#REF!</v>
      </c>
      <c r="I93" s="110">
        <v>0</v>
      </c>
      <c r="J93" s="109">
        <f>SUM(I93+'Draw #4'!J93)</f>
        <v>0</v>
      </c>
      <c r="K93" s="101" t="str">
        <f t="shared" si="3"/>
        <v/>
      </c>
      <c r="L93" s="9"/>
      <c r="M93" s="9"/>
    </row>
    <row r="94" spans="1:13" ht="14.1" customHeight="1">
      <c r="A94" s="4" t="e">
        <f>'SCHEDULE OF VALUE WORKSHEET'!#REF!</f>
        <v>#REF!</v>
      </c>
      <c r="B94" s="142" t="e">
        <f>'SCHEDULE OF VALUE WORKSHEET'!#REF!</f>
        <v>#REF!</v>
      </c>
      <c r="C94" s="143"/>
      <c r="D94" s="104" t="e">
        <f>SUM('SCHEDULE OF VALUE WORKSHEET'!#REF!)</f>
        <v>#REF!</v>
      </c>
      <c r="E94" s="104">
        <f>SUM('Draw #4'!E94:F94)</f>
        <v>0</v>
      </c>
      <c r="F94" s="105">
        <v>0</v>
      </c>
      <c r="G94" s="104" t="e">
        <f>SUM('Draw #4'!G94)+'Draw #5'!F94</f>
        <v>#REF!</v>
      </c>
      <c r="H94" s="109" t="e">
        <f t="shared" si="2"/>
        <v>#REF!</v>
      </c>
      <c r="I94" s="110">
        <v>0</v>
      </c>
      <c r="J94" s="109">
        <f>SUM(I94+'Draw #4'!J94)</f>
        <v>0</v>
      </c>
      <c r="K94" s="101" t="str">
        <f t="shared" si="3"/>
        <v/>
      </c>
      <c r="L94" s="9"/>
      <c r="M94" s="9"/>
    </row>
    <row r="95" spans="1:13" ht="14.1" customHeight="1">
      <c r="A95" s="4" t="e">
        <f>'SCHEDULE OF VALUE WORKSHEET'!#REF!</f>
        <v>#REF!</v>
      </c>
      <c r="B95" s="142" t="e">
        <f>'SCHEDULE OF VALUE WORKSHEET'!#REF!</f>
        <v>#REF!</v>
      </c>
      <c r="C95" s="143"/>
      <c r="D95" s="104" t="e">
        <f>SUM('SCHEDULE OF VALUE WORKSHEET'!#REF!)</f>
        <v>#REF!</v>
      </c>
      <c r="E95" s="104">
        <f>SUM('Draw #4'!E95:F95)</f>
        <v>0</v>
      </c>
      <c r="F95" s="105">
        <v>0</v>
      </c>
      <c r="G95" s="104" t="e">
        <f>SUM('Draw #4'!G95)+'Draw #5'!F95</f>
        <v>#REF!</v>
      </c>
      <c r="H95" s="109" t="e">
        <f t="shared" si="2"/>
        <v>#REF!</v>
      </c>
      <c r="I95" s="110">
        <v>0</v>
      </c>
      <c r="J95" s="109">
        <f>SUM(I95+'Draw #4'!J95)</f>
        <v>0</v>
      </c>
      <c r="K95" s="101" t="str">
        <f t="shared" si="3"/>
        <v/>
      </c>
      <c r="L95" s="9"/>
      <c r="M95" s="9"/>
    </row>
    <row r="96" spans="1:13" ht="14.1" customHeight="1">
      <c r="A96" s="4" t="e">
        <f>'SCHEDULE OF VALUE WORKSHEET'!#REF!</f>
        <v>#REF!</v>
      </c>
      <c r="B96" s="142" t="e">
        <f>'SCHEDULE OF VALUE WORKSHEET'!#REF!</f>
        <v>#REF!</v>
      </c>
      <c r="C96" s="143"/>
      <c r="D96" s="104" t="e">
        <f>SUM('SCHEDULE OF VALUE WORKSHEET'!#REF!)</f>
        <v>#REF!</v>
      </c>
      <c r="E96" s="104">
        <f>SUM('Draw #4'!E96:F96)</f>
        <v>0</v>
      </c>
      <c r="F96" s="105">
        <v>0</v>
      </c>
      <c r="G96" s="104" t="e">
        <f>SUM('Draw #4'!G96)+'Draw #5'!F96</f>
        <v>#REF!</v>
      </c>
      <c r="H96" s="109" t="e">
        <f t="shared" si="2"/>
        <v>#REF!</v>
      </c>
      <c r="I96" s="110">
        <v>0</v>
      </c>
      <c r="J96" s="109">
        <f>SUM(I96+'Draw #4'!J96)</f>
        <v>0</v>
      </c>
      <c r="K96" s="101" t="str">
        <f t="shared" si="3"/>
        <v/>
      </c>
      <c r="L96" s="9"/>
      <c r="M96" s="9"/>
    </row>
    <row r="97" spans="1:13" ht="14.1" customHeight="1">
      <c r="A97" s="4" t="e">
        <f>'SCHEDULE OF VALUE WORKSHEET'!#REF!</f>
        <v>#REF!</v>
      </c>
      <c r="B97" s="142" t="e">
        <f>'SCHEDULE OF VALUE WORKSHEET'!#REF!</f>
        <v>#REF!</v>
      </c>
      <c r="C97" s="143"/>
      <c r="D97" s="104" t="e">
        <f>SUM('SCHEDULE OF VALUE WORKSHEET'!#REF!)</f>
        <v>#REF!</v>
      </c>
      <c r="E97" s="104">
        <f>SUM('Draw #4'!E97:F97)</f>
        <v>0</v>
      </c>
      <c r="F97" s="105">
        <v>0</v>
      </c>
      <c r="G97" s="104" t="e">
        <f>SUM('Draw #4'!G97)+'Draw #5'!F97</f>
        <v>#REF!</v>
      </c>
      <c r="H97" s="109" t="e">
        <f t="shared" si="2"/>
        <v>#REF!</v>
      </c>
      <c r="I97" s="110">
        <v>0</v>
      </c>
      <c r="J97" s="109">
        <f>SUM(I97+'Draw #4'!J97)</f>
        <v>0</v>
      </c>
      <c r="K97" s="101" t="str">
        <f t="shared" si="3"/>
        <v/>
      </c>
      <c r="L97" s="9"/>
      <c r="M97" s="9"/>
    </row>
    <row r="98" spans="1:13" ht="14.1" customHeight="1">
      <c r="A98" s="4" t="e">
        <f>'SCHEDULE OF VALUE WORKSHEET'!#REF!</f>
        <v>#REF!</v>
      </c>
      <c r="B98" s="142" t="e">
        <f>'SCHEDULE OF VALUE WORKSHEET'!#REF!</f>
        <v>#REF!</v>
      </c>
      <c r="C98" s="143"/>
      <c r="D98" s="104" t="e">
        <f>SUM('SCHEDULE OF VALUE WORKSHEET'!#REF!)</f>
        <v>#REF!</v>
      </c>
      <c r="E98" s="104">
        <f>SUM('Draw #4'!E98:F98)</f>
        <v>0</v>
      </c>
      <c r="F98" s="105">
        <v>0</v>
      </c>
      <c r="G98" s="104" t="e">
        <f>SUM('Draw #4'!G98)+'Draw #5'!F98</f>
        <v>#REF!</v>
      </c>
      <c r="H98" s="109" t="e">
        <f t="shared" si="2"/>
        <v>#REF!</v>
      </c>
      <c r="I98" s="110">
        <v>0</v>
      </c>
      <c r="J98" s="109">
        <f>SUM(I98+'Draw #4'!J98)</f>
        <v>0</v>
      </c>
      <c r="K98" s="101" t="str">
        <f t="shared" si="3"/>
        <v/>
      </c>
      <c r="L98" s="9"/>
      <c r="M98" s="9"/>
    </row>
    <row r="99" spans="1:13" ht="14.1" customHeight="1">
      <c r="A99" s="4" t="e">
        <f>'SCHEDULE OF VALUE WORKSHEET'!#REF!</f>
        <v>#REF!</v>
      </c>
      <c r="B99" s="142" t="e">
        <f>'SCHEDULE OF VALUE WORKSHEET'!#REF!</f>
        <v>#REF!</v>
      </c>
      <c r="C99" s="143"/>
      <c r="D99" s="104" t="e">
        <f>SUM('SCHEDULE OF VALUE WORKSHEET'!#REF!)</f>
        <v>#REF!</v>
      </c>
      <c r="E99" s="104">
        <f>SUM('Draw #4'!E99:F99)</f>
        <v>0</v>
      </c>
      <c r="F99" s="105">
        <v>0</v>
      </c>
      <c r="G99" s="104" t="e">
        <f>SUM('Draw #4'!G99)+'Draw #5'!F99</f>
        <v>#REF!</v>
      </c>
      <c r="H99" s="109" t="e">
        <f t="shared" si="2"/>
        <v>#REF!</v>
      </c>
      <c r="I99" s="110">
        <v>0</v>
      </c>
      <c r="J99" s="109">
        <f>SUM(I99+'Draw #4'!J99)</f>
        <v>0</v>
      </c>
      <c r="K99" s="101" t="str">
        <f t="shared" si="3"/>
        <v/>
      </c>
      <c r="L99" s="9"/>
      <c r="M99" s="9"/>
    </row>
    <row r="100" spans="1:13" ht="14.1" customHeight="1">
      <c r="A100" s="4" t="e">
        <f>'SCHEDULE OF VALUE WORKSHEET'!#REF!</f>
        <v>#REF!</v>
      </c>
      <c r="B100" s="142" t="e">
        <f>'SCHEDULE OF VALUE WORKSHEET'!#REF!</f>
        <v>#REF!</v>
      </c>
      <c r="C100" s="143"/>
      <c r="D100" s="104" t="e">
        <f>SUM('SCHEDULE OF VALUE WORKSHEET'!#REF!)</f>
        <v>#REF!</v>
      </c>
      <c r="E100" s="104">
        <f>SUM('Draw #4'!E100:F100)</f>
        <v>0</v>
      </c>
      <c r="F100" s="105">
        <v>0</v>
      </c>
      <c r="G100" s="104" t="e">
        <f>SUM('Draw #4'!G100)+'Draw #5'!F100</f>
        <v>#REF!</v>
      </c>
      <c r="H100" s="109" t="e">
        <f t="shared" si="2"/>
        <v>#REF!</v>
      </c>
      <c r="I100" s="110">
        <v>0</v>
      </c>
      <c r="J100" s="109">
        <f>SUM(I100+'Draw #4'!J100)</f>
        <v>0</v>
      </c>
      <c r="K100" s="101" t="str">
        <f t="shared" si="3"/>
        <v/>
      </c>
      <c r="L100" s="9"/>
      <c r="M100" s="9"/>
    </row>
    <row r="101" spans="1:13" ht="14.1" customHeight="1">
      <c r="A101" s="4" t="e">
        <f>'SCHEDULE OF VALUE WORKSHEET'!#REF!</f>
        <v>#REF!</v>
      </c>
      <c r="B101" s="142" t="e">
        <f>'SCHEDULE OF VALUE WORKSHEET'!#REF!</f>
        <v>#REF!</v>
      </c>
      <c r="C101" s="143"/>
      <c r="D101" s="104" t="e">
        <f>SUM('SCHEDULE OF VALUE WORKSHEET'!#REF!)</f>
        <v>#REF!</v>
      </c>
      <c r="E101" s="104">
        <f>SUM('Draw #4'!E101:F101)</f>
        <v>0</v>
      </c>
      <c r="F101" s="105">
        <v>0</v>
      </c>
      <c r="G101" s="104" t="e">
        <f>SUM('Draw #4'!G101)+'Draw #5'!F101</f>
        <v>#REF!</v>
      </c>
      <c r="H101" s="109" t="e">
        <f t="shared" si="2"/>
        <v>#REF!</v>
      </c>
      <c r="I101" s="110">
        <v>0</v>
      </c>
      <c r="J101" s="109">
        <f>SUM(I101+'Draw #4'!J101)</f>
        <v>0</v>
      </c>
      <c r="K101" s="101" t="str">
        <f t="shared" si="3"/>
        <v/>
      </c>
      <c r="L101" s="9"/>
      <c r="M101" s="9"/>
    </row>
    <row r="102" spans="1:13" ht="14.1" customHeight="1">
      <c r="A102" s="4" t="e">
        <f>'SCHEDULE OF VALUE WORKSHEET'!#REF!</f>
        <v>#REF!</v>
      </c>
      <c r="B102" s="142" t="e">
        <f>'SCHEDULE OF VALUE WORKSHEET'!#REF!</f>
        <v>#REF!</v>
      </c>
      <c r="C102" s="143"/>
      <c r="D102" s="104" t="e">
        <f>SUM('SCHEDULE OF VALUE WORKSHEET'!#REF!)</f>
        <v>#REF!</v>
      </c>
      <c r="E102" s="104">
        <f>SUM('Draw #4'!E102:F102)</f>
        <v>0</v>
      </c>
      <c r="F102" s="105">
        <v>0</v>
      </c>
      <c r="G102" s="104" t="e">
        <f>SUM('Draw #4'!G102)+'Draw #5'!F102</f>
        <v>#REF!</v>
      </c>
      <c r="H102" s="109" t="e">
        <f t="shared" si="2"/>
        <v>#REF!</v>
      </c>
      <c r="I102" s="110">
        <v>0</v>
      </c>
      <c r="J102" s="109">
        <f>SUM(I102+'Draw #4'!J102)</f>
        <v>0</v>
      </c>
      <c r="K102" s="101" t="str">
        <f t="shared" si="3"/>
        <v/>
      </c>
      <c r="L102" s="9"/>
      <c r="M102" s="9"/>
    </row>
    <row r="103" spans="1:13" ht="14.1" customHeight="1">
      <c r="A103" s="4" t="e">
        <f>'SCHEDULE OF VALUE WORKSHEET'!#REF!</f>
        <v>#REF!</v>
      </c>
      <c r="B103" s="142" t="e">
        <f>'SCHEDULE OF VALUE WORKSHEET'!#REF!</f>
        <v>#REF!</v>
      </c>
      <c r="C103" s="143"/>
      <c r="D103" s="104" t="e">
        <f>SUM('SCHEDULE OF VALUE WORKSHEET'!#REF!)</f>
        <v>#REF!</v>
      </c>
      <c r="E103" s="104">
        <f>SUM('Draw #4'!E103:F103)</f>
        <v>0</v>
      </c>
      <c r="F103" s="105">
        <v>0</v>
      </c>
      <c r="G103" s="104" t="e">
        <f>SUM('Draw #4'!G103)+'Draw #5'!F103</f>
        <v>#REF!</v>
      </c>
      <c r="H103" s="109" t="e">
        <f t="shared" si="2"/>
        <v>#REF!</v>
      </c>
      <c r="I103" s="110">
        <v>0</v>
      </c>
      <c r="J103" s="109">
        <f>SUM(I103+'Draw #4'!J103)</f>
        <v>0</v>
      </c>
      <c r="K103" s="101" t="str">
        <f t="shared" si="3"/>
        <v/>
      </c>
      <c r="L103" s="9"/>
      <c r="M103" s="9"/>
    </row>
    <row r="104" spans="1:13" ht="14.1" customHeight="1">
      <c r="A104" s="4" t="e">
        <f>'SCHEDULE OF VALUE WORKSHEET'!#REF!</f>
        <v>#REF!</v>
      </c>
      <c r="B104" s="142" t="e">
        <f>'SCHEDULE OF VALUE WORKSHEET'!#REF!</f>
        <v>#REF!</v>
      </c>
      <c r="C104" s="143"/>
      <c r="D104" s="104" t="e">
        <f>SUM('SCHEDULE OF VALUE WORKSHEET'!#REF!)</f>
        <v>#REF!</v>
      </c>
      <c r="E104" s="104">
        <f>SUM('Draw #4'!E104:F104)</f>
        <v>0</v>
      </c>
      <c r="F104" s="105">
        <v>0</v>
      </c>
      <c r="G104" s="104" t="e">
        <f>SUM('Draw #4'!G104)+'Draw #5'!F104</f>
        <v>#REF!</v>
      </c>
      <c r="H104" s="109" t="e">
        <f t="shared" si="2"/>
        <v>#REF!</v>
      </c>
      <c r="I104" s="110">
        <v>0</v>
      </c>
      <c r="J104" s="109">
        <f>SUM(I104+'Draw #4'!J104)</f>
        <v>0</v>
      </c>
      <c r="K104" s="101" t="str">
        <f t="shared" si="3"/>
        <v/>
      </c>
      <c r="L104" s="9"/>
      <c r="M104" s="9"/>
    </row>
    <row r="105" spans="1:13" ht="14.1" customHeight="1">
      <c r="A105" s="4" t="e">
        <f>'SCHEDULE OF VALUE WORKSHEET'!#REF!</f>
        <v>#REF!</v>
      </c>
      <c r="B105" s="142" t="e">
        <f>'SCHEDULE OF VALUE WORKSHEET'!#REF!</f>
        <v>#REF!</v>
      </c>
      <c r="C105" s="143"/>
      <c r="D105" s="104" t="e">
        <f>SUM('SCHEDULE OF VALUE WORKSHEET'!#REF!)</f>
        <v>#REF!</v>
      </c>
      <c r="E105" s="104">
        <f>SUM('Draw #4'!E105:F105)</f>
        <v>0</v>
      </c>
      <c r="F105" s="105">
        <v>0</v>
      </c>
      <c r="G105" s="104" t="e">
        <f>SUM('Draw #4'!G105)+'Draw #5'!F105</f>
        <v>#REF!</v>
      </c>
      <c r="H105" s="109" t="e">
        <f t="shared" si="2"/>
        <v>#REF!</v>
      </c>
      <c r="I105" s="110">
        <v>0</v>
      </c>
      <c r="J105" s="109">
        <f>SUM(I105+'Draw #4'!J105)</f>
        <v>0</v>
      </c>
      <c r="K105" s="101" t="str">
        <f t="shared" si="3"/>
        <v/>
      </c>
      <c r="L105" s="9"/>
      <c r="M105" s="9"/>
    </row>
    <row r="106" spans="1:13" ht="14.1" customHeight="1">
      <c r="A106" s="4" t="e">
        <f>'SCHEDULE OF VALUE WORKSHEET'!#REF!</f>
        <v>#REF!</v>
      </c>
      <c r="B106" s="142" t="e">
        <f>'SCHEDULE OF VALUE WORKSHEET'!#REF!</f>
        <v>#REF!</v>
      </c>
      <c r="C106" s="143"/>
      <c r="D106" s="104" t="e">
        <f>SUM('SCHEDULE OF VALUE WORKSHEET'!#REF!)</f>
        <v>#REF!</v>
      </c>
      <c r="E106" s="104">
        <f>SUM('Draw #4'!E106:F106)</f>
        <v>0</v>
      </c>
      <c r="F106" s="105">
        <v>0</v>
      </c>
      <c r="G106" s="104" t="e">
        <f>SUM('Draw #4'!G106)+'Draw #5'!F106</f>
        <v>#REF!</v>
      </c>
      <c r="H106" s="109" t="e">
        <f t="shared" si="2"/>
        <v>#REF!</v>
      </c>
      <c r="I106" s="110">
        <v>0</v>
      </c>
      <c r="J106" s="109">
        <f>SUM(I106+'Draw #4'!J106)</f>
        <v>0</v>
      </c>
      <c r="K106" s="101" t="str">
        <f t="shared" si="3"/>
        <v/>
      </c>
      <c r="L106" s="9"/>
      <c r="M106" s="9"/>
    </row>
    <row r="107" spans="1:13" ht="14.1" customHeight="1">
      <c r="A107" s="4" t="e">
        <f>'SCHEDULE OF VALUE WORKSHEET'!#REF!</f>
        <v>#REF!</v>
      </c>
      <c r="B107" s="142" t="e">
        <f>'SCHEDULE OF VALUE WORKSHEET'!#REF!</f>
        <v>#REF!</v>
      </c>
      <c r="C107" s="143"/>
      <c r="D107" s="104" t="e">
        <f>SUM('SCHEDULE OF VALUE WORKSHEET'!#REF!)</f>
        <v>#REF!</v>
      </c>
      <c r="E107" s="104">
        <f>SUM('Draw #4'!E107:F107)</f>
        <v>0</v>
      </c>
      <c r="F107" s="105">
        <v>0</v>
      </c>
      <c r="G107" s="104" t="e">
        <f>SUM('Draw #4'!G107)+'Draw #5'!F107</f>
        <v>#REF!</v>
      </c>
      <c r="H107" s="109" t="e">
        <f t="shared" si="2"/>
        <v>#REF!</v>
      </c>
      <c r="I107" s="110">
        <v>0</v>
      </c>
      <c r="J107" s="109">
        <f>SUM(I107+'Draw #4'!J107)</f>
        <v>0</v>
      </c>
      <c r="K107" s="101" t="str">
        <f t="shared" si="3"/>
        <v/>
      </c>
      <c r="L107" s="9"/>
      <c r="M107" s="9"/>
    </row>
    <row r="108" spans="1:13" ht="14.1" customHeight="1">
      <c r="A108" s="4" t="e">
        <f>'SCHEDULE OF VALUE WORKSHEET'!#REF!</f>
        <v>#REF!</v>
      </c>
      <c r="B108" s="142" t="e">
        <f>'SCHEDULE OF VALUE WORKSHEET'!#REF!</f>
        <v>#REF!</v>
      </c>
      <c r="C108" s="143"/>
      <c r="D108" s="104" t="e">
        <f>SUM('SCHEDULE OF VALUE WORKSHEET'!#REF!)</f>
        <v>#REF!</v>
      </c>
      <c r="E108" s="104">
        <f>SUM('Draw #4'!E108:F108)</f>
        <v>0</v>
      </c>
      <c r="F108" s="105">
        <v>0</v>
      </c>
      <c r="G108" s="104" t="e">
        <f>SUM('Draw #4'!G108)+'Draw #5'!F108</f>
        <v>#REF!</v>
      </c>
      <c r="H108" s="109" t="e">
        <f t="shared" si="2"/>
        <v>#REF!</v>
      </c>
      <c r="I108" s="110">
        <v>0</v>
      </c>
      <c r="J108" s="109">
        <f>SUM(I108+'Draw #4'!J108)</f>
        <v>0</v>
      </c>
      <c r="K108" s="101" t="str">
        <f t="shared" si="3"/>
        <v/>
      </c>
      <c r="L108" s="9"/>
      <c r="M108" s="9"/>
    </row>
    <row r="109" spans="1:13" ht="14.1" customHeight="1">
      <c r="A109" s="4" t="e">
        <f>'SCHEDULE OF VALUE WORKSHEET'!#REF!</f>
        <v>#REF!</v>
      </c>
      <c r="B109" s="142" t="e">
        <f>'SCHEDULE OF VALUE WORKSHEET'!#REF!</f>
        <v>#REF!</v>
      </c>
      <c r="C109" s="143"/>
      <c r="D109" s="104" t="e">
        <f>SUM('SCHEDULE OF VALUE WORKSHEET'!#REF!)</f>
        <v>#REF!</v>
      </c>
      <c r="E109" s="104">
        <f>SUM('Draw #4'!E109:F109)</f>
        <v>0</v>
      </c>
      <c r="F109" s="105">
        <v>0</v>
      </c>
      <c r="G109" s="104" t="e">
        <f>SUM('Draw #4'!G109)+'Draw #5'!F109</f>
        <v>#REF!</v>
      </c>
      <c r="H109" s="109" t="e">
        <f t="shared" si="2"/>
        <v>#REF!</v>
      </c>
      <c r="I109" s="110">
        <v>0</v>
      </c>
      <c r="J109" s="109">
        <f>SUM(I109+'Draw #4'!J109)</f>
        <v>0</v>
      </c>
      <c r="K109" s="101" t="str">
        <f t="shared" si="3"/>
        <v/>
      </c>
      <c r="L109" s="9"/>
      <c r="M109" s="9"/>
    </row>
    <row r="110" spans="1:13" ht="14.1" customHeight="1">
      <c r="A110" s="4" t="e">
        <f>'SCHEDULE OF VALUE WORKSHEET'!#REF!</f>
        <v>#REF!</v>
      </c>
      <c r="B110" s="142" t="e">
        <f>'SCHEDULE OF VALUE WORKSHEET'!#REF!</f>
        <v>#REF!</v>
      </c>
      <c r="C110" s="143"/>
      <c r="D110" s="104" t="e">
        <f>SUM('SCHEDULE OF VALUE WORKSHEET'!#REF!)</f>
        <v>#REF!</v>
      </c>
      <c r="E110" s="104">
        <f>SUM('Draw #4'!E110:F110)</f>
        <v>0</v>
      </c>
      <c r="F110" s="105">
        <v>0</v>
      </c>
      <c r="G110" s="104" t="e">
        <f>SUM('Draw #4'!G110)+'Draw #5'!F110</f>
        <v>#REF!</v>
      </c>
      <c r="H110" s="109" t="e">
        <f t="shared" si="2"/>
        <v>#REF!</v>
      </c>
      <c r="I110" s="110">
        <v>0</v>
      </c>
      <c r="J110" s="109">
        <f>SUM(I110+'Draw #4'!J110)</f>
        <v>0</v>
      </c>
      <c r="K110" s="101" t="str">
        <f t="shared" si="3"/>
        <v/>
      </c>
      <c r="L110" s="9"/>
      <c r="M110" s="9"/>
    </row>
    <row r="111" spans="1:13" ht="14.1" customHeight="1">
      <c r="A111" s="4" t="e">
        <f>'SCHEDULE OF VALUE WORKSHEET'!#REF!</f>
        <v>#REF!</v>
      </c>
      <c r="B111" s="142" t="e">
        <f>'SCHEDULE OF VALUE WORKSHEET'!#REF!</f>
        <v>#REF!</v>
      </c>
      <c r="C111" s="143"/>
      <c r="D111" s="104" t="e">
        <f>SUM('SCHEDULE OF VALUE WORKSHEET'!#REF!)</f>
        <v>#REF!</v>
      </c>
      <c r="E111" s="104">
        <f>SUM('Draw #4'!E111:F111)</f>
        <v>0</v>
      </c>
      <c r="F111" s="105">
        <v>0</v>
      </c>
      <c r="G111" s="104" t="e">
        <f>SUM('Draw #4'!G111)+'Draw #5'!F111</f>
        <v>#REF!</v>
      </c>
      <c r="H111" s="109" t="e">
        <f t="shared" si="2"/>
        <v>#REF!</v>
      </c>
      <c r="I111" s="110">
        <v>0</v>
      </c>
      <c r="J111" s="109">
        <f>SUM(I111+'Draw #4'!J111)</f>
        <v>0</v>
      </c>
      <c r="K111" s="101" t="str">
        <f t="shared" si="3"/>
        <v/>
      </c>
      <c r="L111" s="9"/>
      <c r="M111" s="9"/>
    </row>
    <row r="112" spans="1:13" ht="14.1" customHeight="1">
      <c r="A112" s="4" t="e">
        <f>'SCHEDULE OF VALUE WORKSHEET'!#REF!</f>
        <v>#REF!</v>
      </c>
      <c r="B112" s="142" t="e">
        <f>'SCHEDULE OF VALUE WORKSHEET'!#REF!</f>
        <v>#REF!</v>
      </c>
      <c r="C112" s="143"/>
      <c r="D112" s="104" t="e">
        <f>SUM('SCHEDULE OF VALUE WORKSHEET'!#REF!)</f>
        <v>#REF!</v>
      </c>
      <c r="E112" s="104">
        <f>SUM('Draw #4'!E112:F112)</f>
        <v>0</v>
      </c>
      <c r="F112" s="105">
        <v>0</v>
      </c>
      <c r="G112" s="104" t="e">
        <f>SUM('Draw #4'!G112)+'Draw #5'!F112</f>
        <v>#REF!</v>
      </c>
      <c r="H112" s="109" t="e">
        <f t="shared" si="2"/>
        <v>#REF!</v>
      </c>
      <c r="I112" s="110">
        <v>0</v>
      </c>
      <c r="J112" s="109">
        <f>SUM(I112+'Draw #4'!J112)</f>
        <v>0</v>
      </c>
      <c r="K112" s="101" t="str">
        <f t="shared" si="3"/>
        <v/>
      </c>
      <c r="L112" s="9"/>
      <c r="M112" s="9"/>
    </row>
    <row r="113" spans="1:13" ht="14.1" customHeight="1">
      <c r="A113" s="4" t="e">
        <f>'SCHEDULE OF VALUE WORKSHEET'!#REF!</f>
        <v>#REF!</v>
      </c>
      <c r="B113" s="142" t="e">
        <f>'SCHEDULE OF VALUE WORKSHEET'!#REF!</f>
        <v>#REF!</v>
      </c>
      <c r="C113" s="143"/>
      <c r="D113" s="104" t="e">
        <f>SUM('SCHEDULE OF VALUE WORKSHEET'!#REF!)</f>
        <v>#REF!</v>
      </c>
      <c r="E113" s="104">
        <f>SUM('Draw #4'!E113:F113)</f>
        <v>0</v>
      </c>
      <c r="F113" s="105">
        <v>0</v>
      </c>
      <c r="G113" s="104" t="e">
        <f>SUM('Draw #4'!G113)+'Draw #5'!F113</f>
        <v>#REF!</v>
      </c>
      <c r="H113" s="109" t="e">
        <f t="shared" si="2"/>
        <v>#REF!</v>
      </c>
      <c r="I113" s="110">
        <v>0</v>
      </c>
      <c r="J113" s="109">
        <f>SUM(I113+'Draw #4'!J113)</f>
        <v>0</v>
      </c>
      <c r="K113" s="101" t="str">
        <f t="shared" si="3"/>
        <v/>
      </c>
      <c r="L113" s="9"/>
      <c r="M113" s="9"/>
    </row>
    <row r="114" spans="1:13" ht="14.1" customHeight="1">
      <c r="A114" s="4" t="e">
        <f>'SCHEDULE OF VALUE WORKSHEET'!#REF!</f>
        <v>#REF!</v>
      </c>
      <c r="B114" s="142" t="e">
        <f>'SCHEDULE OF VALUE WORKSHEET'!#REF!</f>
        <v>#REF!</v>
      </c>
      <c r="C114" s="143"/>
      <c r="D114" s="104" t="e">
        <f>SUM('SCHEDULE OF VALUE WORKSHEET'!#REF!)</f>
        <v>#REF!</v>
      </c>
      <c r="E114" s="104">
        <f>SUM('Draw #4'!E114:F114)</f>
        <v>0</v>
      </c>
      <c r="F114" s="105">
        <v>0</v>
      </c>
      <c r="G114" s="104" t="e">
        <f>SUM('Draw #4'!G114)+'Draw #5'!F114</f>
        <v>#REF!</v>
      </c>
      <c r="H114" s="109" t="e">
        <f t="shared" si="2"/>
        <v>#REF!</v>
      </c>
      <c r="I114" s="110">
        <v>0</v>
      </c>
      <c r="J114" s="109">
        <f>SUM(I114+'Draw #4'!J114)</f>
        <v>0</v>
      </c>
      <c r="K114" s="101" t="str">
        <f t="shared" si="3"/>
        <v/>
      </c>
      <c r="L114" s="9"/>
      <c r="M114" s="9"/>
    </row>
    <row r="115" spans="1:13" ht="14.1" customHeight="1">
      <c r="A115" s="4" t="e">
        <f>'SCHEDULE OF VALUE WORKSHEET'!#REF!</f>
        <v>#REF!</v>
      </c>
      <c r="B115" s="142" t="e">
        <f>'SCHEDULE OF VALUE WORKSHEET'!#REF!</f>
        <v>#REF!</v>
      </c>
      <c r="C115" s="143"/>
      <c r="D115" s="104" t="e">
        <f>SUM('SCHEDULE OF VALUE WORKSHEET'!#REF!)</f>
        <v>#REF!</v>
      </c>
      <c r="E115" s="104">
        <f>SUM('Draw #4'!E115:F115)</f>
        <v>0</v>
      </c>
      <c r="F115" s="105">
        <v>0</v>
      </c>
      <c r="G115" s="104" t="e">
        <f>SUM('Draw #4'!G115)+'Draw #5'!F115</f>
        <v>#REF!</v>
      </c>
      <c r="H115" s="109" t="e">
        <f t="shared" si="2"/>
        <v>#REF!</v>
      </c>
      <c r="I115" s="110">
        <v>0</v>
      </c>
      <c r="J115" s="109">
        <f>SUM(I115+'Draw #4'!J115)</f>
        <v>0</v>
      </c>
      <c r="K115" s="101" t="str">
        <f t="shared" si="3"/>
        <v/>
      </c>
      <c r="L115" s="9"/>
      <c r="M115" s="9"/>
    </row>
    <row r="116" spans="1:13" ht="14.1" customHeight="1">
      <c r="A116" s="4" t="e">
        <f>'SCHEDULE OF VALUE WORKSHEET'!#REF!</f>
        <v>#REF!</v>
      </c>
      <c r="B116" s="142" t="e">
        <f>'SCHEDULE OF VALUE WORKSHEET'!#REF!</f>
        <v>#REF!</v>
      </c>
      <c r="C116" s="143"/>
      <c r="D116" s="104" t="e">
        <f>SUM('SCHEDULE OF VALUE WORKSHEET'!#REF!)</f>
        <v>#REF!</v>
      </c>
      <c r="E116" s="104">
        <f>SUM('Draw #4'!E116:F116)</f>
        <v>0</v>
      </c>
      <c r="F116" s="105">
        <v>0</v>
      </c>
      <c r="G116" s="104" t="e">
        <f>SUM('Draw #4'!G116)+'Draw #5'!F116</f>
        <v>#REF!</v>
      </c>
      <c r="H116" s="109" t="e">
        <f t="shared" si="2"/>
        <v>#REF!</v>
      </c>
      <c r="I116" s="110">
        <v>0</v>
      </c>
      <c r="J116" s="109">
        <f>SUM(I116+'Draw #4'!J116)</f>
        <v>0</v>
      </c>
      <c r="K116" s="101" t="str">
        <f t="shared" si="3"/>
        <v/>
      </c>
      <c r="L116" s="9"/>
      <c r="M116" s="9"/>
    </row>
    <row r="117" spans="1:13" ht="14.1" customHeight="1">
      <c r="A117" s="4">
        <f>'SCHEDULE OF VALUE WORKSHEET'!A87</f>
        <v>82</v>
      </c>
      <c r="B117" s="142" t="str">
        <f>'SCHEDULE OF VALUE WORKSHEET'!B87</f>
        <v xml:space="preserve">Open Item </v>
      </c>
      <c r="C117" s="143"/>
      <c r="D117" s="104">
        <f>SUM('SCHEDULE OF VALUE WORKSHEET'!E87)</f>
        <v>0</v>
      </c>
      <c r="E117" s="104">
        <f>SUM('Draw #4'!E117:F117)</f>
        <v>0</v>
      </c>
      <c r="F117" s="105">
        <v>0</v>
      </c>
      <c r="G117" s="104">
        <f>SUM('Draw #4'!G117)+'Draw #5'!F117</f>
        <v>0</v>
      </c>
      <c r="H117" s="109">
        <f t="shared" si="2"/>
        <v>0</v>
      </c>
      <c r="I117" s="110">
        <v>0</v>
      </c>
      <c r="J117" s="109">
        <f>SUM(I117+'Draw #4'!J117)</f>
        <v>0</v>
      </c>
      <c r="K117" s="101" t="str">
        <f t="shared" si="3"/>
        <v/>
      </c>
      <c r="L117" s="9"/>
      <c r="M117" s="9"/>
    </row>
    <row r="118" spans="1:13" ht="14.1" customHeight="1">
      <c r="A118" s="4">
        <f>'SCHEDULE OF VALUE WORKSHEET'!A88</f>
        <v>83</v>
      </c>
      <c r="B118" s="142" t="str">
        <f>'SCHEDULE OF VALUE WORKSHEET'!B88</f>
        <v xml:space="preserve">Open Item </v>
      </c>
      <c r="C118" s="143"/>
      <c r="D118" s="104">
        <f>SUM('SCHEDULE OF VALUE WORKSHEET'!E88)</f>
        <v>0</v>
      </c>
      <c r="E118" s="104">
        <f>SUM('Draw #4'!E118:F118)</f>
        <v>0</v>
      </c>
      <c r="F118" s="105">
        <v>0</v>
      </c>
      <c r="G118" s="104">
        <f>SUM('Draw #4'!G118)+'Draw #5'!F118</f>
        <v>0</v>
      </c>
      <c r="H118" s="109">
        <f t="shared" si="2"/>
        <v>0</v>
      </c>
      <c r="I118" s="110">
        <v>0</v>
      </c>
      <c r="J118" s="109">
        <f>SUM(I118+'Draw #4'!J118)</f>
        <v>0</v>
      </c>
      <c r="K118" s="101" t="str">
        <f t="shared" si="3"/>
        <v/>
      </c>
      <c r="L118" s="9"/>
      <c r="M118" s="9"/>
    </row>
    <row r="119" spans="1:13" ht="14.1" customHeight="1">
      <c r="A119" s="4">
        <f>'SCHEDULE OF VALUE WORKSHEET'!A89</f>
        <v>84</v>
      </c>
      <c r="B119" s="142" t="str">
        <f>'SCHEDULE OF VALUE WORKSHEET'!B89</f>
        <v xml:space="preserve">Open Item </v>
      </c>
      <c r="C119" s="143"/>
      <c r="D119" s="104">
        <f>SUM('SCHEDULE OF VALUE WORKSHEET'!E89)</f>
        <v>0</v>
      </c>
      <c r="E119" s="104">
        <f>SUM('Draw #4'!E119:F119)</f>
        <v>0</v>
      </c>
      <c r="F119" s="105">
        <v>0</v>
      </c>
      <c r="G119" s="104">
        <f>SUM('Draw #4'!G119)+'Draw #5'!F119</f>
        <v>0</v>
      </c>
      <c r="H119" s="109">
        <f t="shared" si="2"/>
        <v>0</v>
      </c>
      <c r="I119" s="110">
        <v>0</v>
      </c>
      <c r="J119" s="109">
        <f>SUM(I119+'Draw #4'!J119)</f>
        <v>0</v>
      </c>
      <c r="K119" s="101" t="str">
        <f t="shared" si="3"/>
        <v/>
      </c>
      <c r="L119" s="9"/>
      <c r="M119" s="9"/>
    </row>
    <row r="120" spans="1:13" ht="14.1" customHeight="1">
      <c r="A120" s="4">
        <f>'SCHEDULE OF VALUE WORKSHEET'!A90</f>
        <v>85</v>
      </c>
      <c r="B120" s="142" t="str">
        <f>'SCHEDULE OF VALUE WORKSHEET'!B90</f>
        <v xml:space="preserve">Open Item </v>
      </c>
      <c r="C120" s="143"/>
      <c r="D120" s="104">
        <f>SUM('SCHEDULE OF VALUE WORKSHEET'!E90)</f>
        <v>0</v>
      </c>
      <c r="E120" s="104">
        <f>SUM('Draw #4'!E120:F120)</f>
        <v>0</v>
      </c>
      <c r="F120" s="105">
        <v>0</v>
      </c>
      <c r="G120" s="104">
        <f>SUM('Draw #4'!G120)+'Draw #5'!F120</f>
        <v>0</v>
      </c>
      <c r="H120" s="109">
        <f t="shared" si="2"/>
        <v>0</v>
      </c>
      <c r="I120" s="110">
        <v>0</v>
      </c>
      <c r="J120" s="109">
        <f>SUM(I120+'Draw #4'!J120)</f>
        <v>0</v>
      </c>
      <c r="K120" s="101" t="str">
        <f t="shared" si="3"/>
        <v/>
      </c>
      <c r="L120" s="9"/>
      <c r="M120" s="9"/>
    </row>
    <row r="121" spans="1:13" ht="14.1" customHeight="1">
      <c r="A121" s="4">
        <f>'SCHEDULE OF VALUE WORKSHEET'!A91</f>
        <v>86</v>
      </c>
      <c r="B121" s="142" t="str">
        <f>'SCHEDULE OF VALUE WORKSHEET'!B91</f>
        <v xml:space="preserve">Open Item </v>
      </c>
      <c r="C121" s="143"/>
      <c r="D121" s="104">
        <f>SUM('SCHEDULE OF VALUE WORKSHEET'!E91)</f>
        <v>0</v>
      </c>
      <c r="E121" s="104">
        <f>SUM('Draw #4'!E121:F121)</f>
        <v>0</v>
      </c>
      <c r="F121" s="105">
        <v>0</v>
      </c>
      <c r="G121" s="104">
        <f>SUM('Draw #4'!G121)+'Draw #5'!F121</f>
        <v>0</v>
      </c>
      <c r="H121" s="109">
        <f t="shared" si="2"/>
        <v>0</v>
      </c>
      <c r="I121" s="110">
        <v>0</v>
      </c>
      <c r="J121" s="109">
        <f>SUM(I121+'Draw #4'!J121)</f>
        <v>0</v>
      </c>
      <c r="K121" s="101" t="str">
        <f t="shared" si="3"/>
        <v/>
      </c>
      <c r="L121" s="9"/>
      <c r="M121" s="9"/>
    </row>
    <row r="122" spans="1:13" ht="14.1" customHeight="1">
      <c r="A122" s="4">
        <f>'SCHEDULE OF VALUE WORKSHEET'!A92</f>
        <v>87</v>
      </c>
      <c r="B122" s="142" t="str">
        <f>'SCHEDULE OF VALUE WORKSHEET'!B92</f>
        <v xml:space="preserve">Open Item </v>
      </c>
      <c r="C122" s="143"/>
      <c r="D122" s="104">
        <f>SUM('SCHEDULE OF VALUE WORKSHEET'!E92)</f>
        <v>0</v>
      </c>
      <c r="E122" s="104">
        <f>SUM('Draw #4'!E122:F122)</f>
        <v>0</v>
      </c>
      <c r="F122" s="105">
        <v>0</v>
      </c>
      <c r="G122" s="104">
        <f>SUM('Draw #4'!G122)+'Draw #5'!F122</f>
        <v>0</v>
      </c>
      <c r="H122" s="109">
        <f t="shared" si="2"/>
        <v>0</v>
      </c>
      <c r="I122" s="110">
        <v>0</v>
      </c>
      <c r="J122" s="109">
        <f>SUM(I122+'Draw #4'!J122)</f>
        <v>0</v>
      </c>
      <c r="K122" s="101" t="str">
        <f t="shared" si="3"/>
        <v/>
      </c>
      <c r="L122" s="9"/>
      <c r="M122" s="9"/>
    </row>
    <row r="123" spans="1:13" ht="14.1" customHeight="1">
      <c r="A123" s="4">
        <f>'SCHEDULE OF VALUE WORKSHEET'!A93</f>
        <v>88</v>
      </c>
      <c r="B123" s="142" t="str">
        <f>'SCHEDULE OF VALUE WORKSHEET'!B93</f>
        <v xml:space="preserve">Open Item </v>
      </c>
      <c r="C123" s="143"/>
      <c r="D123" s="104">
        <f>SUM('SCHEDULE OF VALUE WORKSHEET'!E93)</f>
        <v>0</v>
      </c>
      <c r="E123" s="104">
        <f>SUM('Draw #4'!E123:F123)</f>
        <v>0</v>
      </c>
      <c r="F123" s="105">
        <v>0</v>
      </c>
      <c r="G123" s="104">
        <f>SUM('Draw #4'!G123)+'Draw #5'!F123</f>
        <v>0</v>
      </c>
      <c r="H123" s="109">
        <f t="shared" si="2"/>
        <v>0</v>
      </c>
      <c r="I123" s="110">
        <v>0</v>
      </c>
      <c r="J123" s="109">
        <f>SUM(I123+'Draw #4'!J123)</f>
        <v>0</v>
      </c>
      <c r="K123" s="101" t="str">
        <f t="shared" si="3"/>
        <v/>
      </c>
      <c r="L123" s="9"/>
      <c r="M123" s="9"/>
    </row>
    <row r="124" spans="1:13" ht="14.1" customHeight="1">
      <c r="A124" s="4">
        <f>'SCHEDULE OF VALUE WORKSHEET'!A94</f>
        <v>89</v>
      </c>
      <c r="B124" s="142" t="str">
        <f>'SCHEDULE OF VALUE WORKSHEET'!B94</f>
        <v xml:space="preserve">Open Item </v>
      </c>
      <c r="C124" s="143"/>
      <c r="D124" s="104">
        <f>SUM('SCHEDULE OF VALUE WORKSHEET'!E94)</f>
        <v>0</v>
      </c>
      <c r="E124" s="104">
        <f>SUM('Draw #4'!E124:F124)</f>
        <v>0</v>
      </c>
      <c r="F124" s="105">
        <v>0</v>
      </c>
      <c r="G124" s="104">
        <f>SUM('Draw #4'!G124)+'Draw #5'!F124</f>
        <v>0</v>
      </c>
      <c r="H124" s="109">
        <f t="shared" si="2"/>
        <v>0</v>
      </c>
      <c r="I124" s="110">
        <v>0</v>
      </c>
      <c r="J124" s="109">
        <f>SUM(I124+'Draw #4'!J124)</f>
        <v>0</v>
      </c>
      <c r="K124" s="101" t="str">
        <f t="shared" si="3"/>
        <v/>
      </c>
      <c r="L124" s="9"/>
      <c r="M124" s="9"/>
    </row>
    <row r="125" spans="1:13" ht="14.1" customHeight="1">
      <c r="A125" s="4">
        <f>'SCHEDULE OF VALUE WORKSHEET'!A95</f>
        <v>90</v>
      </c>
      <c r="B125" s="142" t="str">
        <f>'SCHEDULE OF VALUE WORKSHEET'!B95</f>
        <v xml:space="preserve">Open Item </v>
      </c>
      <c r="C125" s="143"/>
      <c r="D125" s="104">
        <f>SUM('SCHEDULE OF VALUE WORKSHEET'!E95)</f>
        <v>0</v>
      </c>
      <c r="E125" s="104">
        <f>SUM('Draw #4'!E125:F125)</f>
        <v>0</v>
      </c>
      <c r="F125" s="105">
        <v>0</v>
      </c>
      <c r="G125" s="104">
        <f>SUM('Draw #4'!G125)+'Draw #5'!F125</f>
        <v>0</v>
      </c>
      <c r="H125" s="109">
        <f t="shared" si="2"/>
        <v>0</v>
      </c>
      <c r="I125" s="110">
        <v>0</v>
      </c>
      <c r="J125" s="109">
        <f>SUM(I125+'Draw #4'!J125)</f>
        <v>0</v>
      </c>
      <c r="K125" s="101" t="str">
        <f t="shared" si="3"/>
        <v/>
      </c>
      <c r="L125" s="9"/>
      <c r="M125" s="9"/>
    </row>
    <row r="126" spans="1:13" ht="14.1" customHeight="1">
      <c r="A126" s="4">
        <f>'SCHEDULE OF VALUE WORKSHEET'!A96</f>
        <v>91</v>
      </c>
      <c r="B126" s="142" t="str">
        <f>'SCHEDULE OF VALUE WORKSHEET'!B96</f>
        <v xml:space="preserve">Open Item </v>
      </c>
      <c r="C126" s="143"/>
      <c r="D126" s="104">
        <f>SUM('SCHEDULE OF VALUE WORKSHEET'!E96)</f>
        <v>0</v>
      </c>
      <c r="E126" s="104">
        <f>SUM('Draw #4'!E126:F126)</f>
        <v>0</v>
      </c>
      <c r="F126" s="105">
        <v>0</v>
      </c>
      <c r="G126" s="104">
        <f>SUM('Draw #4'!G126)+'Draw #5'!F126</f>
        <v>0</v>
      </c>
      <c r="H126" s="109">
        <f t="shared" si="2"/>
        <v>0</v>
      </c>
      <c r="I126" s="110">
        <v>0</v>
      </c>
      <c r="J126" s="109">
        <f>SUM(I126+'Draw #4'!J126)</f>
        <v>0</v>
      </c>
      <c r="K126" s="101" t="str">
        <f t="shared" si="3"/>
        <v/>
      </c>
      <c r="L126" s="9"/>
      <c r="M126" s="9"/>
    </row>
    <row r="127" spans="1:13" ht="14.1" customHeight="1">
      <c r="A127" s="4">
        <f>'SCHEDULE OF VALUE WORKSHEET'!A97</f>
        <v>92</v>
      </c>
      <c r="B127" s="142" t="str">
        <f>'SCHEDULE OF VALUE WORKSHEET'!B97</f>
        <v xml:space="preserve">Open Item </v>
      </c>
      <c r="C127" s="143"/>
      <c r="D127" s="104">
        <f>SUM('SCHEDULE OF VALUE WORKSHEET'!E97)</f>
        <v>0</v>
      </c>
      <c r="E127" s="104">
        <f>SUM('Draw #4'!E127:F127)</f>
        <v>0</v>
      </c>
      <c r="F127" s="105">
        <v>0</v>
      </c>
      <c r="G127" s="104">
        <f>SUM('Draw #4'!G127)+'Draw #5'!F127</f>
        <v>0</v>
      </c>
      <c r="H127" s="109">
        <f t="shared" si="2"/>
        <v>0</v>
      </c>
      <c r="I127" s="110">
        <v>0</v>
      </c>
      <c r="J127" s="109">
        <f>SUM(I127+'Draw #4'!J127)</f>
        <v>0</v>
      </c>
      <c r="K127" s="101" t="str">
        <f t="shared" si="3"/>
        <v/>
      </c>
      <c r="L127" s="9"/>
      <c r="M127" s="9"/>
    </row>
    <row r="128" spans="1:13" ht="14.1" customHeight="1">
      <c r="A128" s="4">
        <f>'SCHEDULE OF VALUE WORKSHEET'!A98</f>
        <v>93</v>
      </c>
      <c r="B128" s="142" t="str">
        <f>'SCHEDULE OF VALUE WORKSHEET'!B98</f>
        <v xml:space="preserve">Open Item </v>
      </c>
      <c r="C128" s="143"/>
      <c r="D128" s="104">
        <f>SUM('SCHEDULE OF VALUE WORKSHEET'!E98)</f>
        <v>0</v>
      </c>
      <c r="E128" s="104">
        <f>SUM('Draw #4'!E128:F128)</f>
        <v>0</v>
      </c>
      <c r="F128" s="105">
        <v>0</v>
      </c>
      <c r="G128" s="104">
        <f>SUM('Draw #4'!G128)+'Draw #5'!F128</f>
        <v>0</v>
      </c>
      <c r="H128" s="109">
        <f t="shared" si="2"/>
        <v>0</v>
      </c>
      <c r="I128" s="110">
        <v>0</v>
      </c>
      <c r="J128" s="109">
        <f>SUM(I128+'Draw #4'!J128)</f>
        <v>0</v>
      </c>
      <c r="K128" s="101" t="str">
        <f t="shared" si="3"/>
        <v/>
      </c>
      <c r="L128" s="9"/>
      <c r="M128" s="9"/>
    </row>
    <row r="129" spans="1:13" ht="14.1" customHeight="1">
      <c r="A129" s="4">
        <f>'SCHEDULE OF VALUE WORKSHEET'!A99</f>
        <v>94</v>
      </c>
      <c r="B129" s="142" t="str">
        <f>'SCHEDULE OF VALUE WORKSHEET'!B99</f>
        <v xml:space="preserve">Open Item </v>
      </c>
      <c r="C129" s="143"/>
      <c r="D129" s="104">
        <f>SUM('SCHEDULE OF VALUE WORKSHEET'!E99)</f>
        <v>0</v>
      </c>
      <c r="E129" s="104">
        <f>SUM('Draw #4'!E129:F129)</f>
        <v>0</v>
      </c>
      <c r="F129" s="105">
        <v>0</v>
      </c>
      <c r="G129" s="104">
        <f>SUM('Draw #4'!G129)+'Draw #5'!F129</f>
        <v>0</v>
      </c>
      <c r="H129" s="109">
        <f t="shared" si="2"/>
        <v>0</v>
      </c>
      <c r="I129" s="110">
        <v>0</v>
      </c>
      <c r="J129" s="109">
        <f>SUM(I129+'Draw #4'!J129)</f>
        <v>0</v>
      </c>
      <c r="K129" s="101" t="str">
        <f t="shared" si="3"/>
        <v/>
      </c>
      <c r="L129" s="9"/>
      <c r="M129" s="9"/>
    </row>
    <row r="130" spans="1:13" ht="14.1" customHeight="1">
      <c r="A130" s="4">
        <f>'SCHEDULE OF VALUE WORKSHEET'!A100</f>
        <v>95</v>
      </c>
      <c r="B130" s="142" t="str">
        <f>'SCHEDULE OF VALUE WORKSHEET'!B100</f>
        <v xml:space="preserve">Open Item </v>
      </c>
      <c r="C130" s="143"/>
      <c r="D130" s="104">
        <f>SUM('SCHEDULE OF VALUE WORKSHEET'!E100)</f>
        <v>0</v>
      </c>
      <c r="E130" s="104">
        <f>SUM('Draw #4'!E130:F130)</f>
        <v>0</v>
      </c>
      <c r="F130" s="105">
        <v>0</v>
      </c>
      <c r="G130" s="104">
        <f>SUM('Draw #4'!G130)+'Draw #5'!F130</f>
        <v>0</v>
      </c>
      <c r="H130" s="109">
        <f t="shared" si="2"/>
        <v>0</v>
      </c>
      <c r="I130" s="110">
        <v>0</v>
      </c>
      <c r="J130" s="109">
        <f>SUM(I130+'Draw #4'!J130)</f>
        <v>0</v>
      </c>
      <c r="K130" s="101" t="str">
        <f t="shared" si="3"/>
        <v/>
      </c>
      <c r="L130" s="9"/>
      <c r="M130" s="9"/>
    </row>
    <row r="131" spans="1:13" ht="14.1" customHeight="1">
      <c r="A131" s="4">
        <f>'SCHEDULE OF VALUE WORKSHEET'!A101</f>
        <v>96</v>
      </c>
      <c r="B131" s="142" t="str">
        <f>'SCHEDULE OF VALUE WORKSHEET'!B101</f>
        <v xml:space="preserve">Open Item </v>
      </c>
      <c r="C131" s="143"/>
      <c r="D131" s="104">
        <f>SUM('SCHEDULE OF VALUE WORKSHEET'!E101)</f>
        <v>0</v>
      </c>
      <c r="E131" s="104">
        <f>SUM('Draw #4'!E131:F131)</f>
        <v>0</v>
      </c>
      <c r="F131" s="105">
        <v>0</v>
      </c>
      <c r="G131" s="104">
        <f>SUM('Draw #4'!G131)+'Draw #5'!F131</f>
        <v>0</v>
      </c>
      <c r="H131" s="109">
        <f t="shared" si="2"/>
        <v>0</v>
      </c>
      <c r="I131" s="110">
        <v>0</v>
      </c>
      <c r="J131" s="109">
        <f>SUM(I131+'Draw #4'!J131)</f>
        <v>0</v>
      </c>
      <c r="K131" s="101" t="str">
        <f t="shared" si="3"/>
        <v/>
      </c>
      <c r="L131" s="9"/>
      <c r="M131" s="9"/>
    </row>
    <row r="132" spans="1:13" ht="14.1" customHeight="1">
      <c r="A132" s="4">
        <f>'SCHEDULE OF VALUE WORKSHEET'!A102</f>
        <v>97</v>
      </c>
      <c r="B132" s="142" t="str">
        <f>'SCHEDULE OF VALUE WORKSHEET'!B102</f>
        <v xml:space="preserve">Open Item </v>
      </c>
      <c r="C132" s="143"/>
      <c r="D132" s="104">
        <f>SUM('SCHEDULE OF VALUE WORKSHEET'!E102)</f>
        <v>0</v>
      </c>
      <c r="E132" s="104">
        <f>SUM('Draw #4'!E132:F132)</f>
        <v>0</v>
      </c>
      <c r="F132" s="105">
        <v>0</v>
      </c>
      <c r="G132" s="104">
        <f>SUM('Draw #4'!G132)+'Draw #5'!F132</f>
        <v>0</v>
      </c>
      <c r="H132" s="109">
        <f t="shared" si="2"/>
        <v>0</v>
      </c>
      <c r="I132" s="110">
        <v>0</v>
      </c>
      <c r="J132" s="109">
        <f>SUM(I132+'Draw #4'!J132)</f>
        <v>0</v>
      </c>
      <c r="K132" s="101" t="str">
        <f t="shared" si="3"/>
        <v/>
      </c>
      <c r="L132" s="9"/>
      <c r="M132" s="9"/>
    </row>
    <row r="133" spans="1:13" ht="14.1" customHeight="1">
      <c r="A133" s="4">
        <f>'SCHEDULE OF VALUE WORKSHEET'!A103</f>
        <v>98</v>
      </c>
      <c r="B133" s="142" t="str">
        <f>'SCHEDULE OF VALUE WORKSHEET'!B103</f>
        <v xml:space="preserve">Open Item </v>
      </c>
      <c r="C133" s="143"/>
      <c r="D133" s="104">
        <f>SUM('SCHEDULE OF VALUE WORKSHEET'!E103)</f>
        <v>0</v>
      </c>
      <c r="E133" s="104">
        <f>SUM('Draw #4'!E133:F133)</f>
        <v>0</v>
      </c>
      <c r="F133" s="105">
        <v>0</v>
      </c>
      <c r="G133" s="104">
        <f>SUM('Draw #4'!G133)+'Draw #5'!F133</f>
        <v>0</v>
      </c>
      <c r="H133" s="109">
        <f t="shared" si="2"/>
        <v>0</v>
      </c>
      <c r="I133" s="110">
        <v>0</v>
      </c>
      <c r="J133" s="109">
        <f>SUM(I133+'Draw #4'!J133)</f>
        <v>0</v>
      </c>
      <c r="K133" s="101" t="str">
        <f t="shared" si="3"/>
        <v/>
      </c>
      <c r="L133" s="9"/>
      <c r="M133" s="9"/>
    </row>
    <row r="134" spans="1:13" ht="14.1" customHeight="1">
      <c r="A134" s="4">
        <f>'SCHEDULE OF VALUE WORKSHEET'!A104</f>
        <v>99</v>
      </c>
      <c r="B134" s="142" t="str">
        <f>'SCHEDULE OF VALUE WORKSHEET'!B104</f>
        <v xml:space="preserve">Open Item </v>
      </c>
      <c r="C134" s="143"/>
      <c r="D134" s="104">
        <f>SUM('SCHEDULE OF VALUE WORKSHEET'!E104)</f>
        <v>0</v>
      </c>
      <c r="E134" s="104">
        <f>SUM('Draw #4'!E134:F134)</f>
        <v>0</v>
      </c>
      <c r="F134" s="105">
        <v>0</v>
      </c>
      <c r="G134" s="104">
        <f>SUM('Draw #4'!G134)+'Draw #5'!F134</f>
        <v>0</v>
      </c>
      <c r="H134" s="109">
        <f t="shared" si="2"/>
        <v>0</v>
      </c>
      <c r="I134" s="110">
        <v>0</v>
      </c>
      <c r="J134" s="109">
        <f>SUM(I134+'Draw #4'!J134)</f>
        <v>0</v>
      </c>
      <c r="K134" s="101" t="str">
        <f t="shared" si="3"/>
        <v/>
      </c>
      <c r="L134" s="9"/>
      <c r="M134" s="9"/>
    </row>
    <row r="135" spans="1:13" ht="14.1" customHeight="1">
      <c r="A135" s="4" t="e">
        <f>'SCHEDULE OF VALUE WORKSHEET'!#REF!</f>
        <v>#REF!</v>
      </c>
      <c r="B135" s="142" t="e">
        <f>'SCHEDULE OF VALUE WORKSHEET'!#REF!</f>
        <v>#REF!</v>
      </c>
      <c r="C135" s="143"/>
      <c r="D135" s="104" t="e">
        <f>SUM('SCHEDULE OF VALUE WORKSHEET'!#REF!)</f>
        <v>#REF!</v>
      </c>
      <c r="E135" s="104">
        <f>SUM('Draw #4'!E135:F135)</f>
        <v>0</v>
      </c>
      <c r="F135" s="105">
        <v>0</v>
      </c>
      <c r="G135" s="104" t="e">
        <f>SUM('Draw #4'!G135)+'Draw #5'!F135</f>
        <v>#REF!</v>
      </c>
      <c r="H135" s="109" t="e">
        <f t="shared" si="2"/>
        <v>#REF!</v>
      </c>
      <c r="I135" s="110">
        <v>0</v>
      </c>
      <c r="J135" s="109">
        <f>SUM(I135+'Draw #4'!J135)</f>
        <v>0</v>
      </c>
      <c r="K135" s="101" t="str">
        <f t="shared" si="3"/>
        <v/>
      </c>
      <c r="L135" s="9"/>
      <c r="M135" s="9"/>
    </row>
    <row r="136" spans="1:13" ht="14.1" customHeight="1">
      <c r="A136" s="165"/>
      <c r="B136" s="166"/>
      <c r="C136" s="166"/>
      <c r="D136" s="166"/>
      <c r="E136" s="166"/>
      <c r="F136" s="166"/>
      <c r="G136" s="166"/>
      <c r="H136" s="166"/>
      <c r="I136" s="166"/>
      <c r="J136" s="166"/>
      <c r="K136" s="167"/>
      <c r="L136" s="10"/>
      <c r="M136" s="10"/>
    </row>
    <row r="137" spans="1:13" ht="18.75" customHeight="1">
      <c r="A137" s="7"/>
      <c r="B137" s="168" t="s">
        <v>2</v>
      </c>
      <c r="C137" s="168"/>
      <c r="D137" s="25" t="e">
        <f t="shared" ref="D137:J137" si="4">SUM(D10:D135)</f>
        <v>#REF!</v>
      </c>
      <c r="E137" s="25">
        <f t="shared" si="4"/>
        <v>0</v>
      </c>
      <c r="F137" s="25">
        <f t="shared" si="4"/>
        <v>0</v>
      </c>
      <c r="G137" s="25" t="e">
        <f t="shared" si="4"/>
        <v>#REF!</v>
      </c>
      <c r="H137" s="25" t="e">
        <f t="shared" si="4"/>
        <v>#REF!</v>
      </c>
      <c r="I137" s="25">
        <f t="shared" si="4"/>
        <v>0</v>
      </c>
      <c r="J137" s="25">
        <f t="shared" si="4"/>
        <v>0</v>
      </c>
      <c r="K137" s="17"/>
      <c r="L137" s="11"/>
      <c r="M137" s="11"/>
    </row>
    <row r="138" spans="1:13" ht="14.1" customHeight="1">
      <c r="A138" s="2"/>
      <c r="B138" s="2"/>
      <c r="C138" s="2"/>
      <c r="D138" s="2"/>
      <c r="E138" s="2"/>
      <c r="F138" s="2"/>
      <c r="G138" s="2"/>
    </row>
    <row r="139" spans="1:13" ht="14.1" customHeight="1">
      <c r="G139" s="2"/>
      <c r="H139" s="140"/>
      <c r="I139" s="140"/>
      <c r="J139" s="140"/>
    </row>
    <row r="140" spans="1:13" ht="14.1" customHeight="1">
      <c r="G140" s="2"/>
    </row>
    <row r="141" spans="1:13" ht="14.1" customHeight="1">
      <c r="G141" s="2"/>
      <c r="H141" s="8"/>
    </row>
    <row r="142" spans="1:13" ht="14.1" customHeight="1">
      <c r="G142" s="2"/>
      <c r="H142" s="8"/>
    </row>
    <row r="143" spans="1:13" ht="14.1" customHeight="1">
      <c r="G143" s="2"/>
    </row>
    <row r="144" spans="1:13" ht="14.1" customHeight="1">
      <c r="G144" s="2"/>
    </row>
    <row r="145" spans="7:7" ht="14.1" customHeight="1">
      <c r="G145" s="2"/>
    </row>
    <row r="146" spans="7:7" ht="14.1" customHeight="1">
      <c r="G146" s="2"/>
    </row>
    <row r="147" spans="7:7" ht="14.1" customHeight="1">
      <c r="G147" s="2"/>
    </row>
    <row r="148" spans="7:7" ht="14.1" customHeight="1">
      <c r="G148" s="3"/>
    </row>
  </sheetData>
  <sheetProtection algorithmName="SHA-512" hashValue="hFH5e9jwcb3hcuLX5rqiQjo/pqKCw/MReLldo/dI+uY0/9XCLxkdavuPWx3kBRfbteaeD3bwai/1zT8re+s2JQ==" saltValue="PyQ3DXmAuVBOlM+JebUs8Q==" spinCount="100000" sheet="1" selectLockedCells="1"/>
  <mergeCells count="136">
    <mergeCell ref="A1:K2"/>
    <mergeCell ref="B47:C47"/>
    <mergeCell ref="B48:C48"/>
    <mergeCell ref="B49:C49"/>
    <mergeCell ref="B50:C50"/>
    <mergeCell ref="B8:C9"/>
    <mergeCell ref="D8:D9"/>
    <mergeCell ref="G8:G9"/>
    <mergeCell ref="J8:K8"/>
    <mergeCell ref="J9:K9"/>
    <mergeCell ref="F8:F9"/>
    <mergeCell ref="B10:C10"/>
    <mergeCell ref="B11:C11"/>
    <mergeCell ref="B12:C12"/>
    <mergeCell ref="B13:C13"/>
    <mergeCell ref="B26:C26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4:C34"/>
    <mergeCell ref="B35:C35"/>
    <mergeCell ref="B32:C32"/>
    <mergeCell ref="B33:C33"/>
    <mergeCell ref="B27:C27"/>
    <mergeCell ref="B36:C36"/>
    <mergeCell ref="B37:C37"/>
    <mergeCell ref="B46:C46"/>
    <mergeCell ref="A136:K136"/>
    <mergeCell ref="B38:C38"/>
    <mergeCell ref="B39:C39"/>
    <mergeCell ref="B51:C51"/>
    <mergeCell ref="B52:C52"/>
    <mergeCell ref="B53:C53"/>
    <mergeCell ref="B54:C54"/>
    <mergeCell ref="B130:C130"/>
    <mergeCell ref="B119:C119"/>
    <mergeCell ref="B120:C120"/>
    <mergeCell ref="B121:C121"/>
    <mergeCell ref="B122:C122"/>
    <mergeCell ref="B123:C123"/>
    <mergeCell ref="B124:C124"/>
    <mergeCell ref="B131:C131"/>
    <mergeCell ref="B132:C132"/>
    <mergeCell ref="B133:C133"/>
    <mergeCell ref="B134:C134"/>
    <mergeCell ref="B135:C135"/>
    <mergeCell ref="B125:C125"/>
    <mergeCell ref="B126:C126"/>
    <mergeCell ref="B137:C137"/>
    <mergeCell ref="H139:J139"/>
    <mergeCell ref="B40:C40"/>
    <mergeCell ref="B41:C41"/>
    <mergeCell ref="B42:C42"/>
    <mergeCell ref="B43:C43"/>
    <mergeCell ref="B44:C44"/>
    <mergeCell ref="B45:C45"/>
    <mergeCell ref="B55:C55"/>
    <mergeCell ref="B56:C56"/>
    <mergeCell ref="B127:C127"/>
    <mergeCell ref="B128:C128"/>
    <mergeCell ref="B129:C129"/>
    <mergeCell ref="B63:C63"/>
    <mergeCell ref="B64:C64"/>
    <mergeCell ref="B65:C65"/>
    <mergeCell ref="B66:C66"/>
    <mergeCell ref="B67:C67"/>
    <mergeCell ref="B68:C68"/>
    <mergeCell ref="B57:C57"/>
    <mergeCell ref="B58:C58"/>
    <mergeCell ref="B59:C59"/>
    <mergeCell ref="B60:C60"/>
    <mergeCell ref="B61:C61"/>
    <mergeCell ref="B62:C62"/>
    <mergeCell ref="B75:C75"/>
    <mergeCell ref="B76:C76"/>
    <mergeCell ref="B77:C77"/>
    <mergeCell ref="B78:C78"/>
    <mergeCell ref="B79:C79"/>
    <mergeCell ref="B80:C80"/>
    <mergeCell ref="B69:C69"/>
    <mergeCell ref="B70:C70"/>
    <mergeCell ref="B71:C71"/>
    <mergeCell ref="B72:C72"/>
    <mergeCell ref="B73:C73"/>
    <mergeCell ref="B74:C74"/>
    <mergeCell ref="B87:C87"/>
    <mergeCell ref="B88:C88"/>
    <mergeCell ref="B89:C89"/>
    <mergeCell ref="B90:C90"/>
    <mergeCell ref="B91:C91"/>
    <mergeCell ref="B92:C92"/>
    <mergeCell ref="B81:C81"/>
    <mergeCell ref="B82:C82"/>
    <mergeCell ref="B83:C83"/>
    <mergeCell ref="B84:C84"/>
    <mergeCell ref="B85:C85"/>
    <mergeCell ref="B86:C86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7:C117"/>
    <mergeCell ref="B118:C118"/>
    <mergeCell ref="B111:C111"/>
    <mergeCell ref="B112:C112"/>
    <mergeCell ref="B113:C113"/>
    <mergeCell ref="B114:C114"/>
    <mergeCell ref="B115:C115"/>
    <mergeCell ref="B116:C116"/>
    <mergeCell ref="B105:C105"/>
    <mergeCell ref="B106:C106"/>
    <mergeCell ref="B107:C107"/>
    <mergeCell ref="B108:C108"/>
    <mergeCell ref="B109:C109"/>
    <mergeCell ref="B110:C110"/>
  </mergeCells>
  <conditionalFormatting sqref="B10:K135">
    <cfRule type="expression" dxfId="63" priority="3" stopIfTrue="1">
      <formula>$I10&gt;0</formula>
    </cfRule>
    <cfRule type="expression" dxfId="62" priority="4" stopIfTrue="1">
      <formula>$K10=100%</formula>
    </cfRule>
  </conditionalFormatting>
  <conditionalFormatting sqref="D10:K135">
    <cfRule type="expression" dxfId="61" priority="1" stopIfTrue="1">
      <formula>$K10=""</formula>
    </cfRule>
    <cfRule type="expression" dxfId="60" priority="2" stopIfTrue="1">
      <formula>$K10&gt;100%</formula>
    </cfRule>
  </conditionalFormatting>
  <pageMargins left="0.7" right="0.7" top="0.75" bottom="0.75" header="0.3" footer="0.3"/>
  <pageSetup scale="78" orientation="portrait" verticalDpi="1200" r:id="rId1"/>
  <colBreaks count="1" manualBreakCount="1">
    <brk id="11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48"/>
  <sheetViews>
    <sheetView showGridLines="0" zoomScale="90" zoomScaleNormal="90" workbookViewId="0">
      <selection activeCell="F10" sqref="F10"/>
    </sheetView>
  </sheetViews>
  <sheetFormatPr defaultColWidth="6.59765625" defaultRowHeight="15.75"/>
  <cols>
    <col min="1" max="1" width="4.8984375" style="1" customWidth="1"/>
    <col min="2" max="2" width="5.69921875" style="1" customWidth="1"/>
    <col min="3" max="3" width="15.19921875" style="1" customWidth="1"/>
    <col min="4" max="5" width="10.59765625" style="1" customWidth="1"/>
    <col min="6" max="9" width="10.69921875" style="1" customWidth="1"/>
    <col min="10" max="10" width="10.59765625" style="1" customWidth="1"/>
    <col min="11" max="11" width="5.09765625" style="18" customWidth="1"/>
    <col min="12" max="13" width="4.69921875" style="1" customWidth="1"/>
    <col min="14" max="16384" width="6.59765625" style="1"/>
  </cols>
  <sheetData>
    <row r="1" spans="1:13">
      <c r="A1" s="171" t="s">
        <v>18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</row>
    <row r="2" spans="1:13">
      <c r="A2" s="174"/>
      <c r="B2" s="153"/>
      <c r="C2" s="153"/>
      <c r="D2" s="153"/>
      <c r="E2" s="153"/>
      <c r="F2" s="153"/>
      <c r="G2" s="153"/>
      <c r="H2" s="153"/>
      <c r="I2" s="153"/>
      <c r="J2" s="153"/>
      <c r="K2" s="175"/>
    </row>
    <row r="3" spans="1:13">
      <c r="A3" s="74"/>
      <c r="B3" s="13" t="s">
        <v>7</v>
      </c>
      <c r="C3" s="35" t="str">
        <f>'SCHEDULE OF VALUE WORKSHEET'!$B$3</f>
        <v>Angeleno Investments</v>
      </c>
      <c r="F3" s="6"/>
      <c r="G3" s="28"/>
      <c r="H3" s="55"/>
      <c r="I3" s="41" t="s">
        <v>5</v>
      </c>
      <c r="J3" s="38">
        <f>SUM(J137)</f>
        <v>0</v>
      </c>
      <c r="K3" s="80" t="e">
        <f>SUM(J3)/J7</f>
        <v>#REF!</v>
      </c>
    </row>
    <row r="4" spans="1:13" ht="16.350000000000001" customHeight="1">
      <c r="A4" s="74"/>
      <c r="B4" s="34" t="s">
        <v>0</v>
      </c>
      <c r="C4" s="36">
        <f ca="1">TODAY()</f>
        <v>45978</v>
      </c>
      <c r="D4" s="36"/>
      <c r="E4" s="36"/>
      <c r="F4" s="15"/>
      <c r="G4" s="3"/>
      <c r="H4" s="75"/>
      <c r="I4" s="41" t="s">
        <v>13</v>
      </c>
      <c r="J4" s="38" t="e">
        <f>SUM(H137)</f>
        <v>#REF!</v>
      </c>
      <c r="K4" s="80"/>
    </row>
    <row r="5" spans="1:13">
      <c r="A5" s="74"/>
      <c r="B5" s="34" t="s">
        <v>6</v>
      </c>
      <c r="C5" s="37" t="str">
        <f>'SCHEDULE OF VALUE WORKSHEET'!B5</f>
        <v>10910 Huston Street</v>
      </c>
      <c r="F5" s="56"/>
      <c r="G5" s="57"/>
      <c r="H5" s="75"/>
      <c r="I5" s="41" t="s">
        <v>14</v>
      </c>
      <c r="J5" s="38" t="e">
        <f>SUM(D137)</f>
        <v>#REF!</v>
      </c>
      <c r="K5" s="80"/>
    </row>
    <row r="6" spans="1:13">
      <c r="A6" s="74"/>
      <c r="B6" s="34" t="s">
        <v>20</v>
      </c>
      <c r="C6" s="48">
        <f>SUM(I137)</f>
        <v>0</v>
      </c>
      <c r="D6" s="6"/>
      <c r="E6" s="6"/>
      <c r="F6" s="6"/>
      <c r="G6" s="57"/>
      <c r="H6" s="75"/>
      <c r="I6" s="42" t="s">
        <v>17</v>
      </c>
      <c r="J6" s="38">
        <f>SUM(F137)</f>
        <v>0</v>
      </c>
      <c r="K6" s="80"/>
    </row>
    <row r="7" spans="1:13">
      <c r="A7" s="78"/>
      <c r="G7" s="28"/>
      <c r="H7" s="20"/>
      <c r="I7" s="34" t="s">
        <v>15</v>
      </c>
      <c r="J7" s="29" t="e">
        <f>SUM(G137)</f>
        <v>#REF!</v>
      </c>
      <c r="K7" s="80"/>
    </row>
    <row r="8" spans="1:13">
      <c r="A8" s="19"/>
      <c r="B8" s="169" t="s">
        <v>1</v>
      </c>
      <c r="C8" s="170"/>
      <c r="D8" s="177" t="s">
        <v>8</v>
      </c>
      <c r="E8" s="102" t="s">
        <v>24</v>
      </c>
      <c r="F8" s="176" t="s">
        <v>26</v>
      </c>
      <c r="G8" s="177" t="s">
        <v>9</v>
      </c>
      <c r="H8" s="30" t="s">
        <v>10</v>
      </c>
      <c r="I8" s="31" t="s">
        <v>12</v>
      </c>
      <c r="J8" s="178" t="s">
        <v>3</v>
      </c>
      <c r="K8" s="179"/>
      <c r="L8" s="12"/>
      <c r="M8" s="12"/>
    </row>
    <row r="9" spans="1:13" ht="14.1" customHeight="1">
      <c r="A9" s="19"/>
      <c r="B9" s="146"/>
      <c r="C9" s="147"/>
      <c r="D9" s="162"/>
      <c r="E9" s="103" t="s">
        <v>25</v>
      </c>
      <c r="F9" s="164"/>
      <c r="G9" s="162"/>
      <c r="H9" s="32" t="s">
        <v>22</v>
      </c>
      <c r="I9" s="33">
        <v>6</v>
      </c>
      <c r="J9" s="180" t="s">
        <v>4</v>
      </c>
      <c r="K9" s="181"/>
      <c r="L9" s="12"/>
      <c r="M9" s="12"/>
    </row>
    <row r="10" spans="1:13" ht="14.1" customHeight="1">
      <c r="A10" s="4">
        <f>'SCHEDULE OF VALUE WORKSHEET'!A7</f>
        <v>1</v>
      </c>
      <c r="B10" s="142" t="str">
        <f>'SCHEDULE OF VALUE WORKSHEET'!B7</f>
        <v>SOFT COSTS</v>
      </c>
      <c r="C10" s="143"/>
      <c r="D10" s="104">
        <f>SUM('SCHEDULE OF VALUE WORKSHEET'!E7)</f>
        <v>0</v>
      </c>
      <c r="E10" s="104">
        <f>SUM('Draw #5'!E10:F10)</f>
        <v>0</v>
      </c>
      <c r="F10" s="105">
        <v>0</v>
      </c>
      <c r="G10" s="104">
        <f>SUM('Draw #5'!G10)+F10</f>
        <v>0</v>
      </c>
      <c r="H10" s="109">
        <f>SUM(G10-J10)</f>
        <v>0</v>
      </c>
      <c r="I10" s="110">
        <v>0</v>
      </c>
      <c r="J10" s="109">
        <f>SUM(I10+'Draw #5'!J10)</f>
        <v>0</v>
      </c>
      <c r="K10" s="101" t="str">
        <f>IF(J10=0,"",J10/G10)</f>
        <v/>
      </c>
      <c r="L10" s="9"/>
      <c r="M10" s="9"/>
    </row>
    <row r="11" spans="1:13" ht="14.1" customHeight="1">
      <c r="A11" s="4">
        <f>'SCHEDULE OF VALUE WORKSHEET'!A8</f>
        <v>2</v>
      </c>
      <c r="B11" s="142" t="str">
        <f>'SCHEDULE OF VALUE WORKSHEET'!B8</f>
        <v>Site Security</v>
      </c>
      <c r="C11" s="143"/>
      <c r="D11" s="104">
        <f>SUM('SCHEDULE OF VALUE WORKSHEET'!E8)</f>
        <v>10580.63</v>
      </c>
      <c r="E11" s="104">
        <f>SUM('Draw #5'!E11:F11)</f>
        <v>0</v>
      </c>
      <c r="F11" s="105">
        <v>0</v>
      </c>
      <c r="G11" s="104">
        <f>SUM('Draw #5'!G11)+F11</f>
        <v>10580.63</v>
      </c>
      <c r="H11" s="109">
        <f t="shared" ref="H11:H74" si="0">SUM(G11-J11)</f>
        <v>10580.63</v>
      </c>
      <c r="I11" s="110">
        <v>0</v>
      </c>
      <c r="J11" s="109">
        <f>SUM(I11+'Draw #5'!J11)</f>
        <v>0</v>
      </c>
      <c r="K11" s="101" t="str">
        <f t="shared" ref="K11:K74" si="1">IF(J11=0,"",J11/G11)</f>
        <v/>
      </c>
      <c r="L11" s="9"/>
      <c r="M11" s="9"/>
    </row>
    <row r="12" spans="1:13" ht="14.1" customHeight="1">
      <c r="A12" s="4">
        <f>'SCHEDULE OF VALUE WORKSHEET'!A9</f>
        <v>3</v>
      </c>
      <c r="B12" s="142" t="str">
        <f>'SCHEDULE OF VALUE WORKSHEET'!B9</f>
        <v>Soils Inspection</v>
      </c>
      <c r="C12" s="143"/>
      <c r="D12" s="104">
        <f>SUM('SCHEDULE OF VALUE WORKSHEET'!E9)</f>
        <v>0</v>
      </c>
      <c r="E12" s="104">
        <f>SUM('Draw #5'!E12:F12)</f>
        <v>0</v>
      </c>
      <c r="F12" s="105">
        <v>0</v>
      </c>
      <c r="G12" s="104">
        <f>SUM('Draw #5'!G12)+F12</f>
        <v>0</v>
      </c>
      <c r="H12" s="109">
        <f t="shared" si="0"/>
        <v>0</v>
      </c>
      <c r="I12" s="110">
        <v>0</v>
      </c>
      <c r="J12" s="109">
        <f>SUM(I12+'Draw #5'!J12)</f>
        <v>0</v>
      </c>
      <c r="K12" s="101" t="str">
        <f t="shared" si="1"/>
        <v/>
      </c>
      <c r="L12" s="9"/>
      <c r="M12" s="9"/>
    </row>
    <row r="13" spans="1:13" ht="14.1" customHeight="1">
      <c r="A13" s="4">
        <f>'SCHEDULE OF VALUE WORKSHEET'!A10</f>
        <v>4</v>
      </c>
      <c r="B13" s="142" t="str">
        <f>'SCHEDULE OF VALUE WORKSHEET'!B10</f>
        <v>Offsites (Transformer)</v>
      </c>
      <c r="C13" s="143"/>
      <c r="D13" s="104">
        <f>SUM('SCHEDULE OF VALUE WORKSHEET'!E10)</f>
        <v>20000</v>
      </c>
      <c r="E13" s="104">
        <f>SUM('Draw #5'!E13:F13)</f>
        <v>0</v>
      </c>
      <c r="F13" s="105">
        <v>0</v>
      </c>
      <c r="G13" s="104">
        <f>SUM('Draw #5'!G13)+F13</f>
        <v>20000</v>
      </c>
      <c r="H13" s="109">
        <f t="shared" si="0"/>
        <v>20000</v>
      </c>
      <c r="I13" s="110">
        <v>0</v>
      </c>
      <c r="J13" s="109">
        <f>SUM(I13+'Draw #5'!J13)</f>
        <v>0</v>
      </c>
      <c r="K13" s="101" t="str">
        <f t="shared" si="1"/>
        <v/>
      </c>
      <c r="L13" s="9"/>
      <c r="M13" s="9"/>
    </row>
    <row r="14" spans="1:13" ht="14.1" customHeight="1">
      <c r="A14" s="4">
        <f>'SCHEDULE OF VALUE WORKSHEET'!A11</f>
        <v>5</v>
      </c>
      <c r="B14" s="142" t="str">
        <f>'SCHEDULE OF VALUE WORKSHEET'!B11</f>
        <v>Plan Check Fees</v>
      </c>
      <c r="C14" s="143"/>
      <c r="D14" s="104">
        <f>SUM('SCHEDULE OF VALUE WORKSHEET'!E11)</f>
        <v>0</v>
      </c>
      <c r="E14" s="104">
        <f>SUM('Draw #5'!E14:F14)</f>
        <v>0</v>
      </c>
      <c r="F14" s="105">
        <v>0</v>
      </c>
      <c r="G14" s="104">
        <f>SUM('Draw #5'!G14)+F14</f>
        <v>0</v>
      </c>
      <c r="H14" s="109">
        <f t="shared" si="0"/>
        <v>0</v>
      </c>
      <c r="I14" s="110">
        <v>0</v>
      </c>
      <c r="J14" s="109">
        <f>SUM(I14+'Draw #5'!J14)</f>
        <v>0</v>
      </c>
      <c r="K14" s="101" t="str">
        <f t="shared" si="1"/>
        <v/>
      </c>
      <c r="L14" s="9"/>
      <c r="M14" s="9"/>
    </row>
    <row r="15" spans="1:13" ht="14.1" customHeight="1">
      <c r="A15" s="4">
        <f>'SCHEDULE OF VALUE WORKSHEET'!A12</f>
        <v>6</v>
      </c>
      <c r="B15" s="142" t="str">
        <f>'SCHEDULE OF VALUE WORKSHEET'!B12</f>
        <v>Permits</v>
      </c>
      <c r="C15" s="143"/>
      <c r="D15" s="104">
        <f>SUM('SCHEDULE OF VALUE WORKSHEET'!E12)</f>
        <v>0</v>
      </c>
      <c r="E15" s="104">
        <f>SUM('Draw #5'!E15:F15)</f>
        <v>0</v>
      </c>
      <c r="F15" s="105">
        <v>0</v>
      </c>
      <c r="G15" s="104">
        <f>SUM('Draw #5'!G15)+F15</f>
        <v>0</v>
      </c>
      <c r="H15" s="109">
        <f t="shared" si="0"/>
        <v>0</v>
      </c>
      <c r="I15" s="110">
        <v>0</v>
      </c>
      <c r="J15" s="109">
        <f>SUM(I15+'Draw #5'!J15)</f>
        <v>0</v>
      </c>
      <c r="K15" s="101" t="str">
        <f t="shared" si="1"/>
        <v/>
      </c>
      <c r="L15" s="9"/>
      <c r="M15" s="9"/>
    </row>
    <row r="16" spans="1:13" ht="14.1" customHeight="1">
      <c r="A16" s="4">
        <f>'SCHEDULE OF VALUE WORKSHEET'!A13</f>
        <v>7</v>
      </c>
      <c r="B16" s="142" t="str">
        <f>'SCHEDULE OF VALUE WORKSHEET'!B13</f>
        <v>Survey</v>
      </c>
      <c r="C16" s="143"/>
      <c r="D16" s="104">
        <f>SUM('SCHEDULE OF VALUE WORKSHEET'!E13)</f>
        <v>0</v>
      </c>
      <c r="E16" s="104">
        <f>SUM('Draw #5'!E16:F16)</f>
        <v>0</v>
      </c>
      <c r="F16" s="105">
        <v>0</v>
      </c>
      <c r="G16" s="104">
        <f>SUM('Draw #5'!G16)+F16</f>
        <v>0</v>
      </c>
      <c r="H16" s="109">
        <f t="shared" si="0"/>
        <v>0</v>
      </c>
      <c r="I16" s="110">
        <v>0</v>
      </c>
      <c r="J16" s="109">
        <f>SUM(I16+'Draw #5'!J16)</f>
        <v>0</v>
      </c>
      <c r="K16" s="101" t="str">
        <f t="shared" si="1"/>
        <v/>
      </c>
      <c r="L16" s="9"/>
      <c r="M16" s="9"/>
    </row>
    <row r="17" spans="1:13" ht="14.1" customHeight="1">
      <c r="A17" s="4">
        <f>'SCHEDULE OF VALUE WORKSHEET'!A14</f>
        <v>8</v>
      </c>
      <c r="B17" s="142" t="str">
        <f>'SCHEDULE OF VALUE WORKSHEET'!B14</f>
        <v>Soils Engineer</v>
      </c>
      <c r="C17" s="143"/>
      <c r="D17" s="104">
        <f>SUM('SCHEDULE OF VALUE WORKSHEET'!E14)</f>
        <v>0</v>
      </c>
      <c r="E17" s="104">
        <f>SUM('Draw #5'!E17:F17)</f>
        <v>0</v>
      </c>
      <c r="F17" s="105">
        <v>0</v>
      </c>
      <c r="G17" s="104">
        <f>SUM('Draw #5'!G17)+F17</f>
        <v>0</v>
      </c>
      <c r="H17" s="109">
        <f t="shared" si="0"/>
        <v>0</v>
      </c>
      <c r="I17" s="110">
        <v>0</v>
      </c>
      <c r="J17" s="109">
        <f>SUM(I17+'Draw #5'!J17)</f>
        <v>0</v>
      </c>
      <c r="K17" s="101" t="str">
        <f t="shared" si="1"/>
        <v/>
      </c>
      <c r="L17" s="9"/>
      <c r="M17" s="9"/>
    </row>
    <row r="18" spans="1:13" ht="14.1" customHeight="1">
      <c r="A18" s="4">
        <f>'SCHEDULE OF VALUE WORKSHEET'!A15</f>
        <v>9</v>
      </c>
      <c r="B18" s="142" t="str">
        <f>'SCHEDULE OF VALUE WORKSHEET'!B15</f>
        <v>Soils Permit + T24</v>
      </c>
      <c r="C18" s="143"/>
      <c r="D18" s="104">
        <f>SUM('SCHEDULE OF VALUE WORKSHEET'!E15)</f>
        <v>2500</v>
      </c>
      <c r="E18" s="104">
        <f>SUM('Draw #5'!E18:F18)</f>
        <v>0</v>
      </c>
      <c r="F18" s="105">
        <v>0</v>
      </c>
      <c r="G18" s="104">
        <f>SUM('Draw #5'!G18)+F18</f>
        <v>2500</v>
      </c>
      <c r="H18" s="109">
        <f t="shared" si="0"/>
        <v>2500</v>
      </c>
      <c r="I18" s="110">
        <v>0</v>
      </c>
      <c r="J18" s="109">
        <f>SUM(I18+'Draw #5'!J18)</f>
        <v>0</v>
      </c>
      <c r="K18" s="101" t="str">
        <f t="shared" si="1"/>
        <v/>
      </c>
      <c r="L18" s="9"/>
      <c r="M18" s="9"/>
    </row>
    <row r="19" spans="1:13" ht="14.1" customHeight="1">
      <c r="A19" s="4">
        <f>'SCHEDULE OF VALUE WORKSHEET'!A16</f>
        <v>10</v>
      </c>
      <c r="B19" s="142" t="str">
        <f>'SCHEDULE OF VALUE WORKSHEET'!B16</f>
        <v>Special Inspections - Deputy</v>
      </c>
      <c r="C19" s="143"/>
      <c r="D19" s="104">
        <f>SUM('SCHEDULE OF VALUE WORKSHEET'!E16)</f>
        <v>15000</v>
      </c>
      <c r="E19" s="104">
        <f>SUM('Draw #5'!E19:F19)</f>
        <v>0</v>
      </c>
      <c r="F19" s="105">
        <v>0</v>
      </c>
      <c r="G19" s="104">
        <f>SUM('Draw #5'!G19)+F19</f>
        <v>15000</v>
      </c>
      <c r="H19" s="109">
        <f t="shared" si="0"/>
        <v>15000</v>
      </c>
      <c r="I19" s="110">
        <v>0</v>
      </c>
      <c r="J19" s="109">
        <f>SUM(I19+'Draw #5'!J19)</f>
        <v>0</v>
      </c>
      <c r="K19" s="101" t="str">
        <f t="shared" si="1"/>
        <v/>
      </c>
      <c r="L19" s="9"/>
      <c r="M19" s="9"/>
    </row>
    <row r="20" spans="1:13" ht="14.1" customHeight="1">
      <c r="A20" s="4">
        <f>'SCHEDULE OF VALUE WORKSHEET'!A17</f>
        <v>11</v>
      </c>
      <c r="B20" s="142" t="str">
        <f>'SCHEDULE OF VALUE WORKSHEET'!B17</f>
        <v>Architect</v>
      </c>
      <c r="C20" s="143"/>
      <c r="D20" s="104">
        <f>SUM('SCHEDULE OF VALUE WORKSHEET'!E17)</f>
        <v>0</v>
      </c>
      <c r="E20" s="104">
        <f>SUM('Draw #5'!E20:F20)</f>
        <v>0</v>
      </c>
      <c r="F20" s="105">
        <v>0</v>
      </c>
      <c r="G20" s="104">
        <f>SUM('Draw #5'!G20)+F20</f>
        <v>0</v>
      </c>
      <c r="H20" s="109">
        <f t="shared" si="0"/>
        <v>0</v>
      </c>
      <c r="I20" s="110">
        <v>0</v>
      </c>
      <c r="J20" s="109">
        <f>SUM(I20+'Draw #5'!J20)</f>
        <v>0</v>
      </c>
      <c r="K20" s="101" t="str">
        <f t="shared" si="1"/>
        <v/>
      </c>
      <c r="L20" s="9"/>
      <c r="M20" s="9"/>
    </row>
    <row r="21" spans="1:13" ht="14.1" customHeight="1">
      <c r="A21" s="4">
        <f>'SCHEDULE OF VALUE WORKSHEET'!A18</f>
        <v>12</v>
      </c>
      <c r="B21" s="142" t="str">
        <f>'SCHEDULE OF VALUE WORKSHEET'!B18</f>
        <v>Structural Engineer</v>
      </c>
      <c r="C21" s="143"/>
      <c r="D21" s="104">
        <f>SUM('SCHEDULE OF VALUE WORKSHEET'!E18)</f>
        <v>0</v>
      </c>
      <c r="E21" s="104">
        <f>SUM('Draw #5'!E21:F21)</f>
        <v>0</v>
      </c>
      <c r="F21" s="105">
        <v>0</v>
      </c>
      <c r="G21" s="104">
        <f>SUM('Draw #5'!G21)+F21</f>
        <v>0</v>
      </c>
      <c r="H21" s="109">
        <f t="shared" si="0"/>
        <v>0</v>
      </c>
      <c r="I21" s="110">
        <v>0</v>
      </c>
      <c r="J21" s="109">
        <f>SUM(I21+'Draw #5'!J21)</f>
        <v>0</v>
      </c>
      <c r="K21" s="101" t="str">
        <f t="shared" si="1"/>
        <v/>
      </c>
      <c r="L21" s="9"/>
      <c r="M21" s="9"/>
    </row>
    <row r="22" spans="1:13" ht="14.1" customHeight="1">
      <c r="A22" s="4">
        <f>'SCHEDULE OF VALUE WORKSHEET'!A19</f>
        <v>13</v>
      </c>
      <c r="B22" s="142" t="str">
        <f>'SCHEDULE OF VALUE WORKSHEET'!B19</f>
        <v>Structural Observation</v>
      </c>
      <c r="C22" s="143"/>
      <c r="D22" s="104">
        <f>SUM('SCHEDULE OF VALUE WORKSHEET'!E19)</f>
        <v>8000</v>
      </c>
      <c r="E22" s="104">
        <f>SUM('Draw #5'!E22:F22)</f>
        <v>0</v>
      </c>
      <c r="F22" s="105">
        <v>0</v>
      </c>
      <c r="G22" s="104">
        <f>SUM('Draw #5'!G22)+F22</f>
        <v>8000</v>
      </c>
      <c r="H22" s="109">
        <f t="shared" si="0"/>
        <v>8000</v>
      </c>
      <c r="I22" s="110">
        <v>0</v>
      </c>
      <c r="J22" s="109">
        <f>SUM(I22+'Draw #5'!J22)</f>
        <v>0</v>
      </c>
      <c r="K22" s="101" t="str">
        <f t="shared" si="1"/>
        <v/>
      </c>
      <c r="L22" s="9"/>
      <c r="M22" s="9"/>
    </row>
    <row r="23" spans="1:13" ht="14.1" customHeight="1">
      <c r="A23" s="4">
        <f>'SCHEDULE OF VALUE WORKSHEET'!A20</f>
        <v>14</v>
      </c>
      <c r="B23" s="142" t="str">
        <f>'SCHEDULE OF VALUE WORKSHEET'!B20</f>
        <v>Civil Engineering</v>
      </c>
      <c r="C23" s="143"/>
      <c r="D23" s="104">
        <f>SUM('SCHEDULE OF VALUE WORKSHEET'!E20)</f>
        <v>0</v>
      </c>
      <c r="E23" s="104">
        <f>SUM('Draw #5'!E23:F23)</f>
        <v>0</v>
      </c>
      <c r="F23" s="105">
        <v>0</v>
      </c>
      <c r="G23" s="104">
        <f>SUM('Draw #5'!G23)+F23</f>
        <v>0</v>
      </c>
      <c r="H23" s="109">
        <f t="shared" si="0"/>
        <v>0</v>
      </c>
      <c r="I23" s="110">
        <v>0</v>
      </c>
      <c r="J23" s="109">
        <f>SUM(I23+'Draw #5'!J23)</f>
        <v>0</v>
      </c>
      <c r="K23" s="101" t="str">
        <f t="shared" si="1"/>
        <v/>
      </c>
      <c r="L23" s="9"/>
      <c r="M23" s="9"/>
    </row>
    <row r="24" spans="1:13" ht="14.1" customHeight="1">
      <c r="A24" s="4">
        <f>'SCHEDULE OF VALUE WORKSHEET'!A21</f>
        <v>15</v>
      </c>
      <c r="B24" s="142" t="str">
        <f>'SCHEDULE OF VALUE WORKSHEET'!B21</f>
        <v>Grading Permit</v>
      </c>
      <c r="C24" s="143"/>
      <c r="D24" s="104">
        <f>SUM('SCHEDULE OF VALUE WORKSHEET'!E21)</f>
        <v>0</v>
      </c>
      <c r="E24" s="104">
        <f>SUM('Draw #5'!E24:F24)</f>
        <v>0</v>
      </c>
      <c r="F24" s="105">
        <v>0</v>
      </c>
      <c r="G24" s="104">
        <f>SUM('Draw #5'!G24)+F24</f>
        <v>0</v>
      </c>
      <c r="H24" s="109">
        <f t="shared" si="0"/>
        <v>0</v>
      </c>
      <c r="I24" s="110">
        <v>0</v>
      </c>
      <c r="J24" s="109">
        <f>SUM(I24+'Draw #5'!J24)</f>
        <v>0</v>
      </c>
      <c r="K24" s="101" t="str">
        <f t="shared" si="1"/>
        <v/>
      </c>
      <c r="L24" s="9"/>
      <c r="M24" s="9"/>
    </row>
    <row r="25" spans="1:13" ht="14.1" customHeight="1">
      <c r="A25" s="4">
        <f>'SCHEDULE OF VALUE WORKSHEET'!A22</f>
        <v>16</v>
      </c>
      <c r="B25" s="142" t="str">
        <f>'SCHEDULE OF VALUE WORKSHEET'!B22</f>
        <v>Landscape Architect/Designer</v>
      </c>
      <c r="C25" s="143"/>
      <c r="D25" s="104">
        <f>SUM('SCHEDULE OF VALUE WORKSHEET'!E22)</f>
        <v>0</v>
      </c>
      <c r="E25" s="104">
        <f>SUM('Draw #5'!E25:F25)</f>
        <v>0</v>
      </c>
      <c r="F25" s="105">
        <v>0</v>
      </c>
      <c r="G25" s="104">
        <f>SUM('Draw #5'!G25)+F25</f>
        <v>0</v>
      </c>
      <c r="H25" s="109">
        <f t="shared" si="0"/>
        <v>0</v>
      </c>
      <c r="I25" s="110">
        <v>0</v>
      </c>
      <c r="J25" s="109">
        <f>SUM(I25+'Draw #5'!J25)</f>
        <v>0</v>
      </c>
      <c r="K25" s="101" t="str">
        <f t="shared" si="1"/>
        <v/>
      </c>
      <c r="L25" s="9"/>
      <c r="M25" s="9"/>
    </row>
    <row r="26" spans="1:13" ht="14.1" customHeight="1">
      <c r="A26" s="4">
        <f>'SCHEDULE OF VALUE WORKSHEET'!A23</f>
        <v>17</v>
      </c>
      <c r="B26" s="142" t="str">
        <f>'SCHEDULE OF VALUE WORKSHEET'!B23</f>
        <v>Driveway Apron Permit</v>
      </c>
      <c r="C26" s="143"/>
      <c r="D26" s="104">
        <f>SUM('SCHEDULE OF VALUE WORKSHEET'!E23)</f>
        <v>2500</v>
      </c>
      <c r="E26" s="104">
        <f>SUM('Draw #5'!E26:F26)</f>
        <v>0</v>
      </c>
      <c r="F26" s="105">
        <v>0</v>
      </c>
      <c r="G26" s="104">
        <f>SUM('Draw #5'!G26)+F26</f>
        <v>2500</v>
      </c>
      <c r="H26" s="109">
        <f t="shared" si="0"/>
        <v>2500</v>
      </c>
      <c r="I26" s="110">
        <v>0</v>
      </c>
      <c r="J26" s="109">
        <f>SUM(I26+'Draw #5'!J26)</f>
        <v>0</v>
      </c>
      <c r="K26" s="101" t="str">
        <f t="shared" si="1"/>
        <v/>
      </c>
      <c r="L26" s="9"/>
      <c r="M26" s="9"/>
    </row>
    <row r="27" spans="1:13" ht="14.1" customHeight="1">
      <c r="A27" s="4">
        <f>'SCHEDULE OF VALUE WORKSHEET'!A24</f>
        <v>18</v>
      </c>
      <c r="B27" s="142" t="str">
        <f>'SCHEDULE OF VALUE WORKSHEET'!B24</f>
        <v>Punch List - Misc.</v>
      </c>
      <c r="C27" s="143"/>
      <c r="D27" s="104">
        <f>SUM('SCHEDULE OF VALUE WORKSHEET'!E24)</f>
        <v>21962.77</v>
      </c>
      <c r="E27" s="104">
        <f>SUM('Draw #5'!E27:F27)</f>
        <v>0</v>
      </c>
      <c r="F27" s="105">
        <v>0</v>
      </c>
      <c r="G27" s="104">
        <f>SUM('Draw #5'!G27)+F27</f>
        <v>21962.77</v>
      </c>
      <c r="H27" s="109">
        <f t="shared" si="0"/>
        <v>21962.77</v>
      </c>
      <c r="I27" s="110">
        <v>0</v>
      </c>
      <c r="J27" s="109">
        <f>SUM(I27+'Draw #5'!J27)</f>
        <v>0</v>
      </c>
      <c r="K27" s="101" t="str">
        <f t="shared" si="1"/>
        <v/>
      </c>
      <c r="L27" s="9"/>
      <c r="M27" s="9"/>
    </row>
    <row r="28" spans="1:13" ht="14.1" customHeight="1">
      <c r="A28" s="4">
        <f>'SCHEDULE OF VALUE WORKSHEET'!A25</f>
        <v>19</v>
      </c>
      <c r="B28" s="142" t="str">
        <f>'SCHEDULE OF VALUE WORKSHEET'!B25</f>
        <v>EBM, Low Voltage, Landscape, Waterproofing CA</v>
      </c>
      <c r="C28" s="143"/>
      <c r="D28" s="104">
        <f>SUM('SCHEDULE OF VALUE WORKSHEET'!E25)</f>
        <v>0</v>
      </c>
      <c r="E28" s="104">
        <f>SUM('Draw #5'!E28:F28)</f>
        <v>0</v>
      </c>
      <c r="F28" s="105">
        <v>0</v>
      </c>
      <c r="G28" s="104">
        <f>SUM('Draw #5'!G28)+F28</f>
        <v>0</v>
      </c>
      <c r="H28" s="109">
        <f t="shared" si="0"/>
        <v>0</v>
      </c>
      <c r="I28" s="110">
        <v>0</v>
      </c>
      <c r="J28" s="109">
        <f>SUM(I28+'Draw #5'!J28)</f>
        <v>0</v>
      </c>
      <c r="K28" s="101" t="str">
        <f t="shared" si="1"/>
        <v/>
      </c>
      <c r="L28" s="9"/>
      <c r="M28" s="9"/>
    </row>
    <row r="29" spans="1:13" ht="14.1" customHeight="1">
      <c r="A29" s="4">
        <f>'SCHEDULE OF VALUE WORKSHEET'!A26</f>
        <v>20</v>
      </c>
      <c r="B29" s="142" t="str">
        <f>'SCHEDULE OF VALUE WORKSHEET'!B26</f>
        <v>Project Accounting/Tax Filing</v>
      </c>
      <c r="C29" s="143"/>
      <c r="D29" s="104">
        <f>SUM('SCHEDULE OF VALUE WORKSHEET'!E26)</f>
        <v>12994.01</v>
      </c>
      <c r="E29" s="104">
        <f>SUM('Draw #5'!E29:F29)</f>
        <v>0</v>
      </c>
      <c r="F29" s="105">
        <v>0</v>
      </c>
      <c r="G29" s="104">
        <f>SUM('Draw #5'!G29)+F29</f>
        <v>12994.01</v>
      </c>
      <c r="H29" s="109">
        <f t="shared" si="0"/>
        <v>12994.01</v>
      </c>
      <c r="I29" s="110">
        <v>0</v>
      </c>
      <c r="J29" s="109">
        <f>SUM(I29+'Draw #5'!J29)</f>
        <v>0</v>
      </c>
      <c r="K29" s="101" t="str">
        <f t="shared" si="1"/>
        <v/>
      </c>
      <c r="L29" s="9"/>
      <c r="M29" s="9"/>
    </row>
    <row r="30" spans="1:13" ht="14.1" customHeight="1">
      <c r="A30" s="4">
        <f>'SCHEDULE OF VALUE WORKSHEET'!A27</f>
        <v>21</v>
      </c>
      <c r="B30" s="142" t="str">
        <f>'SCHEDULE OF VALUE WORKSHEET'!B27</f>
        <v>Legal &amp; Professional Fees</v>
      </c>
      <c r="C30" s="143"/>
      <c r="D30" s="104">
        <f>SUM('SCHEDULE OF VALUE WORKSHEET'!E27)</f>
        <v>873.38999999999942</v>
      </c>
      <c r="E30" s="104">
        <f>SUM('Draw #5'!E30:F30)</f>
        <v>0</v>
      </c>
      <c r="F30" s="105">
        <v>0</v>
      </c>
      <c r="G30" s="104">
        <f>SUM('Draw #5'!G30)+F30</f>
        <v>873.38999999999942</v>
      </c>
      <c r="H30" s="109">
        <f t="shared" si="0"/>
        <v>873.38999999999942</v>
      </c>
      <c r="I30" s="110">
        <v>0</v>
      </c>
      <c r="J30" s="109">
        <f>SUM(I30+'Draw #5'!J30)</f>
        <v>0</v>
      </c>
      <c r="K30" s="101" t="str">
        <f t="shared" si="1"/>
        <v/>
      </c>
      <c r="L30" s="9"/>
      <c r="M30" s="9"/>
    </row>
    <row r="31" spans="1:13" ht="14.1" customHeight="1">
      <c r="A31" s="4">
        <f>'SCHEDULE OF VALUE WORKSHEET'!A28</f>
        <v>22</v>
      </c>
      <c r="B31" s="142" t="str">
        <f>'SCHEDULE OF VALUE WORKSHEET'!B28</f>
        <v>Sewer CCTV and inspection</v>
      </c>
      <c r="C31" s="143"/>
      <c r="D31" s="104">
        <f>SUM('SCHEDULE OF VALUE WORKSHEET'!E28)</f>
        <v>0</v>
      </c>
      <c r="E31" s="104">
        <f>SUM('Draw #5'!E31:F31)</f>
        <v>0</v>
      </c>
      <c r="F31" s="105">
        <v>0</v>
      </c>
      <c r="G31" s="104">
        <f>SUM('Draw #5'!G31)+F31</f>
        <v>0</v>
      </c>
      <c r="H31" s="109">
        <f t="shared" si="0"/>
        <v>0</v>
      </c>
      <c r="I31" s="110">
        <v>0</v>
      </c>
      <c r="J31" s="109">
        <f>SUM(I31+'Draw #5'!J31)</f>
        <v>0</v>
      </c>
      <c r="K31" s="101" t="str">
        <f t="shared" si="1"/>
        <v/>
      </c>
      <c r="L31" s="9"/>
      <c r="M31" s="9"/>
    </row>
    <row r="32" spans="1:13" ht="14.1" customHeight="1">
      <c r="A32" s="4">
        <f>'SCHEDULE OF VALUE WORKSHEET'!A29</f>
        <v>23</v>
      </c>
      <c r="B32" s="142" t="str">
        <f>'SCHEDULE OF VALUE WORKSHEET'!B29</f>
        <v>Environmental Phase I</v>
      </c>
      <c r="C32" s="143"/>
      <c r="D32" s="104">
        <f>SUM('SCHEDULE OF VALUE WORKSHEET'!E29)</f>
        <v>0</v>
      </c>
      <c r="E32" s="104">
        <f>SUM('Draw #5'!E32:F32)</f>
        <v>0</v>
      </c>
      <c r="F32" s="105">
        <v>0</v>
      </c>
      <c r="G32" s="104">
        <f>SUM('Draw #5'!G32)+F32</f>
        <v>0</v>
      </c>
      <c r="H32" s="109">
        <f t="shared" si="0"/>
        <v>0</v>
      </c>
      <c r="I32" s="110">
        <v>0</v>
      </c>
      <c r="J32" s="109">
        <f>SUM(I32+'Draw #5'!J32)</f>
        <v>0</v>
      </c>
      <c r="K32" s="101" t="str">
        <f t="shared" si="1"/>
        <v/>
      </c>
      <c r="L32" s="9"/>
      <c r="M32" s="9"/>
    </row>
    <row r="33" spans="1:13" ht="14.1" customHeight="1">
      <c r="A33" s="4">
        <f>'SCHEDULE OF VALUE WORKSHEET'!A30</f>
        <v>24</v>
      </c>
      <c r="B33" s="142" t="str">
        <f>'SCHEDULE OF VALUE WORKSHEET'!B30</f>
        <v>Dry Utility Consultant</v>
      </c>
      <c r="C33" s="143"/>
      <c r="D33" s="104">
        <f>SUM('SCHEDULE OF VALUE WORKSHEET'!E30)</f>
        <v>0</v>
      </c>
      <c r="E33" s="104">
        <f>SUM('Draw #5'!E33:F33)</f>
        <v>0</v>
      </c>
      <c r="F33" s="105">
        <v>0</v>
      </c>
      <c r="G33" s="104">
        <f>SUM('Draw #5'!G33)+F33</f>
        <v>0</v>
      </c>
      <c r="H33" s="109">
        <f t="shared" si="0"/>
        <v>0</v>
      </c>
      <c r="I33" s="110">
        <v>0</v>
      </c>
      <c r="J33" s="109">
        <f>SUM(I33+'Draw #5'!J33)</f>
        <v>0</v>
      </c>
      <c r="K33" s="101" t="str">
        <f t="shared" si="1"/>
        <v/>
      </c>
      <c r="L33" s="9"/>
      <c r="M33" s="9"/>
    </row>
    <row r="34" spans="1:13" ht="14.1" customHeight="1">
      <c r="A34" s="4">
        <f>'SCHEDULE OF VALUE WORKSHEET'!A31</f>
        <v>25</v>
      </c>
      <c r="B34" s="142" t="str">
        <f>'SCHEDULE OF VALUE WORKSHEET'!B31</f>
        <v>Dry Utility Survey</v>
      </c>
      <c r="C34" s="143"/>
      <c r="D34" s="104">
        <f>SUM('SCHEDULE OF VALUE WORKSHEET'!E31)</f>
        <v>5000</v>
      </c>
      <c r="E34" s="104">
        <f>SUM('Draw #5'!E34:F34)</f>
        <v>0</v>
      </c>
      <c r="F34" s="105">
        <v>0</v>
      </c>
      <c r="G34" s="104">
        <f>SUM('Draw #5'!G34)+F34</f>
        <v>5000</v>
      </c>
      <c r="H34" s="109">
        <f t="shared" si="0"/>
        <v>5000</v>
      </c>
      <c r="I34" s="110">
        <v>0</v>
      </c>
      <c r="J34" s="109">
        <f>SUM(I34+'Draw #5'!J34)</f>
        <v>0</v>
      </c>
      <c r="K34" s="101" t="str">
        <f t="shared" si="1"/>
        <v/>
      </c>
      <c r="L34" s="9"/>
      <c r="M34" s="9"/>
    </row>
    <row r="35" spans="1:13" ht="14.1" customHeight="1">
      <c r="A35" s="4">
        <f>'SCHEDULE OF VALUE WORKSHEET'!A32</f>
        <v>26</v>
      </c>
      <c r="B35" s="142" t="str">
        <f>'SCHEDULE OF VALUE WORKSHEET'!B32</f>
        <v>MEP</v>
      </c>
      <c r="C35" s="143"/>
      <c r="D35" s="104">
        <f>SUM('SCHEDULE OF VALUE WORKSHEET'!E32)</f>
        <v>0</v>
      </c>
      <c r="E35" s="104">
        <f>SUM('Draw #5'!E35:F35)</f>
        <v>0</v>
      </c>
      <c r="F35" s="105">
        <v>0</v>
      </c>
      <c r="G35" s="104">
        <f>SUM('Draw #5'!G35)+F35</f>
        <v>0</v>
      </c>
      <c r="H35" s="109">
        <f t="shared" si="0"/>
        <v>0</v>
      </c>
      <c r="I35" s="110">
        <v>0</v>
      </c>
      <c r="J35" s="109">
        <f>SUM(I35+'Draw #5'!J35)</f>
        <v>0</v>
      </c>
      <c r="K35" s="101" t="str">
        <f t="shared" si="1"/>
        <v/>
      </c>
      <c r="L35" s="9"/>
      <c r="M35" s="9"/>
    </row>
    <row r="36" spans="1:13" ht="14.1" customHeight="1">
      <c r="A36" s="4">
        <f>'SCHEDULE OF VALUE WORKSHEET'!A33</f>
        <v>27</v>
      </c>
      <c r="B36" s="142" t="str">
        <f>'SCHEDULE OF VALUE WORKSHEET'!B33</f>
        <v>Civil Construction Administration</v>
      </c>
      <c r="C36" s="143"/>
      <c r="D36" s="104">
        <f>SUM('SCHEDULE OF VALUE WORKSHEET'!E33)</f>
        <v>5000</v>
      </c>
      <c r="E36" s="104">
        <f>SUM('Draw #5'!E36:F36)</f>
        <v>0</v>
      </c>
      <c r="F36" s="105">
        <v>0</v>
      </c>
      <c r="G36" s="104">
        <f>SUM('Draw #5'!G36)+F36</f>
        <v>5000</v>
      </c>
      <c r="H36" s="109">
        <f t="shared" si="0"/>
        <v>5000</v>
      </c>
      <c r="I36" s="110">
        <v>0</v>
      </c>
      <c r="J36" s="109">
        <f>SUM(I36+'Draw #5'!J36)</f>
        <v>0</v>
      </c>
      <c r="K36" s="101" t="str">
        <f t="shared" si="1"/>
        <v/>
      </c>
      <c r="L36" s="9"/>
      <c r="M36" s="9"/>
    </row>
    <row r="37" spans="1:13" ht="14.1" customHeight="1">
      <c r="A37" s="4">
        <f>'SCHEDULE OF VALUE WORKSHEET'!A34</f>
        <v>28</v>
      </c>
      <c r="B37" s="142" t="str">
        <f>'SCHEDULE OF VALUE WORKSHEET'!B34</f>
        <v>Permit Clearances &amp; Agency Reviews</v>
      </c>
      <c r="C37" s="143"/>
      <c r="D37" s="104">
        <f>SUM('SCHEDULE OF VALUE WORKSHEET'!E34)</f>
        <v>0</v>
      </c>
      <c r="E37" s="104">
        <f>SUM('Draw #5'!E37:F37)</f>
        <v>0</v>
      </c>
      <c r="F37" s="105">
        <v>0</v>
      </c>
      <c r="G37" s="104">
        <f>SUM('Draw #5'!G37)+F37</f>
        <v>0</v>
      </c>
      <c r="H37" s="109">
        <f t="shared" si="0"/>
        <v>0</v>
      </c>
      <c r="I37" s="110">
        <v>0</v>
      </c>
      <c r="J37" s="109">
        <f>SUM(I37+'Draw #5'!J37)</f>
        <v>0</v>
      </c>
      <c r="K37" s="101" t="str">
        <f t="shared" si="1"/>
        <v/>
      </c>
      <c r="L37" s="9"/>
      <c r="M37" s="9"/>
    </row>
    <row r="38" spans="1:13" ht="14.1" customHeight="1">
      <c r="A38" s="4">
        <f>'SCHEDULE OF VALUE WORKSHEET'!A35</f>
        <v>29</v>
      </c>
      <c r="B38" s="142" t="str">
        <f>'SCHEDULE OF VALUE WORKSHEET'!B35</f>
        <v>Demo Permit Fees</v>
      </c>
      <c r="C38" s="143"/>
      <c r="D38" s="104">
        <f>SUM('SCHEDULE OF VALUE WORKSHEET'!E35)</f>
        <v>500</v>
      </c>
      <c r="E38" s="104">
        <f>SUM('Draw #5'!E38:F38)</f>
        <v>0</v>
      </c>
      <c r="F38" s="105">
        <v>0</v>
      </c>
      <c r="G38" s="104">
        <f>SUM('Draw #5'!G38)+F38</f>
        <v>500</v>
      </c>
      <c r="H38" s="109">
        <f t="shared" si="0"/>
        <v>500</v>
      </c>
      <c r="I38" s="110">
        <v>0</v>
      </c>
      <c r="J38" s="109">
        <f>SUM(I38+'Draw #5'!J38)</f>
        <v>0</v>
      </c>
      <c r="K38" s="101" t="str">
        <f t="shared" si="1"/>
        <v/>
      </c>
      <c r="L38" s="9"/>
      <c r="M38" s="9"/>
    </row>
    <row r="39" spans="1:13" ht="14.1" customHeight="1">
      <c r="A39" s="4">
        <f>'SCHEDULE OF VALUE WORKSHEET'!A36</f>
        <v>30</v>
      </c>
      <c r="B39" s="142" t="str">
        <f>'SCHEDULE OF VALUE WORKSHEET'!B36</f>
        <v>MEP Fees</v>
      </c>
      <c r="C39" s="143"/>
      <c r="D39" s="104">
        <f>SUM('SCHEDULE OF VALUE WORKSHEET'!E36)</f>
        <v>0</v>
      </c>
      <c r="E39" s="104">
        <f>SUM('Draw #5'!E39:F39)</f>
        <v>0</v>
      </c>
      <c r="F39" s="105">
        <v>0</v>
      </c>
      <c r="G39" s="104">
        <f>SUM('Draw #5'!G39)+F39</f>
        <v>0</v>
      </c>
      <c r="H39" s="109">
        <f t="shared" si="0"/>
        <v>0</v>
      </c>
      <c r="I39" s="110">
        <v>0</v>
      </c>
      <c r="J39" s="109">
        <f>SUM(I39+'Draw #5'!J39)</f>
        <v>0</v>
      </c>
      <c r="K39" s="101" t="str">
        <f t="shared" si="1"/>
        <v/>
      </c>
      <c r="L39" s="9"/>
      <c r="M39" s="9"/>
    </row>
    <row r="40" spans="1:13" ht="14.1" customHeight="1">
      <c r="A40" s="4">
        <f>'SCHEDULE OF VALUE WORKSHEET'!A37</f>
        <v>31</v>
      </c>
      <c r="B40" s="142" t="str">
        <f>'SCHEDULE OF VALUE WORKSHEET'!B37</f>
        <v>Agency Signoffs</v>
      </c>
      <c r="C40" s="143"/>
      <c r="D40" s="104">
        <f>SUM('SCHEDULE OF VALUE WORKSHEET'!E37)</f>
        <v>0</v>
      </c>
      <c r="E40" s="104">
        <f>SUM('Draw #5'!E40:F40)</f>
        <v>0</v>
      </c>
      <c r="F40" s="105">
        <v>0</v>
      </c>
      <c r="G40" s="104">
        <f>SUM('Draw #5'!G40)+F40</f>
        <v>0</v>
      </c>
      <c r="H40" s="109">
        <f t="shared" si="0"/>
        <v>0</v>
      </c>
      <c r="I40" s="110">
        <v>0</v>
      </c>
      <c r="J40" s="109">
        <f>SUM(I40+'Draw #5'!J40)</f>
        <v>0</v>
      </c>
      <c r="K40" s="101" t="str">
        <f t="shared" si="1"/>
        <v/>
      </c>
      <c r="L40" s="9"/>
      <c r="M40" s="9"/>
    </row>
    <row r="41" spans="1:13" ht="14.1" customHeight="1">
      <c r="A41" s="4">
        <f>'SCHEDULE OF VALUE WORKSHEET'!A38</f>
        <v>32</v>
      </c>
      <c r="B41" s="142" t="str">
        <f>'SCHEDULE OF VALUE WORKSHEET'!B38</f>
        <v>Specifications Writer Consultant</v>
      </c>
      <c r="C41" s="143"/>
      <c r="D41" s="104">
        <f>SUM('SCHEDULE OF VALUE WORKSHEET'!E38)</f>
        <v>2000</v>
      </c>
      <c r="E41" s="104">
        <f>SUM('Draw #5'!E41:F41)</f>
        <v>0</v>
      </c>
      <c r="F41" s="105">
        <v>0</v>
      </c>
      <c r="G41" s="104">
        <f>SUM('Draw #5'!G41)+F41</f>
        <v>2000</v>
      </c>
      <c r="H41" s="109">
        <f t="shared" si="0"/>
        <v>2000</v>
      </c>
      <c r="I41" s="110">
        <v>0</v>
      </c>
      <c r="J41" s="109">
        <f>SUM(I41+'Draw #5'!J41)</f>
        <v>0</v>
      </c>
      <c r="K41" s="101" t="str">
        <f t="shared" si="1"/>
        <v/>
      </c>
      <c r="L41" s="9"/>
      <c r="M41" s="9"/>
    </row>
    <row r="42" spans="1:13" ht="14.1" customHeight="1">
      <c r="A42" s="4">
        <f>'SCHEDULE OF VALUE WORKSHEET'!A39</f>
        <v>33</v>
      </c>
      <c r="B42" s="142" t="str">
        <f>'SCHEDULE OF VALUE WORKSHEET'!B39</f>
        <v>Construction Consultant</v>
      </c>
      <c r="C42" s="143"/>
      <c r="D42" s="104">
        <f>SUM('SCHEDULE OF VALUE WORKSHEET'!E39)</f>
        <v>0</v>
      </c>
      <c r="E42" s="104">
        <f>SUM('Draw #5'!E42:F42)</f>
        <v>0</v>
      </c>
      <c r="F42" s="105">
        <v>0</v>
      </c>
      <c r="G42" s="104">
        <f>SUM('Draw #5'!G42)+F42</f>
        <v>0</v>
      </c>
      <c r="H42" s="109">
        <f t="shared" si="0"/>
        <v>0</v>
      </c>
      <c r="I42" s="110">
        <v>0</v>
      </c>
      <c r="J42" s="109">
        <f>SUM(I42+'Draw #5'!J42)</f>
        <v>0</v>
      </c>
      <c r="K42" s="101" t="str">
        <f t="shared" si="1"/>
        <v/>
      </c>
      <c r="L42" s="9"/>
      <c r="M42" s="9"/>
    </row>
    <row r="43" spans="1:13" ht="14.1" customHeight="1">
      <c r="A43" s="4">
        <f>'SCHEDULE OF VALUE WORKSHEET'!A40</f>
        <v>34</v>
      </c>
      <c r="B43" s="142" t="str">
        <f>'SCHEDULE OF VALUE WORKSHEET'!B40</f>
        <v>Low Voltage Consultant</v>
      </c>
      <c r="C43" s="143"/>
      <c r="D43" s="104">
        <f>SUM('SCHEDULE OF VALUE WORKSHEET'!E40)</f>
        <v>15524</v>
      </c>
      <c r="E43" s="104">
        <f>SUM('Draw #5'!E43:F43)</f>
        <v>0</v>
      </c>
      <c r="F43" s="105">
        <v>0</v>
      </c>
      <c r="G43" s="104">
        <f>SUM('Draw #5'!G43)+F43</f>
        <v>15524</v>
      </c>
      <c r="H43" s="109">
        <f t="shared" si="0"/>
        <v>15524</v>
      </c>
      <c r="I43" s="110">
        <v>0</v>
      </c>
      <c r="J43" s="109">
        <f>SUM(I43+'Draw #5'!J43)</f>
        <v>0</v>
      </c>
      <c r="K43" s="101" t="str">
        <f t="shared" si="1"/>
        <v/>
      </c>
      <c r="L43" s="9"/>
      <c r="M43" s="9"/>
    </row>
    <row r="44" spans="1:13" ht="14.1" customHeight="1">
      <c r="A44" s="4">
        <f>'SCHEDULE OF VALUE WORKSHEET'!A41</f>
        <v>35</v>
      </c>
      <c r="B44" s="142" t="str">
        <f>'SCHEDULE OF VALUE WORKSHEET'!B41</f>
        <v>Photovoltaic Consultant</v>
      </c>
      <c r="C44" s="143"/>
      <c r="D44" s="104">
        <f>SUM('SCHEDULE OF VALUE WORKSHEET'!E41)</f>
        <v>5000</v>
      </c>
      <c r="E44" s="104">
        <f>SUM('Draw #5'!E44:F44)</f>
        <v>0</v>
      </c>
      <c r="F44" s="105">
        <v>0</v>
      </c>
      <c r="G44" s="104">
        <f>SUM('Draw #5'!G44)+F44</f>
        <v>5000</v>
      </c>
      <c r="H44" s="109">
        <f t="shared" si="0"/>
        <v>5000</v>
      </c>
      <c r="I44" s="110">
        <v>0</v>
      </c>
      <c r="J44" s="109">
        <f>SUM(I44+'Draw #5'!J44)</f>
        <v>0</v>
      </c>
      <c r="K44" s="101" t="str">
        <f t="shared" si="1"/>
        <v/>
      </c>
      <c r="L44" s="9"/>
      <c r="M44" s="9"/>
    </row>
    <row r="45" spans="1:13" ht="14.1" customHeight="1">
      <c r="A45" s="4">
        <f>'SCHEDULE OF VALUE WORKSHEET'!A42</f>
        <v>36</v>
      </c>
      <c r="B45" s="142" t="str">
        <f>'SCHEDULE OF VALUE WORKSHEET'!B42</f>
        <v>Construction Management / Observation (OO)</v>
      </c>
      <c r="C45" s="143"/>
      <c r="D45" s="104">
        <f>SUM('SCHEDULE OF VALUE WORKSHEET'!E42)</f>
        <v>49427.9</v>
      </c>
      <c r="E45" s="104">
        <f>SUM('Draw #5'!E45:F45)</f>
        <v>0</v>
      </c>
      <c r="F45" s="105">
        <v>0</v>
      </c>
      <c r="G45" s="104">
        <f>SUM('Draw #5'!G45)+F45</f>
        <v>49427.9</v>
      </c>
      <c r="H45" s="109">
        <f t="shared" si="0"/>
        <v>49427.9</v>
      </c>
      <c r="I45" s="110">
        <v>0</v>
      </c>
      <c r="J45" s="109">
        <f>SUM(I45+'Draw #5'!J45)</f>
        <v>0</v>
      </c>
      <c r="K45" s="101" t="str">
        <f t="shared" si="1"/>
        <v/>
      </c>
      <c r="L45" s="9"/>
      <c r="M45" s="9"/>
    </row>
    <row r="46" spans="1:13" ht="14.1" customHeight="1">
      <c r="A46" s="4" t="e">
        <f>'SCHEDULE OF VALUE WORKSHEET'!#REF!</f>
        <v>#REF!</v>
      </c>
      <c r="B46" s="142" t="e">
        <f>'SCHEDULE OF VALUE WORKSHEET'!#REF!</f>
        <v>#REF!</v>
      </c>
      <c r="C46" s="143"/>
      <c r="D46" s="104" t="e">
        <f>SUM('SCHEDULE OF VALUE WORKSHEET'!#REF!)</f>
        <v>#REF!</v>
      </c>
      <c r="E46" s="104">
        <f>SUM('Draw #5'!E46:F46)</f>
        <v>0</v>
      </c>
      <c r="F46" s="105">
        <v>0</v>
      </c>
      <c r="G46" s="104" t="e">
        <f>SUM('Draw #5'!G46)+F46</f>
        <v>#REF!</v>
      </c>
      <c r="H46" s="109" t="e">
        <f t="shared" si="0"/>
        <v>#REF!</v>
      </c>
      <c r="I46" s="110">
        <v>0</v>
      </c>
      <c r="J46" s="109">
        <f>SUM(I46+'Draw #5'!J46)</f>
        <v>0</v>
      </c>
      <c r="K46" s="101" t="str">
        <f t="shared" si="1"/>
        <v/>
      </c>
      <c r="L46" s="9"/>
      <c r="M46" s="9"/>
    </row>
    <row r="47" spans="1:13" ht="14.1" customHeight="1">
      <c r="A47" s="4">
        <f>'SCHEDULE OF VALUE WORKSHEET'!A43</f>
        <v>37</v>
      </c>
      <c r="B47" s="142" t="str">
        <f>'SCHEDULE OF VALUE WORKSHEET'!B43</f>
        <v>CMFA Startup Fee</v>
      </c>
      <c r="C47" s="143"/>
      <c r="D47" s="104">
        <f>SUM('SCHEDULE OF VALUE WORKSHEET'!E43)</f>
        <v>22800</v>
      </c>
      <c r="E47" s="104">
        <f>SUM('Draw #5'!E47:F47)</f>
        <v>0</v>
      </c>
      <c r="F47" s="105">
        <v>0</v>
      </c>
      <c r="G47" s="104">
        <f>SUM('Draw #5'!G47)+F47</f>
        <v>22800</v>
      </c>
      <c r="H47" s="109">
        <f t="shared" si="0"/>
        <v>22800</v>
      </c>
      <c r="I47" s="110">
        <v>0</v>
      </c>
      <c r="J47" s="109">
        <f>SUM(I47+'Draw #5'!J47)</f>
        <v>0</v>
      </c>
      <c r="K47" s="101" t="str">
        <f t="shared" si="1"/>
        <v/>
      </c>
      <c r="L47" s="9"/>
      <c r="M47" s="9"/>
    </row>
    <row r="48" spans="1:13" ht="14.1" customHeight="1">
      <c r="A48" s="4">
        <f>'SCHEDULE OF VALUE WORKSHEET'!A44</f>
        <v>38</v>
      </c>
      <c r="B48" s="142" t="str">
        <f>'SCHEDULE OF VALUE WORKSHEET'!B44</f>
        <v>Non-Profit Start Up Fee</v>
      </c>
      <c r="C48" s="143"/>
      <c r="D48" s="104">
        <f>SUM('SCHEDULE OF VALUE WORKSHEET'!E44)</f>
        <v>25000</v>
      </c>
      <c r="E48" s="104">
        <f>SUM('Draw #5'!E48:F48)</f>
        <v>0</v>
      </c>
      <c r="F48" s="105">
        <v>0</v>
      </c>
      <c r="G48" s="104">
        <f>SUM('Draw #5'!G48)+F48</f>
        <v>25000</v>
      </c>
      <c r="H48" s="109">
        <f t="shared" si="0"/>
        <v>25000</v>
      </c>
      <c r="I48" s="110">
        <v>0</v>
      </c>
      <c r="J48" s="109">
        <f>SUM(I48+'Draw #5'!J48)</f>
        <v>0</v>
      </c>
      <c r="K48" s="101" t="str">
        <f t="shared" si="1"/>
        <v/>
      </c>
      <c r="L48" s="9"/>
      <c r="M48" s="9"/>
    </row>
    <row r="49" spans="1:13" ht="14.1" customHeight="1">
      <c r="A49" s="4">
        <f>'SCHEDULE OF VALUE WORKSHEET'!A45</f>
        <v>39</v>
      </c>
      <c r="B49" s="142" t="str">
        <f>'SCHEDULE OF VALUE WORKSHEET'!B45</f>
        <v>CMFA Construction Fee</v>
      </c>
      <c r="C49" s="143"/>
      <c r="D49" s="104">
        <f>SUM('SCHEDULE OF VALUE WORKSHEET'!E45)</f>
        <v>12000</v>
      </c>
      <c r="E49" s="104">
        <f>SUM('Draw #5'!E49:F49)</f>
        <v>0</v>
      </c>
      <c r="F49" s="105">
        <v>0</v>
      </c>
      <c r="G49" s="104">
        <f>SUM('Draw #5'!G49)+F49</f>
        <v>12000</v>
      </c>
      <c r="H49" s="109">
        <f t="shared" si="0"/>
        <v>12000</v>
      </c>
      <c r="I49" s="110">
        <v>0</v>
      </c>
      <c r="J49" s="109">
        <f>SUM(I49+'Draw #5'!J49)</f>
        <v>0</v>
      </c>
      <c r="K49" s="101" t="str">
        <f t="shared" si="1"/>
        <v/>
      </c>
      <c r="L49" s="9"/>
      <c r="M49" s="9"/>
    </row>
    <row r="50" spans="1:13" ht="14.1" customHeight="1">
      <c r="A50" s="4">
        <f>'SCHEDULE OF VALUE WORKSHEET'!A46</f>
        <v>40</v>
      </c>
      <c r="B50" s="142" t="str">
        <f>'SCHEDULE OF VALUE WORKSHEET'!B46</f>
        <v>Non-Profit Construction Fee</v>
      </c>
      <c r="C50" s="143"/>
      <c r="D50" s="104">
        <f>SUM('SCHEDULE OF VALUE WORKSHEET'!E46)</f>
        <v>10000</v>
      </c>
      <c r="E50" s="104">
        <f>SUM('Draw #5'!E50:F50)</f>
        <v>0</v>
      </c>
      <c r="F50" s="105">
        <v>0</v>
      </c>
      <c r="G50" s="104">
        <f>SUM('Draw #5'!G50)+F50</f>
        <v>10000</v>
      </c>
      <c r="H50" s="109">
        <f t="shared" si="0"/>
        <v>10000</v>
      </c>
      <c r="I50" s="110">
        <v>0</v>
      </c>
      <c r="J50" s="109">
        <f>SUM(I50+'Draw #5'!J50)</f>
        <v>0</v>
      </c>
      <c r="K50" s="101" t="str">
        <f t="shared" si="1"/>
        <v/>
      </c>
      <c r="L50" s="9"/>
      <c r="M50" s="9"/>
    </row>
    <row r="51" spans="1:13" ht="14.1" customHeight="1">
      <c r="A51" s="4">
        <f>'SCHEDULE OF VALUE WORKSHEET'!A47</f>
        <v>41</v>
      </c>
      <c r="B51" s="142" t="str">
        <f>'SCHEDULE OF VALUE WORKSHEET'!B47</f>
        <v>WTE Legal Costs for CMFA &amp; Non-Profit Partner</v>
      </c>
      <c r="C51" s="143"/>
      <c r="D51" s="104">
        <f>SUM('SCHEDULE OF VALUE WORKSHEET'!E47)</f>
        <v>20000</v>
      </c>
      <c r="E51" s="104">
        <f>SUM('Draw #5'!E51:F51)</f>
        <v>0</v>
      </c>
      <c r="F51" s="105">
        <v>0</v>
      </c>
      <c r="G51" s="104">
        <f>SUM('Draw #5'!G51)+F51</f>
        <v>20000</v>
      </c>
      <c r="H51" s="109">
        <f t="shared" si="0"/>
        <v>20000</v>
      </c>
      <c r="I51" s="110">
        <v>0</v>
      </c>
      <c r="J51" s="109">
        <f>SUM(I51+'Draw #5'!J51)</f>
        <v>0</v>
      </c>
      <c r="K51" s="101" t="str">
        <f t="shared" si="1"/>
        <v/>
      </c>
      <c r="L51" s="9"/>
      <c r="M51" s="9"/>
    </row>
    <row r="52" spans="1:13" ht="14.1" customHeight="1">
      <c r="A52" s="4" t="e">
        <f>'SCHEDULE OF VALUE WORKSHEET'!#REF!</f>
        <v>#REF!</v>
      </c>
      <c r="B52" s="142" t="e">
        <f>'SCHEDULE OF VALUE WORKSHEET'!#REF!</f>
        <v>#REF!</v>
      </c>
      <c r="C52" s="143"/>
      <c r="D52" s="104" t="e">
        <f>SUM('SCHEDULE OF VALUE WORKSHEET'!#REF!)</f>
        <v>#REF!</v>
      </c>
      <c r="E52" s="104">
        <f>SUM('Draw #5'!E52:F52)</f>
        <v>0</v>
      </c>
      <c r="F52" s="105">
        <v>0</v>
      </c>
      <c r="G52" s="104" t="e">
        <f>SUM('Draw #5'!G52)+F52</f>
        <v>#REF!</v>
      </c>
      <c r="H52" s="109" t="e">
        <f t="shared" si="0"/>
        <v>#REF!</v>
      </c>
      <c r="I52" s="110">
        <v>0</v>
      </c>
      <c r="J52" s="109">
        <f>SUM(I52+'Draw #5'!J52)</f>
        <v>0</v>
      </c>
      <c r="K52" s="101" t="str">
        <f t="shared" si="1"/>
        <v/>
      </c>
      <c r="L52" s="9"/>
      <c r="M52" s="9"/>
    </row>
    <row r="53" spans="1:13" ht="14.1" customHeight="1">
      <c r="A53" s="4">
        <f>'SCHEDULE OF VALUE WORKSHEET'!A49</f>
        <v>43</v>
      </c>
      <c r="B53" s="142" t="str">
        <f>'SCHEDULE OF VALUE WORKSHEET'!B49</f>
        <v>GENERAL CONDITIONS</v>
      </c>
      <c r="C53" s="143"/>
      <c r="D53" s="104">
        <f>SUM('SCHEDULE OF VALUE WORKSHEET'!E49)</f>
        <v>362115.24</v>
      </c>
      <c r="E53" s="104">
        <f>SUM('Draw #5'!E53:F53)</f>
        <v>0</v>
      </c>
      <c r="F53" s="105">
        <v>0</v>
      </c>
      <c r="G53" s="104">
        <f>SUM('Draw #5'!G53)+F53</f>
        <v>362115.24</v>
      </c>
      <c r="H53" s="109">
        <f t="shared" si="0"/>
        <v>362115.24</v>
      </c>
      <c r="I53" s="110">
        <v>0</v>
      </c>
      <c r="J53" s="109">
        <f>SUM(I53+'Draw #5'!J53)</f>
        <v>0</v>
      </c>
      <c r="K53" s="101" t="str">
        <f t="shared" si="1"/>
        <v/>
      </c>
      <c r="L53" s="9"/>
      <c r="M53" s="9"/>
    </row>
    <row r="54" spans="1:13" ht="14.1" customHeight="1">
      <c r="A54" s="4">
        <f>'SCHEDULE OF VALUE WORKSHEET'!A50</f>
        <v>44</v>
      </c>
      <c r="B54" s="142" t="str">
        <f>'SCHEDULE OF VALUE WORKSHEET'!B50</f>
        <v>GENERAL REQUIREMENT</v>
      </c>
      <c r="C54" s="143"/>
      <c r="D54" s="104">
        <f>SUM('SCHEDULE OF VALUE WORKSHEET'!E50)</f>
        <v>124657.88</v>
      </c>
      <c r="E54" s="104">
        <f>SUM('Draw #5'!E54:F54)</f>
        <v>0</v>
      </c>
      <c r="F54" s="105">
        <v>0</v>
      </c>
      <c r="G54" s="104">
        <f>SUM('Draw #5'!G54)+F54</f>
        <v>124657.88</v>
      </c>
      <c r="H54" s="109">
        <f t="shared" si="0"/>
        <v>124657.88</v>
      </c>
      <c r="I54" s="110">
        <v>0</v>
      </c>
      <c r="J54" s="109">
        <f>SUM(I54+'Draw #5'!J54)</f>
        <v>0</v>
      </c>
      <c r="K54" s="101" t="str">
        <f t="shared" si="1"/>
        <v/>
      </c>
      <c r="L54" s="9"/>
      <c r="M54" s="9"/>
    </row>
    <row r="55" spans="1:13" ht="14.1" customHeight="1">
      <c r="A55" s="4">
        <f>'SCHEDULE OF VALUE WORKSHEET'!A51</f>
        <v>45</v>
      </c>
      <c r="B55" s="142" t="str">
        <f>'SCHEDULE OF VALUE WORKSHEET'!B51</f>
        <v>SITE WORK</v>
      </c>
      <c r="C55" s="143"/>
      <c r="D55" s="104">
        <f>SUM('SCHEDULE OF VALUE WORKSHEET'!E51)</f>
        <v>139049.51</v>
      </c>
      <c r="E55" s="104">
        <f>SUM('Draw #5'!E55:F55)</f>
        <v>0</v>
      </c>
      <c r="F55" s="105">
        <v>0</v>
      </c>
      <c r="G55" s="104">
        <f>SUM('Draw #5'!G55)+F55</f>
        <v>139049.51</v>
      </c>
      <c r="H55" s="109">
        <f t="shared" si="0"/>
        <v>139049.51</v>
      </c>
      <c r="I55" s="110">
        <v>0</v>
      </c>
      <c r="J55" s="109">
        <f>SUM(I55+'Draw #5'!J55)</f>
        <v>0</v>
      </c>
      <c r="K55" s="101" t="str">
        <f t="shared" si="1"/>
        <v/>
      </c>
      <c r="L55" s="9"/>
      <c r="M55" s="9"/>
    </row>
    <row r="56" spans="1:13" ht="14.1" customHeight="1">
      <c r="A56" s="4">
        <f>'SCHEDULE OF VALUE WORKSHEET'!A52</f>
        <v>46</v>
      </c>
      <c r="B56" s="142" t="str">
        <f>'SCHEDULE OF VALUE WORKSHEET'!B52</f>
        <v>CONCRETE</v>
      </c>
      <c r="C56" s="143"/>
      <c r="D56" s="104">
        <f>SUM('SCHEDULE OF VALUE WORKSHEET'!E52)</f>
        <v>253182</v>
      </c>
      <c r="E56" s="104">
        <f>SUM('Draw #5'!E56:F56)</f>
        <v>0</v>
      </c>
      <c r="F56" s="105">
        <v>0</v>
      </c>
      <c r="G56" s="104">
        <f>SUM('Draw #5'!G56)+F56</f>
        <v>253182</v>
      </c>
      <c r="H56" s="109">
        <f t="shared" si="0"/>
        <v>253182</v>
      </c>
      <c r="I56" s="110">
        <v>0</v>
      </c>
      <c r="J56" s="109">
        <f>SUM(I56+'Draw #5'!J56)</f>
        <v>0</v>
      </c>
      <c r="K56" s="101" t="str">
        <f t="shared" si="1"/>
        <v/>
      </c>
      <c r="L56" s="9"/>
      <c r="M56" s="9"/>
    </row>
    <row r="57" spans="1:13" ht="14.1" customHeight="1">
      <c r="A57" s="4">
        <f>'SCHEDULE OF VALUE WORKSHEET'!A53</f>
        <v>47</v>
      </c>
      <c r="B57" s="142" t="str">
        <f>'SCHEDULE OF VALUE WORKSHEET'!B53</f>
        <v>MASONRY</v>
      </c>
      <c r="C57" s="143"/>
      <c r="D57" s="104">
        <f>SUM('SCHEDULE OF VALUE WORKSHEET'!E53)</f>
        <v>3562.64</v>
      </c>
      <c r="E57" s="104">
        <f>SUM('Draw #5'!E57:F57)</f>
        <v>0</v>
      </c>
      <c r="F57" s="105">
        <v>0</v>
      </c>
      <c r="G57" s="104">
        <f>SUM('Draw #5'!G57)+F57</f>
        <v>3562.64</v>
      </c>
      <c r="H57" s="109">
        <f t="shared" si="0"/>
        <v>3562.64</v>
      </c>
      <c r="I57" s="110">
        <v>0</v>
      </c>
      <c r="J57" s="109">
        <f>SUM(I57+'Draw #5'!J57)</f>
        <v>0</v>
      </c>
      <c r="K57" s="101" t="str">
        <f t="shared" si="1"/>
        <v/>
      </c>
      <c r="L57" s="9"/>
      <c r="M57" s="9"/>
    </row>
    <row r="58" spans="1:13" ht="14.1" customHeight="1">
      <c r="A58" s="4">
        <f>'SCHEDULE OF VALUE WORKSHEET'!A54</f>
        <v>48</v>
      </c>
      <c r="B58" s="142" t="str">
        <f>'SCHEDULE OF VALUE WORKSHEET'!B54</f>
        <v>METALS</v>
      </c>
      <c r="C58" s="143"/>
      <c r="D58" s="104">
        <f>SUM('SCHEDULE OF VALUE WORKSHEET'!E54)</f>
        <v>324100</v>
      </c>
      <c r="E58" s="104">
        <f>SUM('Draw #5'!E58:F58)</f>
        <v>0</v>
      </c>
      <c r="F58" s="105">
        <v>0</v>
      </c>
      <c r="G58" s="104">
        <f>SUM('Draw #5'!G58)+F58</f>
        <v>324100</v>
      </c>
      <c r="H58" s="109">
        <f t="shared" si="0"/>
        <v>324100</v>
      </c>
      <c r="I58" s="110">
        <v>0</v>
      </c>
      <c r="J58" s="109">
        <f>SUM(I58+'Draw #5'!J58)</f>
        <v>0</v>
      </c>
      <c r="K58" s="101" t="str">
        <f t="shared" si="1"/>
        <v/>
      </c>
      <c r="L58" s="9"/>
      <c r="M58" s="9"/>
    </row>
    <row r="59" spans="1:13" ht="14.1" customHeight="1">
      <c r="A59" s="4">
        <f>'SCHEDULE OF VALUE WORKSHEET'!A55</f>
        <v>49</v>
      </c>
      <c r="B59" s="142" t="str">
        <f>'SCHEDULE OF VALUE WORKSHEET'!B55</f>
        <v>FRAMING</v>
      </c>
      <c r="C59" s="143"/>
      <c r="D59" s="104">
        <f>SUM('SCHEDULE OF VALUE WORKSHEET'!E55)</f>
        <v>818554</v>
      </c>
      <c r="E59" s="104">
        <f>SUM('Draw #5'!E59:F59)</f>
        <v>0</v>
      </c>
      <c r="F59" s="105">
        <v>0</v>
      </c>
      <c r="G59" s="104">
        <f>SUM('Draw #5'!G59)+F59</f>
        <v>818554</v>
      </c>
      <c r="H59" s="109">
        <f t="shared" si="0"/>
        <v>818554</v>
      </c>
      <c r="I59" s="110">
        <v>0</v>
      </c>
      <c r="J59" s="109">
        <f>SUM(I59+'Draw #5'!J59)</f>
        <v>0</v>
      </c>
      <c r="K59" s="101" t="str">
        <f t="shared" si="1"/>
        <v/>
      </c>
      <c r="L59" s="9"/>
      <c r="M59" s="9"/>
    </row>
    <row r="60" spans="1:13" ht="14.1" customHeight="1">
      <c r="A60" s="4">
        <f>'SCHEDULE OF VALUE WORKSHEET'!A56</f>
        <v>50</v>
      </c>
      <c r="B60" s="142" t="str">
        <f>'SCHEDULE OF VALUE WORKSHEET'!B56</f>
        <v>COUNTERTOPS</v>
      </c>
      <c r="C60" s="143"/>
      <c r="D60" s="104">
        <f>SUM('SCHEDULE OF VALUE WORKSHEET'!E56)</f>
        <v>56930</v>
      </c>
      <c r="E60" s="104">
        <f>SUM('Draw #5'!E60:F60)</f>
        <v>0</v>
      </c>
      <c r="F60" s="105">
        <v>0</v>
      </c>
      <c r="G60" s="104">
        <f>SUM('Draw #5'!G60)+F60</f>
        <v>56930</v>
      </c>
      <c r="H60" s="109">
        <f t="shared" si="0"/>
        <v>56930</v>
      </c>
      <c r="I60" s="110">
        <v>0</v>
      </c>
      <c r="J60" s="109">
        <f>SUM(I60+'Draw #5'!J60)</f>
        <v>0</v>
      </c>
      <c r="K60" s="101" t="str">
        <f t="shared" si="1"/>
        <v/>
      </c>
      <c r="L60" s="9"/>
      <c r="M60" s="9"/>
    </row>
    <row r="61" spans="1:13" ht="14.1" customHeight="1">
      <c r="A61" s="4">
        <f>'SCHEDULE OF VALUE WORKSHEET'!A57</f>
        <v>51</v>
      </c>
      <c r="B61" s="142" t="str">
        <f>'SCHEDULE OF VALUE WORKSHEET'!B57</f>
        <v>CABINETS</v>
      </c>
      <c r="C61" s="143"/>
      <c r="D61" s="104">
        <f>SUM('SCHEDULE OF VALUE WORKSHEET'!E57)</f>
        <v>56930</v>
      </c>
      <c r="E61" s="104">
        <f>SUM('Draw #5'!E61:F61)</f>
        <v>0</v>
      </c>
      <c r="F61" s="105">
        <v>0</v>
      </c>
      <c r="G61" s="104">
        <f>SUM('Draw #5'!G61)+F61</f>
        <v>56930</v>
      </c>
      <c r="H61" s="109">
        <f t="shared" si="0"/>
        <v>56930</v>
      </c>
      <c r="I61" s="110">
        <v>0</v>
      </c>
      <c r="J61" s="109">
        <f>SUM(I61+'Draw #5'!J61)</f>
        <v>0</v>
      </c>
      <c r="K61" s="101" t="str">
        <f t="shared" si="1"/>
        <v/>
      </c>
      <c r="L61" s="9"/>
      <c r="M61" s="9"/>
    </row>
    <row r="62" spans="1:13" ht="14.1" customHeight="1">
      <c r="A62" s="4">
        <f>'SCHEDULE OF VALUE WORKSHEET'!A58</f>
        <v>52</v>
      </c>
      <c r="B62" s="142" t="str">
        <f>'SCHEDULE OF VALUE WORKSHEET'!B58</f>
        <v>THERMAL MOISTURE PROTECTION</v>
      </c>
      <c r="C62" s="143"/>
      <c r="D62" s="104">
        <f>SUM('SCHEDULE OF VALUE WORKSHEET'!E58)</f>
        <v>173148</v>
      </c>
      <c r="E62" s="104">
        <f>SUM('Draw #5'!E62:F62)</f>
        <v>0</v>
      </c>
      <c r="F62" s="105">
        <v>0</v>
      </c>
      <c r="G62" s="104">
        <f>SUM('Draw #5'!G62)+F62</f>
        <v>173148</v>
      </c>
      <c r="H62" s="109">
        <f t="shared" si="0"/>
        <v>173148</v>
      </c>
      <c r="I62" s="110">
        <v>0</v>
      </c>
      <c r="J62" s="109">
        <f>SUM(I62+'Draw #5'!J62)</f>
        <v>0</v>
      </c>
      <c r="K62" s="101" t="str">
        <f t="shared" si="1"/>
        <v/>
      </c>
      <c r="L62" s="9"/>
      <c r="M62" s="9"/>
    </row>
    <row r="63" spans="1:13" ht="14.1" customHeight="1">
      <c r="A63" s="4">
        <f>'SCHEDULE OF VALUE WORKSHEET'!A59</f>
        <v>53</v>
      </c>
      <c r="B63" s="142" t="str">
        <f>'SCHEDULE OF VALUE WORKSHEET'!B59</f>
        <v>DOORS</v>
      </c>
      <c r="C63" s="143"/>
      <c r="D63" s="104">
        <f>SUM('SCHEDULE OF VALUE WORKSHEET'!E59)</f>
        <v>204087.33</v>
      </c>
      <c r="E63" s="104">
        <f>SUM('Draw #5'!E63:F63)</f>
        <v>0</v>
      </c>
      <c r="F63" s="105">
        <v>0</v>
      </c>
      <c r="G63" s="104">
        <f>SUM('Draw #5'!G63)+F63</f>
        <v>204087.33</v>
      </c>
      <c r="H63" s="109">
        <f t="shared" si="0"/>
        <v>204087.33</v>
      </c>
      <c r="I63" s="110">
        <v>0</v>
      </c>
      <c r="J63" s="109">
        <f>SUM(I63+'Draw #5'!J63)</f>
        <v>0</v>
      </c>
      <c r="K63" s="101" t="str">
        <f t="shared" si="1"/>
        <v/>
      </c>
      <c r="L63" s="9"/>
      <c r="M63" s="9"/>
    </row>
    <row r="64" spans="1:13" ht="14.1" customHeight="1">
      <c r="A64" s="4">
        <f>'SCHEDULE OF VALUE WORKSHEET'!A60</f>
        <v>54</v>
      </c>
      <c r="B64" s="142" t="str">
        <f>'SCHEDULE OF VALUE WORKSHEET'!B60</f>
        <v>WINDOWS</v>
      </c>
      <c r="C64" s="143"/>
      <c r="D64" s="104">
        <f>SUM('SCHEDULE OF VALUE WORKSHEET'!E60)</f>
        <v>106274.25</v>
      </c>
      <c r="E64" s="104">
        <f>SUM('Draw #5'!E64:F64)</f>
        <v>0</v>
      </c>
      <c r="F64" s="105">
        <v>0</v>
      </c>
      <c r="G64" s="104">
        <f>SUM('Draw #5'!G64)+F64</f>
        <v>106274.25</v>
      </c>
      <c r="H64" s="109">
        <f t="shared" si="0"/>
        <v>106274.25</v>
      </c>
      <c r="I64" s="110">
        <v>0</v>
      </c>
      <c r="J64" s="109">
        <f>SUM(I64+'Draw #5'!J64)</f>
        <v>0</v>
      </c>
      <c r="K64" s="101" t="str">
        <f t="shared" si="1"/>
        <v/>
      </c>
      <c r="L64" s="9"/>
      <c r="M64" s="9"/>
    </row>
    <row r="65" spans="1:13" ht="14.1" customHeight="1">
      <c r="A65" s="4">
        <f>'SCHEDULE OF VALUE WORKSHEET'!A61</f>
        <v>55</v>
      </c>
      <c r="B65" s="142" t="str">
        <f>'SCHEDULE OF VALUE WORKSHEET'!B61</f>
        <v>STUCCO</v>
      </c>
      <c r="C65" s="143"/>
      <c r="D65" s="104">
        <f>SUM('SCHEDULE OF VALUE WORKSHEET'!E61)</f>
        <v>208002</v>
      </c>
      <c r="E65" s="104">
        <f>SUM('Draw #5'!E65:F65)</f>
        <v>0</v>
      </c>
      <c r="F65" s="105">
        <v>0</v>
      </c>
      <c r="G65" s="104">
        <f>SUM('Draw #5'!G65)+F65</f>
        <v>208002</v>
      </c>
      <c r="H65" s="109">
        <f t="shared" si="0"/>
        <v>208002</v>
      </c>
      <c r="I65" s="110">
        <v>0</v>
      </c>
      <c r="J65" s="109">
        <f>SUM(I65+'Draw #5'!J65)</f>
        <v>0</v>
      </c>
      <c r="K65" s="101" t="str">
        <f t="shared" si="1"/>
        <v/>
      </c>
      <c r="L65" s="9"/>
      <c r="M65" s="9"/>
    </row>
    <row r="66" spans="1:13" ht="14.1" customHeight="1">
      <c r="A66" s="4">
        <f>'SCHEDULE OF VALUE WORKSHEET'!A62</f>
        <v>56</v>
      </c>
      <c r="B66" s="142" t="str">
        <f>'SCHEDULE OF VALUE WORKSHEET'!B62</f>
        <v>DRYWALL</v>
      </c>
      <c r="C66" s="143"/>
      <c r="D66" s="104">
        <f>SUM('SCHEDULE OF VALUE WORKSHEET'!E62)</f>
        <v>416355</v>
      </c>
      <c r="E66" s="104">
        <f>SUM('Draw #5'!E66:F66)</f>
        <v>0</v>
      </c>
      <c r="F66" s="105">
        <v>0</v>
      </c>
      <c r="G66" s="104">
        <f>SUM('Draw #5'!G66)+F66</f>
        <v>416355</v>
      </c>
      <c r="H66" s="109">
        <f t="shared" si="0"/>
        <v>416355</v>
      </c>
      <c r="I66" s="110">
        <v>0</v>
      </c>
      <c r="J66" s="109">
        <f>SUM(I66+'Draw #5'!J66)</f>
        <v>0</v>
      </c>
      <c r="K66" s="101" t="str">
        <f t="shared" si="1"/>
        <v/>
      </c>
      <c r="L66" s="9"/>
      <c r="M66" s="9"/>
    </row>
    <row r="67" spans="1:13" ht="14.1" customHeight="1">
      <c r="A67" s="4">
        <f>'SCHEDULE OF VALUE WORKSHEET'!A63</f>
        <v>57</v>
      </c>
      <c r="B67" s="142" t="str">
        <f>'SCHEDULE OF VALUE WORKSHEET'!B63</f>
        <v>PAINTING</v>
      </c>
      <c r="C67" s="143"/>
      <c r="D67" s="104">
        <f>SUM('SCHEDULE OF VALUE WORKSHEET'!E63)</f>
        <v>120700</v>
      </c>
      <c r="E67" s="104">
        <f>SUM('Draw #5'!E67:F67)</f>
        <v>0</v>
      </c>
      <c r="F67" s="105">
        <v>0</v>
      </c>
      <c r="G67" s="104">
        <f>SUM('Draw #5'!G67)+F67</f>
        <v>120700</v>
      </c>
      <c r="H67" s="109">
        <f t="shared" si="0"/>
        <v>120700</v>
      </c>
      <c r="I67" s="110">
        <v>0</v>
      </c>
      <c r="J67" s="109">
        <f>SUM(I67+'Draw #5'!J67)</f>
        <v>0</v>
      </c>
      <c r="K67" s="101" t="str">
        <f t="shared" si="1"/>
        <v/>
      </c>
      <c r="L67" s="9"/>
      <c r="M67" s="9"/>
    </row>
    <row r="68" spans="1:13" ht="14.1" customHeight="1">
      <c r="A68" s="4">
        <f>'SCHEDULE OF VALUE WORKSHEET'!A64</f>
        <v>58</v>
      </c>
      <c r="B68" s="142" t="str">
        <f>'SCHEDULE OF VALUE WORKSHEET'!B64</f>
        <v>FLOORING - common areas</v>
      </c>
      <c r="C68" s="143"/>
      <c r="D68" s="104">
        <f>SUM('SCHEDULE OF VALUE WORKSHEET'!E64)</f>
        <v>45150</v>
      </c>
      <c r="E68" s="104">
        <f>SUM('Draw #5'!E68:F68)</f>
        <v>0</v>
      </c>
      <c r="F68" s="105">
        <v>0</v>
      </c>
      <c r="G68" s="104">
        <f>SUM('Draw #5'!G68)+F68</f>
        <v>45150</v>
      </c>
      <c r="H68" s="109">
        <f t="shared" si="0"/>
        <v>45150</v>
      </c>
      <c r="I68" s="110">
        <v>0</v>
      </c>
      <c r="J68" s="109">
        <f>SUM(I68+'Draw #5'!J68)</f>
        <v>0</v>
      </c>
      <c r="K68" s="101" t="str">
        <f t="shared" si="1"/>
        <v/>
      </c>
      <c r="L68" s="9"/>
      <c r="M68" s="9"/>
    </row>
    <row r="69" spans="1:13" ht="14.1" customHeight="1">
      <c r="A69" s="4">
        <f>'SCHEDULE OF VALUE WORKSHEET'!A65</f>
        <v>59</v>
      </c>
      <c r="B69" s="142" t="str">
        <f>'SCHEDULE OF VALUE WORKSHEET'!B65</f>
        <v>FLOORING - Units with baseboards</v>
      </c>
      <c r="C69" s="143"/>
      <c r="D69" s="104">
        <f>SUM('SCHEDULE OF VALUE WORKSHEET'!E65)</f>
        <v>93335</v>
      </c>
      <c r="E69" s="104">
        <f>SUM('Draw #5'!E69:F69)</f>
        <v>0</v>
      </c>
      <c r="F69" s="105">
        <v>0</v>
      </c>
      <c r="G69" s="104">
        <f>SUM('Draw #5'!G69)+F69</f>
        <v>93335</v>
      </c>
      <c r="H69" s="109">
        <f t="shared" si="0"/>
        <v>93335</v>
      </c>
      <c r="I69" s="110">
        <v>0</v>
      </c>
      <c r="J69" s="109">
        <f>SUM(I69+'Draw #5'!J69)</f>
        <v>0</v>
      </c>
      <c r="K69" s="101" t="str">
        <f t="shared" si="1"/>
        <v/>
      </c>
      <c r="L69" s="9"/>
      <c r="M69" s="9"/>
    </row>
    <row r="70" spans="1:13" ht="14.1" customHeight="1">
      <c r="A70" s="4">
        <f>'SCHEDULE OF VALUE WORKSHEET'!A66</f>
        <v>60</v>
      </c>
      <c r="B70" s="142" t="str">
        <f>'SCHEDULE OF VALUE WORKSHEET'!B66</f>
        <v>SPECIALTIES</v>
      </c>
      <c r="C70" s="143"/>
      <c r="D70" s="104">
        <f>SUM('SCHEDULE OF VALUE WORKSHEET'!E66)</f>
        <v>25109.21</v>
      </c>
      <c r="E70" s="104">
        <f>SUM('Draw #5'!E70:F70)</f>
        <v>0</v>
      </c>
      <c r="F70" s="105">
        <v>0</v>
      </c>
      <c r="G70" s="104">
        <f>SUM('Draw #5'!G70)+F70</f>
        <v>25109.21</v>
      </c>
      <c r="H70" s="109">
        <f t="shared" si="0"/>
        <v>25109.21</v>
      </c>
      <c r="I70" s="110">
        <v>0</v>
      </c>
      <c r="J70" s="109">
        <f>SUM(I70+'Draw #5'!J70)</f>
        <v>0</v>
      </c>
      <c r="K70" s="101" t="str">
        <f t="shared" si="1"/>
        <v/>
      </c>
      <c r="L70" s="9"/>
      <c r="M70" s="9"/>
    </row>
    <row r="71" spans="1:13" ht="14.1" customHeight="1">
      <c r="A71" s="4">
        <f>'SCHEDULE OF VALUE WORKSHEET'!A67</f>
        <v>61</v>
      </c>
      <c r="B71" s="142" t="str">
        <f>'SCHEDULE OF VALUE WORKSHEET'!B67</f>
        <v>EQUIPMENT</v>
      </c>
      <c r="C71" s="143"/>
      <c r="D71" s="104">
        <f>SUM('SCHEDULE OF VALUE WORKSHEET'!E67)</f>
        <v>153636</v>
      </c>
      <c r="E71" s="104">
        <f>SUM('Draw #5'!E71:F71)</f>
        <v>0</v>
      </c>
      <c r="F71" s="105">
        <v>0</v>
      </c>
      <c r="G71" s="104">
        <f>SUM('Draw #5'!G71)+F71</f>
        <v>153636</v>
      </c>
      <c r="H71" s="109">
        <f t="shared" si="0"/>
        <v>153636</v>
      </c>
      <c r="I71" s="110">
        <v>0</v>
      </c>
      <c r="J71" s="109">
        <f>SUM(I71+'Draw #5'!J71)</f>
        <v>0</v>
      </c>
      <c r="K71" s="101" t="str">
        <f t="shared" si="1"/>
        <v/>
      </c>
      <c r="L71" s="9"/>
      <c r="M71" s="9"/>
    </row>
    <row r="72" spans="1:13" ht="14.1" customHeight="1">
      <c r="A72" s="4">
        <f>'SCHEDULE OF VALUE WORKSHEET'!A68</f>
        <v>62</v>
      </c>
      <c r="B72" s="142" t="str">
        <f>'SCHEDULE OF VALUE WORKSHEET'!B68</f>
        <v>FURNISHING</v>
      </c>
      <c r="C72" s="143"/>
      <c r="D72" s="104">
        <f>SUM('SCHEDULE OF VALUE WORKSHEET'!E68)</f>
        <v>0</v>
      </c>
      <c r="E72" s="104">
        <f>SUM('Draw #5'!E72:F72)</f>
        <v>0</v>
      </c>
      <c r="F72" s="105">
        <v>0</v>
      </c>
      <c r="G72" s="104">
        <f>SUM('Draw #5'!G72)+F72</f>
        <v>0</v>
      </c>
      <c r="H72" s="109">
        <f t="shared" si="0"/>
        <v>0</v>
      </c>
      <c r="I72" s="110">
        <v>0</v>
      </c>
      <c r="J72" s="109">
        <f>SUM(I72+'Draw #5'!J72)</f>
        <v>0</v>
      </c>
      <c r="K72" s="101" t="str">
        <f t="shared" si="1"/>
        <v/>
      </c>
      <c r="L72" s="9"/>
      <c r="M72" s="9"/>
    </row>
    <row r="73" spans="1:13" ht="14.1" customHeight="1">
      <c r="A73" s="4">
        <f>'SCHEDULE OF VALUE WORKSHEET'!A69</f>
        <v>63</v>
      </c>
      <c r="B73" s="142" t="str">
        <f>'SCHEDULE OF VALUE WORKSHEET'!B69</f>
        <v>FIRE SPRINKLERS</v>
      </c>
      <c r="C73" s="143"/>
      <c r="D73" s="104">
        <f>SUM('SCHEDULE OF VALUE WORKSHEET'!E69)</f>
        <v>108500</v>
      </c>
      <c r="E73" s="104">
        <f>SUM('Draw #5'!E73:F73)</f>
        <v>0</v>
      </c>
      <c r="F73" s="105">
        <v>0</v>
      </c>
      <c r="G73" s="104">
        <f>SUM('Draw #5'!G73)+F73</f>
        <v>108500</v>
      </c>
      <c r="H73" s="109">
        <f t="shared" si="0"/>
        <v>108500</v>
      </c>
      <c r="I73" s="110">
        <v>0</v>
      </c>
      <c r="J73" s="109">
        <f>SUM(I73+'Draw #5'!J73)</f>
        <v>0</v>
      </c>
      <c r="K73" s="101" t="str">
        <f t="shared" si="1"/>
        <v/>
      </c>
      <c r="L73" s="9"/>
      <c r="M73" s="9"/>
    </row>
    <row r="74" spans="1:13" ht="14.1" customHeight="1">
      <c r="A74" s="4">
        <f>'SCHEDULE OF VALUE WORKSHEET'!A70</f>
        <v>64</v>
      </c>
      <c r="B74" s="142" t="str">
        <f>'SCHEDULE OF VALUE WORKSHEET'!B70</f>
        <v>FIRE ALARM</v>
      </c>
      <c r="C74" s="143"/>
      <c r="D74" s="104">
        <f>SUM('SCHEDULE OF VALUE WORKSHEET'!E70)</f>
        <v>68401</v>
      </c>
      <c r="E74" s="104">
        <f>SUM('Draw #5'!E74:F74)</f>
        <v>0</v>
      </c>
      <c r="F74" s="105">
        <v>0</v>
      </c>
      <c r="G74" s="104">
        <f>SUM('Draw #5'!G74)+F74</f>
        <v>68401</v>
      </c>
      <c r="H74" s="109">
        <f t="shared" si="0"/>
        <v>68401</v>
      </c>
      <c r="I74" s="110">
        <v>0</v>
      </c>
      <c r="J74" s="109">
        <f>SUM(I74+'Draw #5'!J74)</f>
        <v>0</v>
      </c>
      <c r="K74" s="101" t="str">
        <f t="shared" si="1"/>
        <v/>
      </c>
      <c r="L74" s="9"/>
      <c r="M74" s="9"/>
    </row>
    <row r="75" spans="1:13" ht="14.1" customHeight="1">
      <c r="A75" s="4">
        <f>'SCHEDULE OF VALUE WORKSHEET'!A71</f>
        <v>65</v>
      </c>
      <c r="B75" s="142" t="str">
        <f>'SCHEDULE OF VALUE WORKSHEET'!B71</f>
        <v>SOLAR PANELS</v>
      </c>
      <c r="C75" s="143"/>
      <c r="D75" s="104">
        <f>SUM('SCHEDULE OF VALUE WORKSHEET'!E71)</f>
        <v>97000</v>
      </c>
      <c r="E75" s="104">
        <f>SUM('Draw #5'!E75:F75)</f>
        <v>0</v>
      </c>
      <c r="F75" s="105">
        <v>0</v>
      </c>
      <c r="G75" s="104">
        <f>SUM('Draw #5'!G75)+F75</f>
        <v>97000</v>
      </c>
      <c r="H75" s="109">
        <f t="shared" ref="H75:H135" si="2">SUM(G75-J75)</f>
        <v>97000</v>
      </c>
      <c r="I75" s="110">
        <v>0</v>
      </c>
      <c r="J75" s="109">
        <f>SUM(I75+'Draw #5'!J75)</f>
        <v>0</v>
      </c>
      <c r="K75" s="101" t="str">
        <f t="shared" ref="K75:K135" si="3">IF(J75=0,"",J75/G75)</f>
        <v/>
      </c>
      <c r="L75" s="9"/>
      <c r="M75" s="9"/>
    </row>
    <row r="76" spans="1:13" ht="14.1" customHeight="1">
      <c r="A76" s="4">
        <f>'SCHEDULE OF VALUE WORKSHEET'!A72</f>
        <v>66</v>
      </c>
      <c r="B76" s="142" t="str">
        <f>'SCHEDULE OF VALUE WORKSHEET'!B72</f>
        <v>SECURITY ACCESS &amp; SURVEILLANCE</v>
      </c>
      <c r="C76" s="143"/>
      <c r="D76" s="104">
        <f>SUM('SCHEDULE OF VALUE WORKSHEET'!E72)</f>
        <v>136430</v>
      </c>
      <c r="E76" s="104">
        <f>SUM('Draw #5'!E76:F76)</f>
        <v>0</v>
      </c>
      <c r="F76" s="105">
        <v>0</v>
      </c>
      <c r="G76" s="104">
        <f>SUM('Draw #5'!G76)+F76</f>
        <v>136430</v>
      </c>
      <c r="H76" s="109">
        <f t="shared" si="2"/>
        <v>136430</v>
      </c>
      <c r="I76" s="110">
        <v>0</v>
      </c>
      <c r="J76" s="109">
        <f>SUM(I76+'Draw #5'!J76)</f>
        <v>0</v>
      </c>
      <c r="K76" s="101" t="str">
        <f t="shared" si="3"/>
        <v/>
      </c>
      <c r="L76" s="9"/>
      <c r="M76" s="9"/>
    </row>
    <row r="77" spans="1:13" ht="14.1" customHeight="1">
      <c r="A77" s="4">
        <f>'SCHEDULE OF VALUE WORKSHEET'!A73</f>
        <v>67</v>
      </c>
      <c r="B77" s="142" t="str">
        <f>'SCHEDULE OF VALUE WORKSHEET'!B73</f>
        <v>ELEVATORS &amp; LIFT</v>
      </c>
      <c r="C77" s="143"/>
      <c r="D77" s="104">
        <f>SUM('SCHEDULE OF VALUE WORKSHEET'!E73)</f>
        <v>174882</v>
      </c>
      <c r="E77" s="104">
        <f>SUM('Draw #5'!E77:F77)</f>
        <v>0</v>
      </c>
      <c r="F77" s="105">
        <v>0</v>
      </c>
      <c r="G77" s="104">
        <f>SUM('Draw #5'!G77)+F77</f>
        <v>174882</v>
      </c>
      <c r="H77" s="109">
        <f t="shared" si="2"/>
        <v>174882</v>
      </c>
      <c r="I77" s="110">
        <v>0</v>
      </c>
      <c r="J77" s="109">
        <f>SUM(I77+'Draw #5'!J77)</f>
        <v>0</v>
      </c>
      <c r="K77" s="101" t="str">
        <f t="shared" si="3"/>
        <v/>
      </c>
      <c r="L77" s="9"/>
      <c r="M77" s="9"/>
    </row>
    <row r="78" spans="1:13" ht="14.1" customHeight="1">
      <c r="A78" s="4">
        <f>'SCHEDULE OF VALUE WORKSHEET'!A74</f>
        <v>68</v>
      </c>
      <c r="B78" s="142" t="str">
        <f>'SCHEDULE OF VALUE WORKSHEET'!B74</f>
        <v>WATER SUBMETER (material)</v>
      </c>
      <c r="C78" s="143"/>
      <c r="D78" s="104">
        <f>SUM('SCHEDULE OF VALUE WORKSHEET'!E74)</f>
        <v>12273</v>
      </c>
      <c r="E78" s="104">
        <f>SUM('Draw #5'!E78:F78)</f>
        <v>0</v>
      </c>
      <c r="F78" s="105">
        <v>0</v>
      </c>
      <c r="G78" s="104">
        <f>SUM('Draw #5'!G78)+F78</f>
        <v>12273</v>
      </c>
      <c r="H78" s="109">
        <f t="shared" si="2"/>
        <v>12273</v>
      </c>
      <c r="I78" s="110">
        <v>0</v>
      </c>
      <c r="J78" s="109">
        <f>SUM(I78+'Draw #5'!J78)</f>
        <v>0</v>
      </c>
      <c r="K78" s="101" t="str">
        <f t="shared" si="3"/>
        <v/>
      </c>
      <c r="L78" s="9"/>
      <c r="M78" s="9"/>
    </row>
    <row r="79" spans="1:13" ht="14.1" customHeight="1">
      <c r="A79" s="4">
        <f>'SCHEDULE OF VALUE WORKSHEET'!A75</f>
        <v>69</v>
      </c>
      <c r="B79" s="142" t="str">
        <f>'SCHEDULE OF VALUE WORKSHEET'!B75</f>
        <v>WATER SUBMETER (labor)</v>
      </c>
      <c r="C79" s="143"/>
      <c r="D79" s="104">
        <f>SUM('SCHEDULE OF VALUE WORKSHEET'!E75)</f>
        <v>0</v>
      </c>
      <c r="E79" s="104">
        <f>SUM('Draw #5'!E79:F79)</f>
        <v>0</v>
      </c>
      <c r="F79" s="105">
        <v>0</v>
      </c>
      <c r="G79" s="104">
        <f>SUM('Draw #5'!G79)+F79</f>
        <v>0</v>
      </c>
      <c r="H79" s="109">
        <f t="shared" si="2"/>
        <v>0</v>
      </c>
      <c r="I79" s="110">
        <v>0</v>
      </c>
      <c r="J79" s="109">
        <f>SUM(I79+'Draw #5'!J79)</f>
        <v>0</v>
      </c>
      <c r="K79" s="101" t="str">
        <f t="shared" si="3"/>
        <v/>
      </c>
      <c r="L79" s="9"/>
      <c r="M79" s="9"/>
    </row>
    <row r="80" spans="1:13" ht="14.1" customHeight="1">
      <c r="A80" s="4">
        <f>'SCHEDULE OF VALUE WORKSHEET'!A76</f>
        <v>70</v>
      </c>
      <c r="B80" s="142" t="str">
        <f>'SCHEDULE OF VALUE WORKSHEET'!B76</f>
        <v>ROUGH PLUMBING</v>
      </c>
      <c r="C80" s="143"/>
      <c r="D80" s="104">
        <f>SUM('SCHEDULE OF VALUE WORKSHEET'!E76)</f>
        <v>751927</v>
      </c>
      <c r="E80" s="104">
        <f>SUM('Draw #5'!E80:F80)</f>
        <v>0</v>
      </c>
      <c r="F80" s="105">
        <v>0</v>
      </c>
      <c r="G80" s="104">
        <f>SUM('Draw #5'!G80)+F80</f>
        <v>751927</v>
      </c>
      <c r="H80" s="109">
        <f t="shared" si="2"/>
        <v>751927</v>
      </c>
      <c r="I80" s="110">
        <v>0</v>
      </c>
      <c r="J80" s="109">
        <f>SUM(I80+'Draw #5'!J80)</f>
        <v>0</v>
      </c>
      <c r="K80" s="101" t="str">
        <f t="shared" si="3"/>
        <v/>
      </c>
      <c r="L80" s="9"/>
      <c r="M80" s="9"/>
    </row>
    <row r="81" spans="1:13" ht="14.1" customHeight="1">
      <c r="A81" s="4">
        <f>'SCHEDULE OF VALUE WORKSHEET'!A77</f>
        <v>71</v>
      </c>
      <c r="B81" s="142" t="str">
        <f>'SCHEDULE OF VALUE WORKSHEET'!B77</f>
        <v>FINISH PLUMBING</v>
      </c>
      <c r="C81" s="143"/>
      <c r="D81" s="104">
        <f>SUM('SCHEDULE OF VALUE WORKSHEET'!E77)</f>
        <v>90000</v>
      </c>
      <c r="E81" s="104">
        <f>SUM('Draw #5'!E81:F81)</f>
        <v>0</v>
      </c>
      <c r="F81" s="105">
        <v>0</v>
      </c>
      <c r="G81" s="104">
        <f>SUM('Draw #5'!G81)+F81</f>
        <v>90000</v>
      </c>
      <c r="H81" s="109">
        <f t="shared" si="2"/>
        <v>90000</v>
      </c>
      <c r="I81" s="110">
        <v>0</v>
      </c>
      <c r="J81" s="109">
        <f>SUM(I81+'Draw #5'!J81)</f>
        <v>0</v>
      </c>
      <c r="K81" s="101" t="str">
        <f t="shared" si="3"/>
        <v/>
      </c>
      <c r="L81" s="9"/>
      <c r="M81" s="9"/>
    </row>
    <row r="82" spans="1:13" ht="14.1" customHeight="1">
      <c r="A82" s="4">
        <f>'SCHEDULE OF VALUE WORKSHEET'!A78</f>
        <v>72</v>
      </c>
      <c r="B82" s="142" t="str">
        <f>'SCHEDULE OF VALUE WORKSHEET'!B78</f>
        <v>HVAC</v>
      </c>
      <c r="C82" s="143"/>
      <c r="D82" s="104">
        <f>SUM('SCHEDULE OF VALUE WORKSHEET'!E78)</f>
        <v>259000</v>
      </c>
      <c r="E82" s="104">
        <f>SUM('Draw #5'!E82:F82)</f>
        <v>0</v>
      </c>
      <c r="F82" s="105">
        <v>0</v>
      </c>
      <c r="G82" s="104">
        <f>SUM('Draw #5'!G82)+F82</f>
        <v>259000</v>
      </c>
      <c r="H82" s="109">
        <f t="shared" si="2"/>
        <v>259000</v>
      </c>
      <c r="I82" s="110">
        <v>0</v>
      </c>
      <c r="J82" s="109">
        <f>SUM(I82+'Draw #5'!J82)</f>
        <v>0</v>
      </c>
      <c r="K82" s="101" t="str">
        <f t="shared" si="3"/>
        <v/>
      </c>
      <c r="L82" s="9"/>
      <c r="M82" s="9"/>
    </row>
    <row r="83" spans="1:13" ht="14.1" customHeight="1">
      <c r="A83" s="4">
        <f>'SCHEDULE OF VALUE WORKSHEET'!A79</f>
        <v>73</v>
      </c>
      <c r="B83" s="142" t="str">
        <f>'SCHEDULE OF VALUE WORKSHEET'!B79</f>
        <v>ELECTRICAL</v>
      </c>
      <c r="C83" s="143"/>
      <c r="D83" s="104">
        <f>SUM('SCHEDULE OF VALUE WORKSHEET'!E79)</f>
        <v>880486.32</v>
      </c>
      <c r="E83" s="104">
        <f>SUM('Draw #5'!E83:F83)</f>
        <v>0</v>
      </c>
      <c r="F83" s="105">
        <v>0</v>
      </c>
      <c r="G83" s="104">
        <f>SUM('Draw #5'!G83)+F83</f>
        <v>880486.32</v>
      </c>
      <c r="H83" s="109">
        <f t="shared" si="2"/>
        <v>880486.32</v>
      </c>
      <c r="I83" s="110">
        <v>0</v>
      </c>
      <c r="J83" s="109">
        <f>SUM(I83+'Draw #5'!J83)</f>
        <v>0</v>
      </c>
      <c r="K83" s="101" t="str">
        <f t="shared" si="3"/>
        <v/>
      </c>
      <c r="L83" s="9"/>
      <c r="M83" s="9"/>
    </row>
    <row r="84" spans="1:13" ht="14.1" customHeight="1">
      <c r="A84" s="4">
        <f>'SCHEDULE OF VALUE WORKSHEET'!A80</f>
        <v>74</v>
      </c>
      <c r="B84" s="142" t="str">
        <f>'SCHEDULE OF VALUE WORKSHEET'!B80</f>
        <v xml:space="preserve">CONTINGENCY </v>
      </c>
      <c r="C84" s="143"/>
      <c r="D84" s="104">
        <f>SUM('SCHEDULE OF VALUE WORKSHEET'!E80)</f>
        <v>529215.20000000007</v>
      </c>
      <c r="E84" s="104">
        <f>SUM('Draw #5'!E84:F84)</f>
        <v>0</v>
      </c>
      <c r="F84" s="105">
        <v>0</v>
      </c>
      <c r="G84" s="104">
        <f>SUM('Draw #5'!G84)+F84</f>
        <v>529215.20000000007</v>
      </c>
      <c r="H84" s="109">
        <f t="shared" si="2"/>
        <v>529215.20000000007</v>
      </c>
      <c r="I84" s="110">
        <v>0</v>
      </c>
      <c r="J84" s="109">
        <f>SUM(I84+'Draw #5'!J84)</f>
        <v>0</v>
      </c>
      <c r="K84" s="101" t="str">
        <f t="shared" si="3"/>
        <v/>
      </c>
      <c r="L84" s="9"/>
      <c r="M84" s="9"/>
    </row>
    <row r="85" spans="1:13" ht="14.1" customHeight="1">
      <c r="A85" s="4">
        <f>'SCHEDULE OF VALUE WORKSHEET'!A81</f>
        <v>75</v>
      </c>
      <c r="B85" s="142" t="str">
        <f>'SCHEDULE OF VALUE WORKSHEET'!B81</f>
        <v>INSURANCE (GL w/auto, workers compl)</v>
      </c>
      <c r="C85" s="143"/>
      <c r="D85" s="104">
        <f>SUM('SCHEDULE OF VALUE WORKSHEET'!E81)</f>
        <v>97177.07</v>
      </c>
      <c r="E85" s="104">
        <f>SUM('Draw #5'!E85:F85)</f>
        <v>0</v>
      </c>
      <c r="F85" s="105">
        <v>0</v>
      </c>
      <c r="G85" s="104">
        <f>SUM('Draw #5'!G85)+F85</f>
        <v>97177.07</v>
      </c>
      <c r="H85" s="109">
        <f t="shared" si="2"/>
        <v>97177.07</v>
      </c>
      <c r="I85" s="110">
        <v>0</v>
      </c>
      <c r="J85" s="109">
        <f>SUM(I85+'Draw #5'!J85)</f>
        <v>0</v>
      </c>
      <c r="K85" s="101" t="str">
        <f t="shared" si="3"/>
        <v/>
      </c>
      <c r="L85" s="9"/>
      <c r="M85" s="9"/>
    </row>
    <row r="86" spans="1:13" ht="14.1" customHeight="1">
      <c r="A86" s="4">
        <f>'SCHEDULE OF VALUE WORKSHEET'!A82</f>
        <v>76</v>
      </c>
      <c r="B86" s="142" t="str">
        <f>'SCHEDULE OF VALUE WORKSHEET'!B82</f>
        <v>GROSS RECEIPT TAX</v>
      </c>
      <c r="C86" s="143"/>
      <c r="D86" s="104">
        <f>SUM('SCHEDULE OF VALUE WORKSHEET'!E82)</f>
        <v>6543.26</v>
      </c>
      <c r="E86" s="104">
        <f>SUM('Draw #5'!E86:F86)</f>
        <v>0</v>
      </c>
      <c r="F86" s="105">
        <v>0</v>
      </c>
      <c r="G86" s="104">
        <f>SUM('Draw #5'!G86)+F86</f>
        <v>6543.26</v>
      </c>
      <c r="H86" s="109">
        <f t="shared" si="2"/>
        <v>6543.26</v>
      </c>
      <c r="I86" s="110">
        <v>0</v>
      </c>
      <c r="J86" s="109">
        <f>SUM(I86+'Draw #5'!J86)</f>
        <v>0</v>
      </c>
      <c r="K86" s="101" t="str">
        <f t="shared" si="3"/>
        <v/>
      </c>
      <c r="L86" s="9"/>
      <c r="M86" s="9"/>
    </row>
    <row r="87" spans="1:13" ht="14.1" customHeight="1">
      <c r="A87" s="4">
        <f>'SCHEDULE OF VALUE WORKSHEET'!A83</f>
        <v>77</v>
      </c>
      <c r="B87" s="142" t="str">
        <f>'SCHEDULE OF VALUE WORKSHEET'!B83</f>
        <v>GC FEE</v>
      </c>
      <c r="C87" s="143"/>
      <c r="D87" s="104">
        <f>SUM('SCHEDULE OF VALUE WORKSHEET'!E83)</f>
        <v>388708.28</v>
      </c>
      <c r="E87" s="104">
        <f>SUM('Draw #5'!E87:F87)</f>
        <v>0</v>
      </c>
      <c r="F87" s="105">
        <v>0</v>
      </c>
      <c r="G87" s="104">
        <f>SUM('Draw #5'!G87)+F87</f>
        <v>388708.28</v>
      </c>
      <c r="H87" s="109">
        <f t="shared" si="2"/>
        <v>388708.28</v>
      </c>
      <c r="I87" s="110">
        <v>0</v>
      </c>
      <c r="J87" s="109">
        <f>SUM(I87+'Draw #5'!J87)</f>
        <v>0</v>
      </c>
      <c r="K87" s="101" t="str">
        <f t="shared" si="3"/>
        <v/>
      </c>
      <c r="L87" s="9"/>
      <c r="M87" s="9"/>
    </row>
    <row r="88" spans="1:13" ht="14.1" customHeight="1">
      <c r="A88" s="4">
        <f>'SCHEDULE OF VALUE WORKSHEET'!A84</f>
        <v>78</v>
      </c>
      <c r="B88" s="142" t="str">
        <f>'SCHEDULE OF VALUE WORKSHEET'!B84</f>
        <v>DEVELOPMENT FEE</v>
      </c>
      <c r="C88" s="143"/>
      <c r="D88" s="104">
        <f>SUM('SCHEDULE OF VALUE WORKSHEET'!E84)</f>
        <v>180523.5</v>
      </c>
      <c r="E88" s="104">
        <f>SUM('Draw #5'!E88:F88)</f>
        <v>0</v>
      </c>
      <c r="F88" s="105">
        <v>0</v>
      </c>
      <c r="G88" s="104">
        <f>SUM('Draw #5'!G88)+F88</f>
        <v>180523.5</v>
      </c>
      <c r="H88" s="109">
        <f t="shared" si="2"/>
        <v>180523.5</v>
      </c>
      <c r="I88" s="110">
        <v>0</v>
      </c>
      <c r="J88" s="109">
        <f>SUM(I88+'Draw #5'!J88)</f>
        <v>0</v>
      </c>
      <c r="K88" s="101" t="str">
        <f t="shared" si="3"/>
        <v/>
      </c>
      <c r="L88" s="9"/>
      <c r="M88" s="9"/>
    </row>
    <row r="89" spans="1:13" ht="14.1" customHeight="1">
      <c r="A89" s="4">
        <f>'SCHEDULE OF VALUE WORKSHEET'!A85</f>
        <v>79</v>
      </c>
      <c r="B89" s="142" t="str">
        <f>'SCHEDULE OF VALUE WORKSHEET'!B85</f>
        <v>CARRYING COSTS</v>
      </c>
      <c r="C89" s="143"/>
      <c r="D89" s="104">
        <f>SUM('SCHEDULE OF VALUE WORKSHEET'!E85)</f>
        <v>92885.53</v>
      </c>
      <c r="E89" s="104">
        <f>SUM('Draw #5'!E89:F89)</f>
        <v>0</v>
      </c>
      <c r="F89" s="105">
        <v>0</v>
      </c>
      <c r="G89" s="104">
        <f>SUM('Draw #5'!G89)+F89</f>
        <v>92885.53</v>
      </c>
      <c r="H89" s="109">
        <f t="shared" si="2"/>
        <v>92885.53</v>
      </c>
      <c r="I89" s="110">
        <v>0</v>
      </c>
      <c r="J89" s="109">
        <f>SUM(I89+'Draw #5'!J89)</f>
        <v>0</v>
      </c>
      <c r="K89" s="101" t="str">
        <f t="shared" si="3"/>
        <v/>
      </c>
      <c r="L89" s="9"/>
      <c r="M89" s="9"/>
    </row>
    <row r="90" spans="1:13" ht="14.1" customHeight="1">
      <c r="A90" s="4">
        <f>'SCHEDULE OF VALUE WORKSHEET'!A86</f>
        <v>80</v>
      </c>
      <c r="B90" s="142" t="str">
        <f>'SCHEDULE OF VALUE WORKSHEET'!B86</f>
        <v>FINANCING COSTS</v>
      </c>
      <c r="C90" s="143"/>
      <c r="D90" s="104">
        <f>SUM('SCHEDULE OF VALUE WORKSHEET'!E86)</f>
        <v>0</v>
      </c>
      <c r="E90" s="104">
        <f>SUM('Draw #5'!E90:F90)</f>
        <v>0</v>
      </c>
      <c r="F90" s="105">
        <v>0</v>
      </c>
      <c r="G90" s="104">
        <f>SUM('Draw #5'!G90)+F90</f>
        <v>0</v>
      </c>
      <c r="H90" s="109">
        <f t="shared" si="2"/>
        <v>0</v>
      </c>
      <c r="I90" s="110">
        <v>0</v>
      </c>
      <c r="J90" s="109">
        <f>SUM(I90+'Draw #5'!J90)</f>
        <v>0</v>
      </c>
      <c r="K90" s="101" t="str">
        <f t="shared" si="3"/>
        <v/>
      </c>
      <c r="L90" s="9"/>
      <c r="M90" s="9"/>
    </row>
    <row r="91" spans="1:13" ht="14.1" customHeight="1">
      <c r="A91" s="4" t="e">
        <f>'SCHEDULE OF VALUE WORKSHEET'!#REF!</f>
        <v>#REF!</v>
      </c>
      <c r="B91" s="142" t="e">
        <f>'SCHEDULE OF VALUE WORKSHEET'!#REF!</f>
        <v>#REF!</v>
      </c>
      <c r="C91" s="143"/>
      <c r="D91" s="104" t="e">
        <f>SUM('SCHEDULE OF VALUE WORKSHEET'!#REF!)</f>
        <v>#REF!</v>
      </c>
      <c r="E91" s="104">
        <f>SUM('Draw #5'!E91:F91)</f>
        <v>0</v>
      </c>
      <c r="F91" s="105">
        <v>0</v>
      </c>
      <c r="G91" s="104" t="e">
        <f>SUM('Draw #5'!G91)+F91</f>
        <v>#REF!</v>
      </c>
      <c r="H91" s="109" t="e">
        <f t="shared" si="2"/>
        <v>#REF!</v>
      </c>
      <c r="I91" s="110">
        <v>0</v>
      </c>
      <c r="J91" s="109">
        <f>SUM(I91+'Draw #5'!J91)</f>
        <v>0</v>
      </c>
      <c r="K91" s="101" t="str">
        <f t="shared" si="3"/>
        <v/>
      </c>
      <c r="L91" s="9"/>
      <c r="M91" s="9"/>
    </row>
    <row r="92" spans="1:13" ht="14.1" customHeight="1">
      <c r="A92" s="4" t="e">
        <f>'SCHEDULE OF VALUE WORKSHEET'!#REF!</f>
        <v>#REF!</v>
      </c>
      <c r="B92" s="142" t="e">
        <f>'SCHEDULE OF VALUE WORKSHEET'!#REF!</f>
        <v>#REF!</v>
      </c>
      <c r="C92" s="143"/>
      <c r="D92" s="104" t="e">
        <f>SUM('SCHEDULE OF VALUE WORKSHEET'!#REF!)</f>
        <v>#REF!</v>
      </c>
      <c r="E92" s="104">
        <f>SUM('Draw #5'!E92:F92)</f>
        <v>0</v>
      </c>
      <c r="F92" s="105">
        <v>0</v>
      </c>
      <c r="G92" s="104" t="e">
        <f>SUM('Draw #5'!G92)+F92</f>
        <v>#REF!</v>
      </c>
      <c r="H92" s="109" t="e">
        <f t="shared" si="2"/>
        <v>#REF!</v>
      </c>
      <c r="I92" s="110">
        <v>0</v>
      </c>
      <c r="J92" s="109">
        <f>SUM(I92+'Draw #5'!J92)</f>
        <v>0</v>
      </c>
      <c r="K92" s="101" t="str">
        <f t="shared" si="3"/>
        <v/>
      </c>
      <c r="L92" s="9"/>
      <c r="M92" s="9"/>
    </row>
    <row r="93" spans="1:13" ht="14.1" customHeight="1">
      <c r="A93" s="4" t="e">
        <f>'SCHEDULE OF VALUE WORKSHEET'!#REF!</f>
        <v>#REF!</v>
      </c>
      <c r="B93" s="142" t="e">
        <f>'SCHEDULE OF VALUE WORKSHEET'!#REF!</f>
        <v>#REF!</v>
      </c>
      <c r="C93" s="143"/>
      <c r="D93" s="104" t="e">
        <f>SUM('SCHEDULE OF VALUE WORKSHEET'!#REF!)</f>
        <v>#REF!</v>
      </c>
      <c r="E93" s="104">
        <f>SUM('Draw #5'!E93:F93)</f>
        <v>0</v>
      </c>
      <c r="F93" s="105">
        <v>0</v>
      </c>
      <c r="G93" s="104" t="e">
        <f>SUM('Draw #5'!G93)+F93</f>
        <v>#REF!</v>
      </c>
      <c r="H93" s="109" t="e">
        <f t="shared" si="2"/>
        <v>#REF!</v>
      </c>
      <c r="I93" s="110">
        <v>0</v>
      </c>
      <c r="J93" s="109">
        <f>SUM(I93+'Draw #5'!J93)</f>
        <v>0</v>
      </c>
      <c r="K93" s="101" t="str">
        <f t="shared" si="3"/>
        <v/>
      </c>
      <c r="L93" s="9"/>
      <c r="M93" s="9"/>
    </row>
    <row r="94" spans="1:13" ht="14.1" customHeight="1">
      <c r="A94" s="4" t="e">
        <f>'SCHEDULE OF VALUE WORKSHEET'!#REF!</f>
        <v>#REF!</v>
      </c>
      <c r="B94" s="142" t="e">
        <f>'SCHEDULE OF VALUE WORKSHEET'!#REF!</f>
        <v>#REF!</v>
      </c>
      <c r="C94" s="143"/>
      <c r="D94" s="104" t="e">
        <f>SUM('SCHEDULE OF VALUE WORKSHEET'!#REF!)</f>
        <v>#REF!</v>
      </c>
      <c r="E94" s="104">
        <f>SUM('Draw #5'!E94:F94)</f>
        <v>0</v>
      </c>
      <c r="F94" s="105">
        <v>0</v>
      </c>
      <c r="G94" s="104" t="e">
        <f>SUM('Draw #5'!G94)+F94</f>
        <v>#REF!</v>
      </c>
      <c r="H94" s="109" t="e">
        <f t="shared" si="2"/>
        <v>#REF!</v>
      </c>
      <c r="I94" s="110">
        <v>0</v>
      </c>
      <c r="J94" s="109">
        <f>SUM(I94+'Draw #5'!J94)</f>
        <v>0</v>
      </c>
      <c r="K94" s="101" t="str">
        <f t="shared" si="3"/>
        <v/>
      </c>
      <c r="L94" s="9"/>
      <c r="M94" s="9"/>
    </row>
    <row r="95" spans="1:13" ht="14.1" customHeight="1">
      <c r="A95" s="4" t="e">
        <f>'SCHEDULE OF VALUE WORKSHEET'!#REF!</f>
        <v>#REF!</v>
      </c>
      <c r="B95" s="142" t="e">
        <f>'SCHEDULE OF VALUE WORKSHEET'!#REF!</f>
        <v>#REF!</v>
      </c>
      <c r="C95" s="143"/>
      <c r="D95" s="104" t="e">
        <f>SUM('SCHEDULE OF VALUE WORKSHEET'!#REF!)</f>
        <v>#REF!</v>
      </c>
      <c r="E95" s="104">
        <f>SUM('Draw #5'!E95:F95)</f>
        <v>0</v>
      </c>
      <c r="F95" s="105">
        <v>0</v>
      </c>
      <c r="G95" s="104" t="e">
        <f>SUM('Draw #5'!G95)+F95</f>
        <v>#REF!</v>
      </c>
      <c r="H95" s="109" t="e">
        <f t="shared" si="2"/>
        <v>#REF!</v>
      </c>
      <c r="I95" s="110">
        <v>0</v>
      </c>
      <c r="J95" s="109">
        <f>SUM(I95+'Draw #5'!J95)</f>
        <v>0</v>
      </c>
      <c r="K95" s="101" t="str">
        <f t="shared" si="3"/>
        <v/>
      </c>
      <c r="L95" s="9"/>
      <c r="M95" s="9"/>
    </row>
    <row r="96" spans="1:13" ht="14.1" customHeight="1">
      <c r="A96" s="4" t="e">
        <f>'SCHEDULE OF VALUE WORKSHEET'!#REF!</f>
        <v>#REF!</v>
      </c>
      <c r="B96" s="142" t="e">
        <f>'SCHEDULE OF VALUE WORKSHEET'!#REF!</f>
        <v>#REF!</v>
      </c>
      <c r="C96" s="143"/>
      <c r="D96" s="104" t="e">
        <f>SUM('SCHEDULE OF VALUE WORKSHEET'!#REF!)</f>
        <v>#REF!</v>
      </c>
      <c r="E96" s="104">
        <f>SUM('Draw #5'!E96:F96)</f>
        <v>0</v>
      </c>
      <c r="F96" s="105">
        <v>0</v>
      </c>
      <c r="G96" s="104" t="e">
        <f>SUM('Draw #5'!G96)+F96</f>
        <v>#REF!</v>
      </c>
      <c r="H96" s="109" t="e">
        <f t="shared" si="2"/>
        <v>#REF!</v>
      </c>
      <c r="I96" s="110">
        <v>0</v>
      </c>
      <c r="J96" s="109">
        <f>SUM(I96+'Draw #5'!J96)</f>
        <v>0</v>
      </c>
      <c r="K96" s="101" t="str">
        <f t="shared" si="3"/>
        <v/>
      </c>
      <c r="L96" s="9"/>
      <c r="M96" s="9"/>
    </row>
    <row r="97" spans="1:13" ht="14.1" customHeight="1">
      <c r="A97" s="4" t="e">
        <f>'SCHEDULE OF VALUE WORKSHEET'!#REF!</f>
        <v>#REF!</v>
      </c>
      <c r="B97" s="142" t="e">
        <f>'SCHEDULE OF VALUE WORKSHEET'!#REF!</f>
        <v>#REF!</v>
      </c>
      <c r="C97" s="143"/>
      <c r="D97" s="104" t="e">
        <f>SUM('SCHEDULE OF VALUE WORKSHEET'!#REF!)</f>
        <v>#REF!</v>
      </c>
      <c r="E97" s="104">
        <f>SUM('Draw #5'!E97:F97)</f>
        <v>0</v>
      </c>
      <c r="F97" s="105">
        <v>0</v>
      </c>
      <c r="G97" s="104" t="e">
        <f>SUM('Draw #5'!G97)+F97</f>
        <v>#REF!</v>
      </c>
      <c r="H97" s="109" t="e">
        <f t="shared" si="2"/>
        <v>#REF!</v>
      </c>
      <c r="I97" s="110">
        <v>0</v>
      </c>
      <c r="J97" s="109">
        <f>SUM(I97+'Draw #5'!J97)</f>
        <v>0</v>
      </c>
      <c r="K97" s="101" t="str">
        <f t="shared" si="3"/>
        <v/>
      </c>
      <c r="L97" s="9"/>
      <c r="M97" s="9"/>
    </row>
    <row r="98" spans="1:13" ht="14.1" customHeight="1">
      <c r="A98" s="4" t="e">
        <f>'SCHEDULE OF VALUE WORKSHEET'!#REF!</f>
        <v>#REF!</v>
      </c>
      <c r="B98" s="142" t="e">
        <f>'SCHEDULE OF VALUE WORKSHEET'!#REF!</f>
        <v>#REF!</v>
      </c>
      <c r="C98" s="143"/>
      <c r="D98" s="104" t="e">
        <f>SUM('SCHEDULE OF VALUE WORKSHEET'!#REF!)</f>
        <v>#REF!</v>
      </c>
      <c r="E98" s="104">
        <f>SUM('Draw #5'!E98:F98)</f>
        <v>0</v>
      </c>
      <c r="F98" s="105">
        <v>0</v>
      </c>
      <c r="G98" s="104" t="e">
        <f>SUM('Draw #5'!G98)+F98</f>
        <v>#REF!</v>
      </c>
      <c r="H98" s="109" t="e">
        <f t="shared" si="2"/>
        <v>#REF!</v>
      </c>
      <c r="I98" s="110">
        <v>0</v>
      </c>
      <c r="J98" s="109">
        <f>SUM(I98+'Draw #5'!J98)</f>
        <v>0</v>
      </c>
      <c r="K98" s="101" t="str">
        <f t="shared" si="3"/>
        <v/>
      </c>
      <c r="L98" s="9"/>
      <c r="M98" s="9"/>
    </row>
    <row r="99" spans="1:13" ht="14.1" customHeight="1">
      <c r="A99" s="4" t="e">
        <f>'SCHEDULE OF VALUE WORKSHEET'!#REF!</f>
        <v>#REF!</v>
      </c>
      <c r="B99" s="142" t="e">
        <f>'SCHEDULE OF VALUE WORKSHEET'!#REF!</f>
        <v>#REF!</v>
      </c>
      <c r="C99" s="143"/>
      <c r="D99" s="104" t="e">
        <f>SUM('SCHEDULE OF VALUE WORKSHEET'!#REF!)</f>
        <v>#REF!</v>
      </c>
      <c r="E99" s="104">
        <f>SUM('Draw #5'!E99:F99)</f>
        <v>0</v>
      </c>
      <c r="F99" s="105">
        <v>0</v>
      </c>
      <c r="G99" s="104" t="e">
        <f>SUM('Draw #5'!G99)+F99</f>
        <v>#REF!</v>
      </c>
      <c r="H99" s="109" t="e">
        <f t="shared" si="2"/>
        <v>#REF!</v>
      </c>
      <c r="I99" s="110">
        <v>0</v>
      </c>
      <c r="J99" s="109">
        <f>SUM(I99+'Draw #5'!J99)</f>
        <v>0</v>
      </c>
      <c r="K99" s="101" t="str">
        <f t="shared" si="3"/>
        <v/>
      </c>
      <c r="L99" s="9"/>
      <c r="M99" s="9"/>
    </row>
    <row r="100" spans="1:13" ht="14.1" customHeight="1">
      <c r="A100" s="4" t="e">
        <f>'SCHEDULE OF VALUE WORKSHEET'!#REF!</f>
        <v>#REF!</v>
      </c>
      <c r="B100" s="142" t="e">
        <f>'SCHEDULE OF VALUE WORKSHEET'!#REF!</f>
        <v>#REF!</v>
      </c>
      <c r="C100" s="143"/>
      <c r="D100" s="104" t="e">
        <f>SUM('SCHEDULE OF VALUE WORKSHEET'!#REF!)</f>
        <v>#REF!</v>
      </c>
      <c r="E100" s="104">
        <f>SUM('Draw #5'!E100:F100)</f>
        <v>0</v>
      </c>
      <c r="F100" s="105">
        <v>0</v>
      </c>
      <c r="G100" s="104" t="e">
        <f>SUM('Draw #5'!G100)+F100</f>
        <v>#REF!</v>
      </c>
      <c r="H100" s="109" t="e">
        <f t="shared" si="2"/>
        <v>#REF!</v>
      </c>
      <c r="I100" s="110">
        <v>0</v>
      </c>
      <c r="J100" s="109">
        <f>SUM(I100+'Draw #5'!J100)</f>
        <v>0</v>
      </c>
      <c r="K100" s="101" t="str">
        <f t="shared" si="3"/>
        <v/>
      </c>
      <c r="L100" s="9"/>
      <c r="M100" s="9"/>
    </row>
    <row r="101" spans="1:13" ht="14.1" customHeight="1">
      <c r="A101" s="4" t="e">
        <f>'SCHEDULE OF VALUE WORKSHEET'!#REF!</f>
        <v>#REF!</v>
      </c>
      <c r="B101" s="142" t="e">
        <f>'SCHEDULE OF VALUE WORKSHEET'!#REF!</f>
        <v>#REF!</v>
      </c>
      <c r="C101" s="143"/>
      <c r="D101" s="104" t="e">
        <f>SUM('SCHEDULE OF VALUE WORKSHEET'!#REF!)</f>
        <v>#REF!</v>
      </c>
      <c r="E101" s="104">
        <f>SUM('Draw #5'!E101:F101)</f>
        <v>0</v>
      </c>
      <c r="F101" s="105">
        <v>0</v>
      </c>
      <c r="G101" s="104" t="e">
        <f>SUM('Draw #5'!G101)+F101</f>
        <v>#REF!</v>
      </c>
      <c r="H101" s="109" t="e">
        <f t="shared" si="2"/>
        <v>#REF!</v>
      </c>
      <c r="I101" s="110">
        <v>0</v>
      </c>
      <c r="J101" s="109">
        <f>SUM(I101+'Draw #5'!J101)</f>
        <v>0</v>
      </c>
      <c r="K101" s="101" t="str">
        <f t="shared" si="3"/>
        <v/>
      </c>
      <c r="L101" s="9"/>
      <c r="M101" s="9"/>
    </row>
    <row r="102" spans="1:13" ht="14.1" customHeight="1">
      <c r="A102" s="4" t="e">
        <f>'SCHEDULE OF VALUE WORKSHEET'!#REF!</f>
        <v>#REF!</v>
      </c>
      <c r="B102" s="142" t="e">
        <f>'SCHEDULE OF VALUE WORKSHEET'!#REF!</f>
        <v>#REF!</v>
      </c>
      <c r="C102" s="143"/>
      <c r="D102" s="104" t="e">
        <f>SUM('SCHEDULE OF VALUE WORKSHEET'!#REF!)</f>
        <v>#REF!</v>
      </c>
      <c r="E102" s="104">
        <f>SUM('Draw #5'!E102:F102)</f>
        <v>0</v>
      </c>
      <c r="F102" s="105">
        <v>0</v>
      </c>
      <c r="G102" s="104" t="e">
        <f>SUM('Draw #5'!G102)+F102</f>
        <v>#REF!</v>
      </c>
      <c r="H102" s="109" t="e">
        <f t="shared" si="2"/>
        <v>#REF!</v>
      </c>
      <c r="I102" s="110">
        <v>0</v>
      </c>
      <c r="J102" s="109">
        <f>SUM(I102+'Draw #5'!J102)</f>
        <v>0</v>
      </c>
      <c r="K102" s="101" t="str">
        <f t="shared" si="3"/>
        <v/>
      </c>
      <c r="L102" s="9"/>
      <c r="M102" s="9"/>
    </row>
    <row r="103" spans="1:13" ht="14.1" customHeight="1">
      <c r="A103" s="4" t="e">
        <f>'SCHEDULE OF VALUE WORKSHEET'!#REF!</f>
        <v>#REF!</v>
      </c>
      <c r="B103" s="142" t="e">
        <f>'SCHEDULE OF VALUE WORKSHEET'!#REF!</f>
        <v>#REF!</v>
      </c>
      <c r="C103" s="143"/>
      <c r="D103" s="104" t="e">
        <f>SUM('SCHEDULE OF VALUE WORKSHEET'!#REF!)</f>
        <v>#REF!</v>
      </c>
      <c r="E103" s="104">
        <f>SUM('Draw #5'!E103:F103)</f>
        <v>0</v>
      </c>
      <c r="F103" s="105">
        <v>0</v>
      </c>
      <c r="G103" s="104" t="e">
        <f>SUM('Draw #5'!G103)+F103</f>
        <v>#REF!</v>
      </c>
      <c r="H103" s="109" t="e">
        <f t="shared" si="2"/>
        <v>#REF!</v>
      </c>
      <c r="I103" s="110">
        <v>0</v>
      </c>
      <c r="J103" s="109">
        <f>SUM(I103+'Draw #5'!J103)</f>
        <v>0</v>
      </c>
      <c r="K103" s="101" t="str">
        <f t="shared" si="3"/>
        <v/>
      </c>
      <c r="L103" s="9"/>
      <c r="M103" s="9"/>
    </row>
    <row r="104" spans="1:13" ht="14.1" customHeight="1">
      <c r="A104" s="4" t="e">
        <f>'SCHEDULE OF VALUE WORKSHEET'!#REF!</f>
        <v>#REF!</v>
      </c>
      <c r="B104" s="142" t="e">
        <f>'SCHEDULE OF VALUE WORKSHEET'!#REF!</f>
        <v>#REF!</v>
      </c>
      <c r="C104" s="143"/>
      <c r="D104" s="104" t="e">
        <f>SUM('SCHEDULE OF VALUE WORKSHEET'!#REF!)</f>
        <v>#REF!</v>
      </c>
      <c r="E104" s="104">
        <f>SUM('Draw #5'!E104:F104)</f>
        <v>0</v>
      </c>
      <c r="F104" s="105">
        <v>0</v>
      </c>
      <c r="G104" s="104" t="e">
        <f>SUM('Draw #5'!G104)+F104</f>
        <v>#REF!</v>
      </c>
      <c r="H104" s="109" t="e">
        <f t="shared" si="2"/>
        <v>#REF!</v>
      </c>
      <c r="I104" s="110">
        <v>0</v>
      </c>
      <c r="J104" s="109">
        <f>SUM(I104+'Draw #5'!J104)</f>
        <v>0</v>
      </c>
      <c r="K104" s="101" t="str">
        <f t="shared" si="3"/>
        <v/>
      </c>
      <c r="L104" s="9"/>
      <c r="M104" s="9"/>
    </row>
    <row r="105" spans="1:13" ht="14.1" customHeight="1">
      <c r="A105" s="4" t="e">
        <f>'SCHEDULE OF VALUE WORKSHEET'!#REF!</f>
        <v>#REF!</v>
      </c>
      <c r="B105" s="142" t="e">
        <f>'SCHEDULE OF VALUE WORKSHEET'!#REF!</f>
        <v>#REF!</v>
      </c>
      <c r="C105" s="143"/>
      <c r="D105" s="104" t="e">
        <f>SUM('SCHEDULE OF VALUE WORKSHEET'!#REF!)</f>
        <v>#REF!</v>
      </c>
      <c r="E105" s="104">
        <f>SUM('Draw #5'!E105:F105)</f>
        <v>0</v>
      </c>
      <c r="F105" s="105">
        <v>0</v>
      </c>
      <c r="G105" s="104" t="e">
        <f>SUM('Draw #5'!G105)+F105</f>
        <v>#REF!</v>
      </c>
      <c r="H105" s="109" t="e">
        <f t="shared" si="2"/>
        <v>#REF!</v>
      </c>
      <c r="I105" s="110">
        <v>0</v>
      </c>
      <c r="J105" s="109">
        <f>SUM(I105+'Draw #5'!J105)</f>
        <v>0</v>
      </c>
      <c r="K105" s="101" t="str">
        <f t="shared" si="3"/>
        <v/>
      </c>
      <c r="L105" s="9"/>
      <c r="M105" s="9"/>
    </row>
    <row r="106" spans="1:13" ht="14.1" customHeight="1">
      <c r="A106" s="4" t="e">
        <f>'SCHEDULE OF VALUE WORKSHEET'!#REF!</f>
        <v>#REF!</v>
      </c>
      <c r="B106" s="142" t="e">
        <f>'SCHEDULE OF VALUE WORKSHEET'!#REF!</f>
        <v>#REF!</v>
      </c>
      <c r="C106" s="143"/>
      <c r="D106" s="104" t="e">
        <f>SUM('SCHEDULE OF VALUE WORKSHEET'!#REF!)</f>
        <v>#REF!</v>
      </c>
      <c r="E106" s="104">
        <f>SUM('Draw #5'!E106:F106)</f>
        <v>0</v>
      </c>
      <c r="F106" s="105">
        <v>0</v>
      </c>
      <c r="G106" s="104" t="e">
        <f>SUM('Draw #5'!G106)+F106</f>
        <v>#REF!</v>
      </c>
      <c r="H106" s="109" t="e">
        <f t="shared" si="2"/>
        <v>#REF!</v>
      </c>
      <c r="I106" s="110">
        <v>0</v>
      </c>
      <c r="J106" s="109">
        <f>SUM(I106+'Draw #5'!J106)</f>
        <v>0</v>
      </c>
      <c r="K106" s="101" t="str">
        <f t="shared" si="3"/>
        <v/>
      </c>
      <c r="L106" s="9"/>
      <c r="M106" s="9"/>
    </row>
    <row r="107" spans="1:13" ht="14.1" customHeight="1">
      <c r="A107" s="4" t="e">
        <f>'SCHEDULE OF VALUE WORKSHEET'!#REF!</f>
        <v>#REF!</v>
      </c>
      <c r="B107" s="142" t="e">
        <f>'SCHEDULE OF VALUE WORKSHEET'!#REF!</f>
        <v>#REF!</v>
      </c>
      <c r="C107" s="143"/>
      <c r="D107" s="104" t="e">
        <f>SUM('SCHEDULE OF VALUE WORKSHEET'!#REF!)</f>
        <v>#REF!</v>
      </c>
      <c r="E107" s="104">
        <f>SUM('Draw #5'!E107:F107)</f>
        <v>0</v>
      </c>
      <c r="F107" s="105">
        <v>0</v>
      </c>
      <c r="G107" s="104" t="e">
        <f>SUM('Draw #5'!G107)+F107</f>
        <v>#REF!</v>
      </c>
      <c r="H107" s="109" t="e">
        <f t="shared" si="2"/>
        <v>#REF!</v>
      </c>
      <c r="I107" s="110">
        <v>0</v>
      </c>
      <c r="J107" s="109">
        <f>SUM(I107+'Draw #5'!J107)</f>
        <v>0</v>
      </c>
      <c r="K107" s="101" t="str">
        <f t="shared" si="3"/>
        <v/>
      </c>
      <c r="L107" s="9"/>
      <c r="M107" s="9"/>
    </row>
    <row r="108" spans="1:13" ht="14.1" customHeight="1">
      <c r="A108" s="4" t="e">
        <f>'SCHEDULE OF VALUE WORKSHEET'!#REF!</f>
        <v>#REF!</v>
      </c>
      <c r="B108" s="142" t="e">
        <f>'SCHEDULE OF VALUE WORKSHEET'!#REF!</f>
        <v>#REF!</v>
      </c>
      <c r="C108" s="143"/>
      <c r="D108" s="104" t="e">
        <f>SUM('SCHEDULE OF VALUE WORKSHEET'!#REF!)</f>
        <v>#REF!</v>
      </c>
      <c r="E108" s="104">
        <f>SUM('Draw #5'!E108:F108)</f>
        <v>0</v>
      </c>
      <c r="F108" s="105">
        <v>0</v>
      </c>
      <c r="G108" s="104" t="e">
        <f>SUM('Draw #5'!G108)+F108</f>
        <v>#REF!</v>
      </c>
      <c r="H108" s="109" t="e">
        <f t="shared" si="2"/>
        <v>#REF!</v>
      </c>
      <c r="I108" s="110">
        <v>0</v>
      </c>
      <c r="J108" s="109">
        <f>SUM(I108+'Draw #5'!J108)</f>
        <v>0</v>
      </c>
      <c r="K108" s="101" t="str">
        <f t="shared" si="3"/>
        <v/>
      </c>
      <c r="L108" s="9"/>
      <c r="M108" s="9"/>
    </row>
    <row r="109" spans="1:13" ht="14.1" customHeight="1">
      <c r="A109" s="4" t="e">
        <f>'SCHEDULE OF VALUE WORKSHEET'!#REF!</f>
        <v>#REF!</v>
      </c>
      <c r="B109" s="142" t="e">
        <f>'SCHEDULE OF VALUE WORKSHEET'!#REF!</f>
        <v>#REF!</v>
      </c>
      <c r="C109" s="143"/>
      <c r="D109" s="104" t="e">
        <f>SUM('SCHEDULE OF VALUE WORKSHEET'!#REF!)</f>
        <v>#REF!</v>
      </c>
      <c r="E109" s="104">
        <f>SUM('Draw #5'!E109:F109)</f>
        <v>0</v>
      </c>
      <c r="F109" s="105">
        <v>0</v>
      </c>
      <c r="G109" s="104" t="e">
        <f>SUM('Draw #5'!G109)+F109</f>
        <v>#REF!</v>
      </c>
      <c r="H109" s="109" t="e">
        <f t="shared" si="2"/>
        <v>#REF!</v>
      </c>
      <c r="I109" s="110">
        <v>0</v>
      </c>
      <c r="J109" s="109">
        <f>SUM(I109+'Draw #5'!J109)</f>
        <v>0</v>
      </c>
      <c r="K109" s="101" t="str">
        <f t="shared" si="3"/>
        <v/>
      </c>
      <c r="L109" s="9"/>
      <c r="M109" s="9"/>
    </row>
    <row r="110" spans="1:13" ht="14.1" customHeight="1">
      <c r="A110" s="4" t="e">
        <f>'SCHEDULE OF VALUE WORKSHEET'!#REF!</f>
        <v>#REF!</v>
      </c>
      <c r="B110" s="142" t="e">
        <f>'SCHEDULE OF VALUE WORKSHEET'!#REF!</f>
        <v>#REF!</v>
      </c>
      <c r="C110" s="143"/>
      <c r="D110" s="104" t="e">
        <f>SUM('SCHEDULE OF VALUE WORKSHEET'!#REF!)</f>
        <v>#REF!</v>
      </c>
      <c r="E110" s="104">
        <f>SUM('Draw #5'!E110:F110)</f>
        <v>0</v>
      </c>
      <c r="F110" s="105">
        <v>0</v>
      </c>
      <c r="G110" s="104" t="e">
        <f>SUM('Draw #5'!G110)+F110</f>
        <v>#REF!</v>
      </c>
      <c r="H110" s="109" t="e">
        <f t="shared" si="2"/>
        <v>#REF!</v>
      </c>
      <c r="I110" s="110">
        <v>0</v>
      </c>
      <c r="J110" s="109">
        <f>SUM(I110+'Draw #5'!J110)</f>
        <v>0</v>
      </c>
      <c r="K110" s="101" t="str">
        <f t="shared" si="3"/>
        <v/>
      </c>
      <c r="L110" s="9"/>
      <c r="M110" s="9"/>
    </row>
    <row r="111" spans="1:13" ht="14.1" customHeight="1">
      <c r="A111" s="4" t="e">
        <f>'SCHEDULE OF VALUE WORKSHEET'!#REF!</f>
        <v>#REF!</v>
      </c>
      <c r="B111" s="142" t="e">
        <f>'SCHEDULE OF VALUE WORKSHEET'!#REF!</f>
        <v>#REF!</v>
      </c>
      <c r="C111" s="143"/>
      <c r="D111" s="104" t="e">
        <f>SUM('SCHEDULE OF VALUE WORKSHEET'!#REF!)</f>
        <v>#REF!</v>
      </c>
      <c r="E111" s="104">
        <f>SUM('Draw #5'!E111:F111)</f>
        <v>0</v>
      </c>
      <c r="F111" s="105">
        <v>0</v>
      </c>
      <c r="G111" s="104" t="e">
        <f>SUM('Draw #5'!G111)+F111</f>
        <v>#REF!</v>
      </c>
      <c r="H111" s="109" t="e">
        <f t="shared" si="2"/>
        <v>#REF!</v>
      </c>
      <c r="I111" s="110">
        <v>0</v>
      </c>
      <c r="J111" s="109">
        <f>SUM(I111+'Draw #5'!J111)</f>
        <v>0</v>
      </c>
      <c r="K111" s="101" t="str">
        <f t="shared" si="3"/>
        <v/>
      </c>
      <c r="L111" s="9"/>
      <c r="M111" s="9"/>
    </row>
    <row r="112" spans="1:13" ht="14.1" customHeight="1">
      <c r="A112" s="4" t="e">
        <f>'SCHEDULE OF VALUE WORKSHEET'!#REF!</f>
        <v>#REF!</v>
      </c>
      <c r="B112" s="142" t="e">
        <f>'SCHEDULE OF VALUE WORKSHEET'!#REF!</f>
        <v>#REF!</v>
      </c>
      <c r="C112" s="143"/>
      <c r="D112" s="104" t="e">
        <f>SUM('SCHEDULE OF VALUE WORKSHEET'!#REF!)</f>
        <v>#REF!</v>
      </c>
      <c r="E112" s="104">
        <f>SUM('Draw #5'!E112:F112)</f>
        <v>0</v>
      </c>
      <c r="F112" s="105">
        <v>0</v>
      </c>
      <c r="G112" s="104" t="e">
        <f>SUM('Draw #5'!G112)+F112</f>
        <v>#REF!</v>
      </c>
      <c r="H112" s="109" t="e">
        <f t="shared" si="2"/>
        <v>#REF!</v>
      </c>
      <c r="I112" s="110">
        <v>0</v>
      </c>
      <c r="J112" s="109">
        <f>SUM(I112+'Draw #5'!J112)</f>
        <v>0</v>
      </c>
      <c r="K112" s="101" t="str">
        <f t="shared" si="3"/>
        <v/>
      </c>
      <c r="L112" s="9"/>
      <c r="M112" s="9"/>
    </row>
    <row r="113" spans="1:13" ht="14.1" customHeight="1">
      <c r="A113" s="4" t="e">
        <f>'SCHEDULE OF VALUE WORKSHEET'!#REF!</f>
        <v>#REF!</v>
      </c>
      <c r="B113" s="142" t="e">
        <f>'SCHEDULE OF VALUE WORKSHEET'!#REF!</f>
        <v>#REF!</v>
      </c>
      <c r="C113" s="143"/>
      <c r="D113" s="104" t="e">
        <f>SUM('SCHEDULE OF VALUE WORKSHEET'!#REF!)</f>
        <v>#REF!</v>
      </c>
      <c r="E113" s="104">
        <f>SUM('Draw #5'!E113:F113)</f>
        <v>0</v>
      </c>
      <c r="F113" s="105">
        <v>0</v>
      </c>
      <c r="G113" s="104" t="e">
        <f>SUM('Draw #5'!G113)+F113</f>
        <v>#REF!</v>
      </c>
      <c r="H113" s="109" t="e">
        <f t="shared" si="2"/>
        <v>#REF!</v>
      </c>
      <c r="I113" s="110">
        <v>0</v>
      </c>
      <c r="J113" s="109">
        <f>SUM(I113+'Draw #5'!J113)</f>
        <v>0</v>
      </c>
      <c r="K113" s="101" t="str">
        <f t="shared" si="3"/>
        <v/>
      </c>
      <c r="L113" s="9"/>
      <c r="M113" s="9"/>
    </row>
    <row r="114" spans="1:13" ht="14.1" customHeight="1">
      <c r="A114" s="4" t="e">
        <f>'SCHEDULE OF VALUE WORKSHEET'!#REF!</f>
        <v>#REF!</v>
      </c>
      <c r="B114" s="142" t="e">
        <f>'SCHEDULE OF VALUE WORKSHEET'!#REF!</f>
        <v>#REF!</v>
      </c>
      <c r="C114" s="143"/>
      <c r="D114" s="104" t="e">
        <f>SUM('SCHEDULE OF VALUE WORKSHEET'!#REF!)</f>
        <v>#REF!</v>
      </c>
      <c r="E114" s="104">
        <f>SUM('Draw #5'!E114:F114)</f>
        <v>0</v>
      </c>
      <c r="F114" s="105">
        <v>0</v>
      </c>
      <c r="G114" s="104" t="e">
        <f>SUM('Draw #5'!G114)+F114</f>
        <v>#REF!</v>
      </c>
      <c r="H114" s="109" t="e">
        <f t="shared" si="2"/>
        <v>#REF!</v>
      </c>
      <c r="I114" s="110">
        <v>0</v>
      </c>
      <c r="J114" s="109">
        <f>SUM(I114+'Draw #5'!J114)</f>
        <v>0</v>
      </c>
      <c r="K114" s="101" t="str">
        <f t="shared" si="3"/>
        <v/>
      </c>
      <c r="L114" s="9"/>
      <c r="M114" s="9"/>
    </row>
    <row r="115" spans="1:13" ht="14.1" customHeight="1">
      <c r="A115" s="4" t="e">
        <f>'SCHEDULE OF VALUE WORKSHEET'!#REF!</f>
        <v>#REF!</v>
      </c>
      <c r="B115" s="142" t="e">
        <f>'SCHEDULE OF VALUE WORKSHEET'!#REF!</f>
        <v>#REF!</v>
      </c>
      <c r="C115" s="143"/>
      <c r="D115" s="104" t="e">
        <f>SUM('SCHEDULE OF VALUE WORKSHEET'!#REF!)</f>
        <v>#REF!</v>
      </c>
      <c r="E115" s="104">
        <f>SUM('Draw #5'!E115:F115)</f>
        <v>0</v>
      </c>
      <c r="F115" s="105">
        <v>0</v>
      </c>
      <c r="G115" s="104" t="e">
        <f>SUM('Draw #5'!G115)+F115</f>
        <v>#REF!</v>
      </c>
      <c r="H115" s="109" t="e">
        <f t="shared" si="2"/>
        <v>#REF!</v>
      </c>
      <c r="I115" s="110">
        <v>0</v>
      </c>
      <c r="J115" s="109">
        <f>SUM(I115+'Draw #5'!J115)</f>
        <v>0</v>
      </c>
      <c r="K115" s="101" t="str">
        <f t="shared" si="3"/>
        <v/>
      </c>
      <c r="L115" s="9"/>
      <c r="M115" s="9"/>
    </row>
    <row r="116" spans="1:13" ht="14.1" customHeight="1">
      <c r="A116" s="4" t="e">
        <f>'SCHEDULE OF VALUE WORKSHEET'!#REF!</f>
        <v>#REF!</v>
      </c>
      <c r="B116" s="142" t="e">
        <f>'SCHEDULE OF VALUE WORKSHEET'!#REF!</f>
        <v>#REF!</v>
      </c>
      <c r="C116" s="143"/>
      <c r="D116" s="104" t="e">
        <f>SUM('SCHEDULE OF VALUE WORKSHEET'!#REF!)</f>
        <v>#REF!</v>
      </c>
      <c r="E116" s="104">
        <f>SUM('Draw #5'!E116:F116)</f>
        <v>0</v>
      </c>
      <c r="F116" s="105">
        <v>0</v>
      </c>
      <c r="G116" s="104" t="e">
        <f>SUM('Draw #5'!G116)+F116</f>
        <v>#REF!</v>
      </c>
      <c r="H116" s="109" t="e">
        <f t="shared" si="2"/>
        <v>#REF!</v>
      </c>
      <c r="I116" s="110">
        <v>0</v>
      </c>
      <c r="J116" s="109">
        <f>SUM(I116+'Draw #5'!J116)</f>
        <v>0</v>
      </c>
      <c r="K116" s="101" t="str">
        <f t="shared" si="3"/>
        <v/>
      </c>
      <c r="L116" s="9"/>
      <c r="M116" s="9"/>
    </row>
    <row r="117" spans="1:13" ht="14.1" customHeight="1">
      <c r="A117" s="4">
        <f>'SCHEDULE OF VALUE WORKSHEET'!A87</f>
        <v>82</v>
      </c>
      <c r="B117" s="142" t="str">
        <f>'SCHEDULE OF VALUE WORKSHEET'!B87</f>
        <v xml:space="preserve">Open Item </v>
      </c>
      <c r="C117" s="143"/>
      <c r="D117" s="104">
        <f>SUM('SCHEDULE OF VALUE WORKSHEET'!E87)</f>
        <v>0</v>
      </c>
      <c r="E117" s="104">
        <f>SUM('Draw #5'!E117:F117)</f>
        <v>0</v>
      </c>
      <c r="F117" s="105">
        <v>0</v>
      </c>
      <c r="G117" s="104">
        <f>SUM('Draw #5'!G117)+F117</f>
        <v>0</v>
      </c>
      <c r="H117" s="109">
        <f t="shared" si="2"/>
        <v>0</v>
      </c>
      <c r="I117" s="110">
        <v>0</v>
      </c>
      <c r="J117" s="109">
        <f>SUM(I117+'Draw #5'!J117)</f>
        <v>0</v>
      </c>
      <c r="K117" s="101" t="str">
        <f t="shared" si="3"/>
        <v/>
      </c>
      <c r="L117" s="9"/>
      <c r="M117" s="9"/>
    </row>
    <row r="118" spans="1:13" ht="14.1" customHeight="1">
      <c r="A118" s="4">
        <f>'SCHEDULE OF VALUE WORKSHEET'!A88</f>
        <v>83</v>
      </c>
      <c r="B118" s="142" t="str">
        <f>'SCHEDULE OF VALUE WORKSHEET'!B88</f>
        <v xml:space="preserve">Open Item </v>
      </c>
      <c r="C118" s="143"/>
      <c r="D118" s="104">
        <f>SUM('SCHEDULE OF VALUE WORKSHEET'!E88)</f>
        <v>0</v>
      </c>
      <c r="E118" s="104">
        <f>SUM('Draw #5'!E118:F118)</f>
        <v>0</v>
      </c>
      <c r="F118" s="105">
        <v>0</v>
      </c>
      <c r="G118" s="104">
        <f>SUM('Draw #5'!G118)+F118</f>
        <v>0</v>
      </c>
      <c r="H118" s="109">
        <f t="shared" si="2"/>
        <v>0</v>
      </c>
      <c r="I118" s="110">
        <v>0</v>
      </c>
      <c r="J118" s="109">
        <f>SUM(I118+'Draw #5'!J118)</f>
        <v>0</v>
      </c>
      <c r="K118" s="101" t="str">
        <f t="shared" si="3"/>
        <v/>
      </c>
      <c r="L118" s="9"/>
      <c r="M118" s="9"/>
    </row>
    <row r="119" spans="1:13" ht="14.1" customHeight="1">
      <c r="A119" s="4">
        <f>'SCHEDULE OF VALUE WORKSHEET'!A89</f>
        <v>84</v>
      </c>
      <c r="B119" s="142" t="str">
        <f>'SCHEDULE OF VALUE WORKSHEET'!B89</f>
        <v xml:space="preserve">Open Item </v>
      </c>
      <c r="C119" s="143"/>
      <c r="D119" s="104">
        <f>SUM('SCHEDULE OF VALUE WORKSHEET'!E89)</f>
        <v>0</v>
      </c>
      <c r="E119" s="104">
        <f>SUM('Draw #5'!E119:F119)</f>
        <v>0</v>
      </c>
      <c r="F119" s="105">
        <v>0</v>
      </c>
      <c r="G119" s="104">
        <f>SUM('Draw #5'!G119)+F119</f>
        <v>0</v>
      </c>
      <c r="H119" s="109">
        <f t="shared" si="2"/>
        <v>0</v>
      </c>
      <c r="I119" s="110">
        <v>0</v>
      </c>
      <c r="J119" s="109">
        <f>SUM(I119+'Draw #5'!J119)</f>
        <v>0</v>
      </c>
      <c r="K119" s="101" t="str">
        <f t="shared" si="3"/>
        <v/>
      </c>
      <c r="L119" s="9"/>
      <c r="M119" s="9"/>
    </row>
    <row r="120" spans="1:13" ht="14.1" customHeight="1">
      <c r="A120" s="4">
        <f>'SCHEDULE OF VALUE WORKSHEET'!A90</f>
        <v>85</v>
      </c>
      <c r="B120" s="142" t="str">
        <f>'SCHEDULE OF VALUE WORKSHEET'!B90</f>
        <v xml:space="preserve">Open Item </v>
      </c>
      <c r="C120" s="143"/>
      <c r="D120" s="104">
        <f>SUM('SCHEDULE OF VALUE WORKSHEET'!E90)</f>
        <v>0</v>
      </c>
      <c r="E120" s="104">
        <f>SUM('Draw #5'!E120:F120)</f>
        <v>0</v>
      </c>
      <c r="F120" s="105">
        <v>0</v>
      </c>
      <c r="G120" s="104">
        <f>SUM('Draw #5'!G120)+F120</f>
        <v>0</v>
      </c>
      <c r="H120" s="109">
        <f t="shared" si="2"/>
        <v>0</v>
      </c>
      <c r="I120" s="110">
        <v>0</v>
      </c>
      <c r="J120" s="109">
        <f>SUM(I120+'Draw #5'!J120)</f>
        <v>0</v>
      </c>
      <c r="K120" s="101" t="str">
        <f t="shared" si="3"/>
        <v/>
      </c>
      <c r="L120" s="9"/>
      <c r="M120" s="9"/>
    </row>
    <row r="121" spans="1:13" ht="14.1" customHeight="1">
      <c r="A121" s="4">
        <f>'SCHEDULE OF VALUE WORKSHEET'!A91</f>
        <v>86</v>
      </c>
      <c r="B121" s="142" t="str">
        <f>'SCHEDULE OF VALUE WORKSHEET'!B91</f>
        <v xml:space="preserve">Open Item </v>
      </c>
      <c r="C121" s="143"/>
      <c r="D121" s="104">
        <f>SUM('SCHEDULE OF VALUE WORKSHEET'!E91)</f>
        <v>0</v>
      </c>
      <c r="E121" s="104">
        <f>SUM('Draw #5'!E121:F121)</f>
        <v>0</v>
      </c>
      <c r="F121" s="105">
        <v>0</v>
      </c>
      <c r="G121" s="104">
        <f>SUM('Draw #5'!G121)+F121</f>
        <v>0</v>
      </c>
      <c r="H121" s="109">
        <f t="shared" si="2"/>
        <v>0</v>
      </c>
      <c r="I121" s="110">
        <v>0</v>
      </c>
      <c r="J121" s="109">
        <f>SUM(I121+'Draw #5'!J121)</f>
        <v>0</v>
      </c>
      <c r="K121" s="101" t="str">
        <f t="shared" si="3"/>
        <v/>
      </c>
      <c r="L121" s="9"/>
      <c r="M121" s="9"/>
    </row>
    <row r="122" spans="1:13" ht="14.1" customHeight="1">
      <c r="A122" s="4">
        <f>'SCHEDULE OF VALUE WORKSHEET'!A92</f>
        <v>87</v>
      </c>
      <c r="B122" s="142" t="str">
        <f>'SCHEDULE OF VALUE WORKSHEET'!B92</f>
        <v xml:space="preserve">Open Item </v>
      </c>
      <c r="C122" s="143"/>
      <c r="D122" s="104">
        <f>SUM('SCHEDULE OF VALUE WORKSHEET'!E92)</f>
        <v>0</v>
      </c>
      <c r="E122" s="104">
        <f>SUM('Draw #5'!E122:F122)</f>
        <v>0</v>
      </c>
      <c r="F122" s="105">
        <v>0</v>
      </c>
      <c r="G122" s="104">
        <f>SUM('Draw #5'!G122)+F122</f>
        <v>0</v>
      </c>
      <c r="H122" s="109">
        <f t="shared" si="2"/>
        <v>0</v>
      </c>
      <c r="I122" s="110">
        <v>0</v>
      </c>
      <c r="J122" s="109">
        <f>SUM(I122+'Draw #5'!J122)</f>
        <v>0</v>
      </c>
      <c r="K122" s="101" t="str">
        <f t="shared" si="3"/>
        <v/>
      </c>
      <c r="L122" s="9"/>
      <c r="M122" s="9"/>
    </row>
    <row r="123" spans="1:13" ht="14.1" customHeight="1">
      <c r="A123" s="4">
        <f>'SCHEDULE OF VALUE WORKSHEET'!A93</f>
        <v>88</v>
      </c>
      <c r="B123" s="142" t="str">
        <f>'SCHEDULE OF VALUE WORKSHEET'!B93</f>
        <v xml:space="preserve">Open Item </v>
      </c>
      <c r="C123" s="143"/>
      <c r="D123" s="104">
        <f>SUM('SCHEDULE OF VALUE WORKSHEET'!E93)</f>
        <v>0</v>
      </c>
      <c r="E123" s="104">
        <f>SUM('Draw #5'!E123:F123)</f>
        <v>0</v>
      </c>
      <c r="F123" s="105">
        <v>0</v>
      </c>
      <c r="G123" s="104">
        <f>SUM('Draw #5'!G123)+F123</f>
        <v>0</v>
      </c>
      <c r="H123" s="109">
        <f t="shared" si="2"/>
        <v>0</v>
      </c>
      <c r="I123" s="110">
        <v>0</v>
      </c>
      <c r="J123" s="109">
        <f>SUM(I123+'Draw #5'!J123)</f>
        <v>0</v>
      </c>
      <c r="K123" s="101" t="str">
        <f t="shared" si="3"/>
        <v/>
      </c>
      <c r="L123" s="9"/>
      <c r="M123" s="9"/>
    </row>
    <row r="124" spans="1:13" ht="14.1" customHeight="1">
      <c r="A124" s="4">
        <f>'SCHEDULE OF VALUE WORKSHEET'!A94</f>
        <v>89</v>
      </c>
      <c r="B124" s="142" t="str">
        <f>'SCHEDULE OF VALUE WORKSHEET'!B94</f>
        <v xml:space="preserve">Open Item </v>
      </c>
      <c r="C124" s="143"/>
      <c r="D124" s="104">
        <f>SUM('SCHEDULE OF VALUE WORKSHEET'!E94)</f>
        <v>0</v>
      </c>
      <c r="E124" s="104">
        <f>SUM('Draw #5'!E124:F124)</f>
        <v>0</v>
      </c>
      <c r="F124" s="105">
        <v>0</v>
      </c>
      <c r="G124" s="104">
        <f>SUM('Draw #5'!G124)+F124</f>
        <v>0</v>
      </c>
      <c r="H124" s="109">
        <f t="shared" si="2"/>
        <v>0</v>
      </c>
      <c r="I124" s="110">
        <v>0</v>
      </c>
      <c r="J124" s="109">
        <f>SUM(I124+'Draw #5'!J124)</f>
        <v>0</v>
      </c>
      <c r="K124" s="101" t="str">
        <f t="shared" si="3"/>
        <v/>
      </c>
      <c r="L124" s="9"/>
      <c r="M124" s="9"/>
    </row>
    <row r="125" spans="1:13" ht="14.1" customHeight="1">
      <c r="A125" s="4">
        <f>'SCHEDULE OF VALUE WORKSHEET'!A95</f>
        <v>90</v>
      </c>
      <c r="B125" s="142" t="str">
        <f>'SCHEDULE OF VALUE WORKSHEET'!B95</f>
        <v xml:space="preserve">Open Item </v>
      </c>
      <c r="C125" s="143"/>
      <c r="D125" s="104">
        <f>SUM('SCHEDULE OF VALUE WORKSHEET'!E95)</f>
        <v>0</v>
      </c>
      <c r="E125" s="104">
        <f>SUM('Draw #5'!E125:F125)</f>
        <v>0</v>
      </c>
      <c r="F125" s="105">
        <v>0</v>
      </c>
      <c r="G125" s="104">
        <f>SUM('Draw #5'!G125)+F125</f>
        <v>0</v>
      </c>
      <c r="H125" s="109">
        <f t="shared" si="2"/>
        <v>0</v>
      </c>
      <c r="I125" s="110">
        <v>0</v>
      </c>
      <c r="J125" s="109">
        <f>SUM(I125+'Draw #5'!J125)</f>
        <v>0</v>
      </c>
      <c r="K125" s="101" t="str">
        <f t="shared" si="3"/>
        <v/>
      </c>
      <c r="L125" s="9"/>
      <c r="M125" s="9"/>
    </row>
    <row r="126" spans="1:13" ht="14.1" customHeight="1">
      <c r="A126" s="4">
        <f>'SCHEDULE OF VALUE WORKSHEET'!A96</f>
        <v>91</v>
      </c>
      <c r="B126" s="142" t="str">
        <f>'SCHEDULE OF VALUE WORKSHEET'!B96</f>
        <v xml:space="preserve">Open Item </v>
      </c>
      <c r="C126" s="143"/>
      <c r="D126" s="104">
        <f>SUM('SCHEDULE OF VALUE WORKSHEET'!E96)</f>
        <v>0</v>
      </c>
      <c r="E126" s="104">
        <f>SUM('Draw #5'!E126:F126)</f>
        <v>0</v>
      </c>
      <c r="F126" s="105">
        <v>0</v>
      </c>
      <c r="G126" s="104">
        <f>SUM('Draw #5'!G126)+F126</f>
        <v>0</v>
      </c>
      <c r="H126" s="109">
        <f t="shared" si="2"/>
        <v>0</v>
      </c>
      <c r="I126" s="110">
        <v>0</v>
      </c>
      <c r="J126" s="109">
        <f>SUM(I126+'Draw #5'!J126)</f>
        <v>0</v>
      </c>
      <c r="K126" s="101" t="str">
        <f t="shared" si="3"/>
        <v/>
      </c>
      <c r="L126" s="9"/>
      <c r="M126" s="9"/>
    </row>
    <row r="127" spans="1:13" ht="14.1" customHeight="1">
      <c r="A127" s="4">
        <f>'SCHEDULE OF VALUE WORKSHEET'!A97</f>
        <v>92</v>
      </c>
      <c r="B127" s="142" t="str">
        <f>'SCHEDULE OF VALUE WORKSHEET'!B97</f>
        <v xml:space="preserve">Open Item </v>
      </c>
      <c r="C127" s="143"/>
      <c r="D127" s="104">
        <f>SUM('SCHEDULE OF VALUE WORKSHEET'!E97)</f>
        <v>0</v>
      </c>
      <c r="E127" s="104">
        <f>SUM('Draw #5'!E127:F127)</f>
        <v>0</v>
      </c>
      <c r="F127" s="105">
        <v>0</v>
      </c>
      <c r="G127" s="104">
        <f>SUM('Draw #5'!G127)+F127</f>
        <v>0</v>
      </c>
      <c r="H127" s="109">
        <f t="shared" si="2"/>
        <v>0</v>
      </c>
      <c r="I127" s="110">
        <v>0</v>
      </c>
      <c r="J127" s="109">
        <f>SUM(I127+'Draw #5'!J127)</f>
        <v>0</v>
      </c>
      <c r="K127" s="101" t="str">
        <f t="shared" si="3"/>
        <v/>
      </c>
      <c r="L127" s="9"/>
      <c r="M127" s="9"/>
    </row>
    <row r="128" spans="1:13" ht="14.1" customHeight="1">
      <c r="A128" s="4">
        <f>'SCHEDULE OF VALUE WORKSHEET'!A98</f>
        <v>93</v>
      </c>
      <c r="B128" s="142" t="str">
        <f>'SCHEDULE OF VALUE WORKSHEET'!B98</f>
        <v xml:space="preserve">Open Item </v>
      </c>
      <c r="C128" s="143"/>
      <c r="D128" s="104">
        <f>SUM('SCHEDULE OF VALUE WORKSHEET'!E98)</f>
        <v>0</v>
      </c>
      <c r="E128" s="104">
        <f>SUM('Draw #5'!E128:F128)</f>
        <v>0</v>
      </c>
      <c r="F128" s="105">
        <v>0</v>
      </c>
      <c r="G128" s="104">
        <f>SUM('Draw #5'!G128)+F128</f>
        <v>0</v>
      </c>
      <c r="H128" s="109">
        <f t="shared" si="2"/>
        <v>0</v>
      </c>
      <c r="I128" s="110">
        <v>0</v>
      </c>
      <c r="J128" s="109">
        <f>SUM(I128+'Draw #5'!J128)</f>
        <v>0</v>
      </c>
      <c r="K128" s="101" t="str">
        <f t="shared" si="3"/>
        <v/>
      </c>
      <c r="L128" s="9"/>
      <c r="M128" s="9"/>
    </row>
    <row r="129" spans="1:13" ht="14.1" customHeight="1">
      <c r="A129" s="4">
        <f>'SCHEDULE OF VALUE WORKSHEET'!A99</f>
        <v>94</v>
      </c>
      <c r="B129" s="142" t="str">
        <f>'SCHEDULE OF VALUE WORKSHEET'!B99</f>
        <v xml:space="preserve">Open Item </v>
      </c>
      <c r="C129" s="143"/>
      <c r="D129" s="104">
        <f>SUM('SCHEDULE OF VALUE WORKSHEET'!E99)</f>
        <v>0</v>
      </c>
      <c r="E129" s="104">
        <f>SUM('Draw #5'!E129:F129)</f>
        <v>0</v>
      </c>
      <c r="F129" s="105">
        <v>0</v>
      </c>
      <c r="G129" s="104">
        <f>SUM('Draw #5'!G129)+F129</f>
        <v>0</v>
      </c>
      <c r="H129" s="109">
        <f t="shared" si="2"/>
        <v>0</v>
      </c>
      <c r="I129" s="110">
        <v>0</v>
      </c>
      <c r="J129" s="109">
        <f>SUM(I129+'Draw #5'!J129)</f>
        <v>0</v>
      </c>
      <c r="K129" s="101" t="str">
        <f t="shared" si="3"/>
        <v/>
      </c>
      <c r="L129" s="9"/>
      <c r="M129" s="9"/>
    </row>
    <row r="130" spans="1:13" ht="14.1" customHeight="1">
      <c r="A130" s="4">
        <f>'SCHEDULE OF VALUE WORKSHEET'!A100</f>
        <v>95</v>
      </c>
      <c r="B130" s="142" t="str">
        <f>'SCHEDULE OF VALUE WORKSHEET'!B100</f>
        <v xml:space="preserve">Open Item </v>
      </c>
      <c r="C130" s="143"/>
      <c r="D130" s="104">
        <f>SUM('SCHEDULE OF VALUE WORKSHEET'!E100)</f>
        <v>0</v>
      </c>
      <c r="E130" s="104">
        <f>SUM('Draw #5'!E130:F130)</f>
        <v>0</v>
      </c>
      <c r="F130" s="105">
        <v>0</v>
      </c>
      <c r="G130" s="104">
        <f>SUM('Draw #5'!G130)+F130</f>
        <v>0</v>
      </c>
      <c r="H130" s="109">
        <f t="shared" si="2"/>
        <v>0</v>
      </c>
      <c r="I130" s="110">
        <v>0</v>
      </c>
      <c r="J130" s="109">
        <f>SUM(I130+'Draw #5'!J130)</f>
        <v>0</v>
      </c>
      <c r="K130" s="101" t="str">
        <f t="shared" si="3"/>
        <v/>
      </c>
      <c r="L130" s="9"/>
      <c r="M130" s="9"/>
    </row>
    <row r="131" spans="1:13" ht="14.1" customHeight="1">
      <c r="A131" s="4">
        <f>'SCHEDULE OF VALUE WORKSHEET'!A101</f>
        <v>96</v>
      </c>
      <c r="B131" s="142" t="str">
        <f>'SCHEDULE OF VALUE WORKSHEET'!B101</f>
        <v xml:space="preserve">Open Item </v>
      </c>
      <c r="C131" s="143"/>
      <c r="D131" s="104">
        <f>SUM('SCHEDULE OF VALUE WORKSHEET'!E101)</f>
        <v>0</v>
      </c>
      <c r="E131" s="104">
        <f>SUM('Draw #5'!E131:F131)</f>
        <v>0</v>
      </c>
      <c r="F131" s="105">
        <v>0</v>
      </c>
      <c r="G131" s="104">
        <f>SUM('Draw #5'!G131)+F131</f>
        <v>0</v>
      </c>
      <c r="H131" s="109">
        <f t="shared" si="2"/>
        <v>0</v>
      </c>
      <c r="I131" s="110">
        <v>0</v>
      </c>
      <c r="J131" s="109">
        <f>SUM(I131+'Draw #5'!J131)</f>
        <v>0</v>
      </c>
      <c r="K131" s="101" t="str">
        <f t="shared" si="3"/>
        <v/>
      </c>
      <c r="L131" s="9"/>
      <c r="M131" s="9"/>
    </row>
    <row r="132" spans="1:13" ht="14.1" customHeight="1">
      <c r="A132" s="4">
        <f>'SCHEDULE OF VALUE WORKSHEET'!A102</f>
        <v>97</v>
      </c>
      <c r="B132" s="142" t="str">
        <f>'SCHEDULE OF VALUE WORKSHEET'!B102</f>
        <v xml:space="preserve">Open Item </v>
      </c>
      <c r="C132" s="143"/>
      <c r="D132" s="104">
        <f>SUM('SCHEDULE OF VALUE WORKSHEET'!E102)</f>
        <v>0</v>
      </c>
      <c r="E132" s="104">
        <f>SUM('Draw #5'!E132:F132)</f>
        <v>0</v>
      </c>
      <c r="F132" s="105">
        <v>0</v>
      </c>
      <c r="G132" s="104">
        <f>SUM('Draw #5'!G132)+F132</f>
        <v>0</v>
      </c>
      <c r="H132" s="109">
        <f t="shared" si="2"/>
        <v>0</v>
      </c>
      <c r="I132" s="110">
        <v>0</v>
      </c>
      <c r="J132" s="109">
        <f>SUM(I132+'Draw #5'!J132)</f>
        <v>0</v>
      </c>
      <c r="K132" s="101" t="str">
        <f t="shared" si="3"/>
        <v/>
      </c>
      <c r="L132" s="9"/>
      <c r="M132" s="9"/>
    </row>
    <row r="133" spans="1:13" ht="14.1" customHeight="1">
      <c r="A133" s="4">
        <f>'SCHEDULE OF VALUE WORKSHEET'!A103</f>
        <v>98</v>
      </c>
      <c r="B133" s="142" t="str">
        <f>'SCHEDULE OF VALUE WORKSHEET'!B103</f>
        <v xml:space="preserve">Open Item </v>
      </c>
      <c r="C133" s="143"/>
      <c r="D133" s="104">
        <f>SUM('SCHEDULE OF VALUE WORKSHEET'!E103)</f>
        <v>0</v>
      </c>
      <c r="E133" s="104">
        <f>SUM('Draw #5'!E133:F133)</f>
        <v>0</v>
      </c>
      <c r="F133" s="105">
        <v>0</v>
      </c>
      <c r="G133" s="104">
        <f>SUM('Draw #5'!G133)+F133</f>
        <v>0</v>
      </c>
      <c r="H133" s="109">
        <f t="shared" si="2"/>
        <v>0</v>
      </c>
      <c r="I133" s="110">
        <v>0</v>
      </c>
      <c r="J133" s="109">
        <f>SUM(I133+'Draw #5'!J133)</f>
        <v>0</v>
      </c>
      <c r="K133" s="101" t="str">
        <f t="shared" si="3"/>
        <v/>
      </c>
      <c r="L133" s="9"/>
      <c r="M133" s="9"/>
    </row>
    <row r="134" spans="1:13" ht="14.1" customHeight="1">
      <c r="A134" s="4">
        <f>'SCHEDULE OF VALUE WORKSHEET'!A104</f>
        <v>99</v>
      </c>
      <c r="B134" s="142" t="str">
        <f>'SCHEDULE OF VALUE WORKSHEET'!B104</f>
        <v xml:space="preserve">Open Item </v>
      </c>
      <c r="C134" s="143"/>
      <c r="D134" s="104">
        <f>SUM('SCHEDULE OF VALUE WORKSHEET'!E104)</f>
        <v>0</v>
      </c>
      <c r="E134" s="104">
        <f>SUM('Draw #5'!E134:F134)</f>
        <v>0</v>
      </c>
      <c r="F134" s="105">
        <v>0</v>
      </c>
      <c r="G134" s="104">
        <f>SUM('Draw #5'!G134)+F134</f>
        <v>0</v>
      </c>
      <c r="H134" s="109">
        <f t="shared" si="2"/>
        <v>0</v>
      </c>
      <c r="I134" s="110">
        <v>0</v>
      </c>
      <c r="J134" s="109">
        <f>SUM(I134+'Draw #5'!J134)</f>
        <v>0</v>
      </c>
      <c r="K134" s="101" t="str">
        <f t="shared" si="3"/>
        <v/>
      </c>
      <c r="L134" s="9"/>
      <c r="M134" s="9"/>
    </row>
    <row r="135" spans="1:13" ht="14.1" customHeight="1">
      <c r="A135" s="4" t="e">
        <f>'SCHEDULE OF VALUE WORKSHEET'!#REF!</f>
        <v>#REF!</v>
      </c>
      <c r="B135" s="142" t="e">
        <f>'SCHEDULE OF VALUE WORKSHEET'!#REF!</f>
        <v>#REF!</v>
      </c>
      <c r="C135" s="143"/>
      <c r="D135" s="104" t="e">
        <f>SUM('SCHEDULE OF VALUE WORKSHEET'!#REF!)</f>
        <v>#REF!</v>
      </c>
      <c r="E135" s="104">
        <f>SUM('Draw #5'!E135:F135)</f>
        <v>0</v>
      </c>
      <c r="F135" s="105">
        <v>0</v>
      </c>
      <c r="G135" s="104" t="e">
        <f>SUM('Draw #5'!G135)+F135</f>
        <v>#REF!</v>
      </c>
      <c r="H135" s="109" t="e">
        <f t="shared" si="2"/>
        <v>#REF!</v>
      </c>
      <c r="I135" s="110">
        <v>0</v>
      </c>
      <c r="J135" s="109">
        <f>SUM(I135+'Draw #5'!J135)</f>
        <v>0</v>
      </c>
      <c r="K135" s="101" t="str">
        <f t="shared" si="3"/>
        <v/>
      </c>
      <c r="L135" s="9"/>
      <c r="M135" s="9"/>
    </row>
    <row r="136" spans="1:13" ht="14.1" customHeight="1">
      <c r="A136" s="165"/>
      <c r="B136" s="166"/>
      <c r="C136" s="166"/>
      <c r="D136" s="166"/>
      <c r="E136" s="166"/>
      <c r="F136" s="166"/>
      <c r="G136" s="166"/>
      <c r="H136" s="166"/>
      <c r="I136" s="166"/>
      <c r="J136" s="166"/>
      <c r="K136" s="167"/>
      <c r="L136" s="10"/>
      <c r="M136" s="10"/>
    </row>
    <row r="137" spans="1:13" ht="18.75" customHeight="1">
      <c r="A137" s="7"/>
      <c r="B137" s="168" t="s">
        <v>2</v>
      </c>
      <c r="C137" s="168"/>
      <c r="D137" s="25" t="e">
        <f t="shared" ref="D137:J137" si="4">SUM(D10:D135)</f>
        <v>#REF!</v>
      </c>
      <c r="E137" s="25">
        <f t="shared" si="4"/>
        <v>0</v>
      </c>
      <c r="F137" s="25">
        <f t="shared" si="4"/>
        <v>0</v>
      </c>
      <c r="G137" s="25" t="e">
        <f t="shared" si="4"/>
        <v>#REF!</v>
      </c>
      <c r="H137" s="25" t="e">
        <f t="shared" si="4"/>
        <v>#REF!</v>
      </c>
      <c r="I137" s="25">
        <f t="shared" si="4"/>
        <v>0</v>
      </c>
      <c r="J137" s="25">
        <f t="shared" si="4"/>
        <v>0</v>
      </c>
      <c r="K137" s="17"/>
      <c r="L137" s="11"/>
      <c r="M137" s="11"/>
    </row>
    <row r="138" spans="1:13" ht="14.1" customHeight="1">
      <c r="A138" s="2"/>
      <c r="B138" s="2"/>
      <c r="C138" s="2"/>
      <c r="D138" s="2"/>
      <c r="E138" s="2"/>
      <c r="F138" s="2"/>
      <c r="G138" s="2"/>
    </row>
    <row r="139" spans="1:13" ht="14.1" customHeight="1">
      <c r="G139" s="2"/>
      <c r="H139" s="140"/>
      <c r="I139" s="140"/>
      <c r="J139" s="140"/>
    </row>
    <row r="140" spans="1:13" ht="14.1" customHeight="1">
      <c r="G140" s="2"/>
    </row>
    <row r="141" spans="1:13" ht="14.1" customHeight="1">
      <c r="G141" s="2"/>
      <c r="H141" s="8"/>
    </row>
    <row r="142" spans="1:13" ht="14.1" customHeight="1">
      <c r="G142" s="2"/>
      <c r="H142" s="8"/>
    </row>
    <row r="143" spans="1:13" ht="14.1" customHeight="1">
      <c r="G143" s="2"/>
    </row>
    <row r="144" spans="1:13" ht="14.1" customHeight="1">
      <c r="G144" s="2"/>
    </row>
    <row r="145" spans="7:7" ht="14.1" customHeight="1">
      <c r="G145" s="2"/>
    </row>
    <row r="146" spans="7:7" ht="14.1" customHeight="1">
      <c r="G146" s="2"/>
    </row>
    <row r="147" spans="7:7" ht="14.1" customHeight="1">
      <c r="G147" s="2"/>
    </row>
    <row r="148" spans="7:7" ht="14.1" customHeight="1">
      <c r="G148" s="3"/>
    </row>
  </sheetData>
  <sheetProtection algorithmName="SHA-512" hashValue="stO2RhhwT7Yb5VXri0NH6vV/hgGcdaM7lRgcud3klZ4NJN6+njLp7rZBJpAtEd2yk/VMKEUYbqJkHuPYB9Mgpw==" saltValue="iZLHegRcQNatb9Tdwb0xmg==" spinCount="100000" sheet="1" selectLockedCells="1"/>
  <mergeCells count="136">
    <mergeCell ref="A1:K2"/>
    <mergeCell ref="B47:C47"/>
    <mergeCell ref="B48:C48"/>
    <mergeCell ref="B83:C83"/>
    <mergeCell ref="B84:C84"/>
    <mergeCell ref="B8:C9"/>
    <mergeCell ref="D8:D9"/>
    <mergeCell ref="G8:G9"/>
    <mergeCell ref="J8:K8"/>
    <mergeCell ref="J9:K9"/>
    <mergeCell ref="F8:F9"/>
    <mergeCell ref="B10:C10"/>
    <mergeCell ref="B11:C11"/>
    <mergeCell ref="B12:C12"/>
    <mergeCell ref="B13:C13"/>
    <mergeCell ref="B26:C26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4:C34"/>
    <mergeCell ref="B35:C35"/>
    <mergeCell ref="B32:C32"/>
    <mergeCell ref="B33:C33"/>
    <mergeCell ref="B27:C27"/>
    <mergeCell ref="B36:C36"/>
    <mergeCell ref="B37:C37"/>
    <mergeCell ref="B46:C46"/>
    <mergeCell ref="A136:K136"/>
    <mergeCell ref="B38:C38"/>
    <mergeCell ref="B39:C39"/>
    <mergeCell ref="B85:C85"/>
    <mergeCell ref="B86:C86"/>
    <mergeCell ref="B87:C87"/>
    <mergeCell ref="B88:C88"/>
    <mergeCell ref="B128:C128"/>
    <mergeCell ref="B110:C110"/>
    <mergeCell ref="B111:C111"/>
    <mergeCell ref="B112:C112"/>
    <mergeCell ref="B113:C113"/>
    <mergeCell ref="B114:C114"/>
    <mergeCell ref="B115:C115"/>
    <mergeCell ref="B118:C118"/>
    <mergeCell ref="B119:C119"/>
    <mergeCell ref="B120:C120"/>
    <mergeCell ref="B134:C134"/>
    <mergeCell ref="B137:C137"/>
    <mergeCell ref="H139:J139"/>
    <mergeCell ref="B40:C40"/>
    <mergeCell ref="B41:C41"/>
    <mergeCell ref="B42:C42"/>
    <mergeCell ref="B43:C43"/>
    <mergeCell ref="B44:C44"/>
    <mergeCell ref="B45:C45"/>
    <mergeCell ref="B89:C89"/>
    <mergeCell ref="B90:C90"/>
    <mergeCell ref="B135:C135"/>
    <mergeCell ref="B116:C116"/>
    <mergeCell ref="B124:C124"/>
    <mergeCell ref="B125:C125"/>
    <mergeCell ref="B126:C126"/>
    <mergeCell ref="B127:C127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91:C91"/>
    <mergeCell ref="B92:C92"/>
    <mergeCell ref="B73:C73"/>
    <mergeCell ref="B74:C74"/>
    <mergeCell ref="B75:C75"/>
    <mergeCell ref="B76:C76"/>
    <mergeCell ref="B77:C77"/>
    <mergeCell ref="B78:C78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21:C121"/>
    <mergeCell ref="B122:C122"/>
    <mergeCell ref="B123:C123"/>
    <mergeCell ref="B132:C132"/>
    <mergeCell ref="B133:C133"/>
    <mergeCell ref="B105:C105"/>
    <mergeCell ref="B106:C106"/>
    <mergeCell ref="B107:C107"/>
    <mergeCell ref="B108:C108"/>
    <mergeCell ref="B109:C109"/>
    <mergeCell ref="B117:C117"/>
    <mergeCell ref="B129:C129"/>
    <mergeCell ref="B130:C130"/>
    <mergeCell ref="B131:C131"/>
  </mergeCells>
  <conditionalFormatting sqref="B10:K135">
    <cfRule type="expression" dxfId="59" priority="3" stopIfTrue="1">
      <formula>$I10&gt;0</formula>
    </cfRule>
    <cfRule type="expression" dxfId="58" priority="4" stopIfTrue="1">
      <formula>$K10=100%</formula>
    </cfRule>
  </conditionalFormatting>
  <conditionalFormatting sqref="D10:K135">
    <cfRule type="expression" dxfId="57" priority="1" stopIfTrue="1">
      <formula>$K10=""</formula>
    </cfRule>
    <cfRule type="expression" dxfId="56" priority="2" stopIfTrue="1">
      <formula>$K10&gt;100%</formula>
    </cfRule>
  </conditionalFormatting>
  <pageMargins left="0.7" right="0.7" top="0.75" bottom="0.75" header="0.3" footer="0.3"/>
  <pageSetup scale="78" orientation="portrait" verticalDpi="1200" r:id="rId1"/>
  <colBreaks count="1" manualBreakCount="1">
    <brk id="11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48"/>
  <sheetViews>
    <sheetView showGridLines="0" zoomScale="90" zoomScaleNormal="90" zoomScaleSheetLayoutView="92" workbookViewId="0">
      <selection activeCell="F19" sqref="F19"/>
    </sheetView>
  </sheetViews>
  <sheetFormatPr defaultColWidth="6.59765625" defaultRowHeight="15.75"/>
  <cols>
    <col min="1" max="1" width="4.8984375" style="1" customWidth="1"/>
    <col min="2" max="2" width="5.69921875" style="1" customWidth="1"/>
    <col min="3" max="3" width="15.19921875" style="1" customWidth="1"/>
    <col min="4" max="5" width="10.59765625" style="1" customWidth="1"/>
    <col min="6" max="9" width="10.69921875" style="1" customWidth="1"/>
    <col min="10" max="10" width="10.59765625" style="1" customWidth="1"/>
    <col min="11" max="11" width="5.09765625" style="18" customWidth="1"/>
    <col min="12" max="13" width="4.69921875" style="1" customWidth="1"/>
    <col min="14" max="16384" width="6.59765625" style="1"/>
  </cols>
  <sheetData>
    <row r="1" spans="1:13">
      <c r="A1" s="171" t="s">
        <v>18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</row>
    <row r="2" spans="1:13">
      <c r="A2" s="174"/>
      <c r="B2" s="153"/>
      <c r="C2" s="153"/>
      <c r="D2" s="153"/>
      <c r="E2" s="153"/>
      <c r="F2" s="153"/>
      <c r="G2" s="153"/>
      <c r="H2" s="153"/>
      <c r="I2" s="153"/>
      <c r="J2" s="153"/>
      <c r="K2" s="175"/>
    </row>
    <row r="3" spans="1:13">
      <c r="A3" s="74"/>
      <c r="B3" s="13" t="s">
        <v>7</v>
      </c>
      <c r="C3" s="35" t="str">
        <f>'SCHEDULE OF VALUE WORKSHEET'!$B$3</f>
        <v>Angeleno Investments</v>
      </c>
      <c r="F3" s="6"/>
      <c r="G3" s="28"/>
      <c r="H3" s="55"/>
      <c r="I3" s="41" t="s">
        <v>5</v>
      </c>
      <c r="J3" s="38">
        <f>SUM(J137)</f>
        <v>0</v>
      </c>
      <c r="K3" s="80" t="e">
        <f>SUM(J3)/J7</f>
        <v>#REF!</v>
      </c>
    </row>
    <row r="4" spans="1:13" ht="16.350000000000001" customHeight="1">
      <c r="A4" s="74"/>
      <c r="B4" s="34" t="s">
        <v>0</v>
      </c>
      <c r="C4" s="36">
        <f ca="1">TODAY()</f>
        <v>45978</v>
      </c>
      <c r="D4" s="36"/>
      <c r="E4" s="36"/>
      <c r="F4" s="15"/>
      <c r="G4" s="3"/>
      <c r="H4" s="75"/>
      <c r="I4" s="41" t="s">
        <v>13</v>
      </c>
      <c r="J4" s="38" t="e">
        <f>SUM(H137)</f>
        <v>#REF!</v>
      </c>
      <c r="K4" s="80"/>
    </row>
    <row r="5" spans="1:13">
      <c r="A5" s="74"/>
      <c r="B5" s="34" t="s">
        <v>6</v>
      </c>
      <c r="C5" s="37" t="str">
        <f>'SCHEDULE OF VALUE WORKSHEET'!B5</f>
        <v>10910 Huston Street</v>
      </c>
      <c r="F5" s="56"/>
      <c r="G5" s="57"/>
      <c r="H5" s="75"/>
      <c r="I5" s="41" t="s">
        <v>14</v>
      </c>
      <c r="J5" s="38" t="e">
        <f>SUM(D137)</f>
        <v>#REF!</v>
      </c>
      <c r="K5" s="80"/>
    </row>
    <row r="6" spans="1:13">
      <c r="A6" s="74"/>
      <c r="B6" s="34" t="s">
        <v>20</v>
      </c>
      <c r="C6" s="48">
        <f>SUM(I137)</f>
        <v>0</v>
      </c>
      <c r="D6" s="6"/>
      <c r="E6" s="6"/>
      <c r="F6" s="6"/>
      <c r="G6" s="57"/>
      <c r="H6" s="75"/>
      <c r="I6" s="42" t="s">
        <v>17</v>
      </c>
      <c r="J6" s="38">
        <f>SUM(F137)</f>
        <v>0</v>
      </c>
      <c r="K6" s="80"/>
    </row>
    <row r="7" spans="1:13">
      <c r="A7" s="78"/>
      <c r="G7" s="28"/>
      <c r="H7" s="20"/>
      <c r="I7" s="34" t="s">
        <v>15</v>
      </c>
      <c r="J7" s="29" t="e">
        <f>SUM(G137)</f>
        <v>#REF!</v>
      </c>
      <c r="K7" s="80"/>
    </row>
    <row r="8" spans="1:13">
      <c r="A8" s="19"/>
      <c r="B8" s="169" t="s">
        <v>1</v>
      </c>
      <c r="C8" s="170"/>
      <c r="D8" s="177" t="s">
        <v>8</v>
      </c>
      <c r="E8" s="102" t="s">
        <v>24</v>
      </c>
      <c r="F8" s="176" t="s">
        <v>26</v>
      </c>
      <c r="G8" s="177" t="s">
        <v>9</v>
      </c>
      <c r="H8" s="30" t="s">
        <v>10</v>
      </c>
      <c r="I8" s="31" t="s">
        <v>12</v>
      </c>
      <c r="J8" s="178" t="s">
        <v>3</v>
      </c>
      <c r="K8" s="179"/>
      <c r="L8" s="12"/>
      <c r="M8" s="12"/>
    </row>
    <row r="9" spans="1:13" ht="14.1" customHeight="1">
      <c r="A9" s="19"/>
      <c r="B9" s="146"/>
      <c r="C9" s="147"/>
      <c r="D9" s="162"/>
      <c r="E9" s="103" t="s">
        <v>25</v>
      </c>
      <c r="F9" s="164"/>
      <c r="G9" s="162"/>
      <c r="H9" s="32" t="s">
        <v>22</v>
      </c>
      <c r="I9" s="33">
        <v>7</v>
      </c>
      <c r="J9" s="180" t="s">
        <v>4</v>
      </c>
      <c r="K9" s="181"/>
      <c r="L9" s="12"/>
      <c r="M9" s="12"/>
    </row>
    <row r="10" spans="1:13" ht="14.1" customHeight="1">
      <c r="A10" s="4">
        <f>'SCHEDULE OF VALUE WORKSHEET'!A7</f>
        <v>1</v>
      </c>
      <c r="B10" s="142" t="str">
        <f>'SCHEDULE OF VALUE WORKSHEET'!B7</f>
        <v>SOFT COSTS</v>
      </c>
      <c r="C10" s="143"/>
      <c r="D10" s="104">
        <f>SUM('SCHEDULE OF VALUE WORKSHEET'!E7)</f>
        <v>0</v>
      </c>
      <c r="E10" s="104">
        <f>SUM('Draw #6'!E10:F10)</f>
        <v>0</v>
      </c>
      <c r="F10" s="105">
        <v>0</v>
      </c>
      <c r="G10" s="104">
        <f>SUM('Draw #6'!G10)+F10</f>
        <v>0</v>
      </c>
      <c r="H10" s="109">
        <f>SUM(G10-J10)</f>
        <v>0</v>
      </c>
      <c r="I10" s="110">
        <v>0</v>
      </c>
      <c r="J10" s="109">
        <f>SUM(I10+'Draw #6'!J10)</f>
        <v>0</v>
      </c>
      <c r="K10" s="101" t="str">
        <f>IF(J10=0,"",J10/G10)</f>
        <v/>
      </c>
      <c r="L10" s="9"/>
      <c r="M10" s="9"/>
    </row>
    <row r="11" spans="1:13" ht="14.1" customHeight="1">
      <c r="A11" s="4">
        <f>'SCHEDULE OF VALUE WORKSHEET'!A8</f>
        <v>2</v>
      </c>
      <c r="B11" s="142" t="str">
        <f>'SCHEDULE OF VALUE WORKSHEET'!B8</f>
        <v>Site Security</v>
      </c>
      <c r="C11" s="143"/>
      <c r="D11" s="104">
        <f>SUM('SCHEDULE OF VALUE WORKSHEET'!E8)</f>
        <v>10580.63</v>
      </c>
      <c r="E11" s="104">
        <f>SUM('Draw #6'!E11:F11)</f>
        <v>0</v>
      </c>
      <c r="F11" s="105">
        <v>0</v>
      </c>
      <c r="G11" s="104">
        <f>SUM('Draw #6'!G11)+F11</f>
        <v>10580.63</v>
      </c>
      <c r="H11" s="109">
        <f t="shared" ref="H11:H74" si="0">SUM(G11-J11)</f>
        <v>10580.63</v>
      </c>
      <c r="I11" s="110">
        <v>0</v>
      </c>
      <c r="J11" s="109">
        <f>SUM(I11+'Draw #6'!J11)</f>
        <v>0</v>
      </c>
      <c r="K11" s="101" t="str">
        <f t="shared" ref="K11:K74" si="1">IF(J11=0,"",J11/G11)</f>
        <v/>
      </c>
      <c r="L11" s="9"/>
      <c r="M11" s="9"/>
    </row>
    <row r="12" spans="1:13" ht="14.1" customHeight="1">
      <c r="A12" s="4">
        <f>'SCHEDULE OF VALUE WORKSHEET'!A9</f>
        <v>3</v>
      </c>
      <c r="B12" s="142" t="str">
        <f>'SCHEDULE OF VALUE WORKSHEET'!B9</f>
        <v>Soils Inspection</v>
      </c>
      <c r="C12" s="143"/>
      <c r="D12" s="104">
        <f>SUM('SCHEDULE OF VALUE WORKSHEET'!E9)</f>
        <v>0</v>
      </c>
      <c r="E12" s="104">
        <f>SUM('Draw #6'!E12:F12)</f>
        <v>0</v>
      </c>
      <c r="F12" s="105">
        <v>0</v>
      </c>
      <c r="G12" s="104">
        <f>SUM('Draw #6'!G12)+F12</f>
        <v>0</v>
      </c>
      <c r="H12" s="109">
        <f t="shared" si="0"/>
        <v>0</v>
      </c>
      <c r="I12" s="110">
        <v>0</v>
      </c>
      <c r="J12" s="109">
        <f>SUM(I12+'Draw #6'!J12)</f>
        <v>0</v>
      </c>
      <c r="K12" s="101" t="str">
        <f t="shared" si="1"/>
        <v/>
      </c>
      <c r="L12" s="9"/>
      <c r="M12" s="9"/>
    </row>
    <row r="13" spans="1:13" ht="14.1" customHeight="1">
      <c r="A13" s="4">
        <f>'SCHEDULE OF VALUE WORKSHEET'!A10</f>
        <v>4</v>
      </c>
      <c r="B13" s="142" t="str">
        <f>'SCHEDULE OF VALUE WORKSHEET'!B10</f>
        <v>Offsites (Transformer)</v>
      </c>
      <c r="C13" s="143"/>
      <c r="D13" s="104">
        <f>SUM('SCHEDULE OF VALUE WORKSHEET'!E10)</f>
        <v>20000</v>
      </c>
      <c r="E13" s="104">
        <f>SUM('Draw #6'!E13:F13)</f>
        <v>0</v>
      </c>
      <c r="F13" s="105">
        <v>0</v>
      </c>
      <c r="G13" s="104">
        <f>SUM('Draw #6'!G13)+F13</f>
        <v>20000</v>
      </c>
      <c r="H13" s="109">
        <f t="shared" si="0"/>
        <v>20000</v>
      </c>
      <c r="I13" s="110">
        <v>0</v>
      </c>
      <c r="J13" s="109">
        <f>SUM(I13+'Draw #6'!J13)</f>
        <v>0</v>
      </c>
      <c r="K13" s="101" t="str">
        <f t="shared" si="1"/>
        <v/>
      </c>
      <c r="L13" s="9"/>
      <c r="M13" s="9"/>
    </row>
    <row r="14" spans="1:13" ht="14.1" customHeight="1">
      <c r="A14" s="4">
        <f>'SCHEDULE OF VALUE WORKSHEET'!A11</f>
        <v>5</v>
      </c>
      <c r="B14" s="142" t="str">
        <f>'SCHEDULE OF VALUE WORKSHEET'!B11</f>
        <v>Plan Check Fees</v>
      </c>
      <c r="C14" s="143"/>
      <c r="D14" s="104">
        <f>SUM('SCHEDULE OF VALUE WORKSHEET'!E11)</f>
        <v>0</v>
      </c>
      <c r="E14" s="104">
        <f>SUM('Draw #6'!E14:F14)</f>
        <v>0</v>
      </c>
      <c r="F14" s="105">
        <v>0</v>
      </c>
      <c r="G14" s="104">
        <f>SUM('Draw #6'!G14)+F14</f>
        <v>0</v>
      </c>
      <c r="H14" s="109">
        <f t="shared" si="0"/>
        <v>0</v>
      </c>
      <c r="I14" s="110">
        <v>0</v>
      </c>
      <c r="J14" s="109">
        <f>SUM(I14+'Draw #6'!J14)</f>
        <v>0</v>
      </c>
      <c r="K14" s="101" t="str">
        <f t="shared" si="1"/>
        <v/>
      </c>
      <c r="L14" s="9"/>
      <c r="M14" s="9"/>
    </row>
    <row r="15" spans="1:13" ht="14.1" customHeight="1">
      <c r="A15" s="4">
        <f>'SCHEDULE OF VALUE WORKSHEET'!A12</f>
        <v>6</v>
      </c>
      <c r="B15" s="142" t="str">
        <f>'SCHEDULE OF VALUE WORKSHEET'!B12</f>
        <v>Permits</v>
      </c>
      <c r="C15" s="143"/>
      <c r="D15" s="104">
        <f>SUM('SCHEDULE OF VALUE WORKSHEET'!E12)</f>
        <v>0</v>
      </c>
      <c r="E15" s="104">
        <f>SUM('Draw #6'!E15:F15)</f>
        <v>0</v>
      </c>
      <c r="F15" s="105">
        <v>0</v>
      </c>
      <c r="G15" s="104">
        <f>SUM('Draw #6'!G15)+F15</f>
        <v>0</v>
      </c>
      <c r="H15" s="109">
        <f t="shared" si="0"/>
        <v>0</v>
      </c>
      <c r="I15" s="110">
        <v>0</v>
      </c>
      <c r="J15" s="109">
        <f>SUM(I15+'Draw #6'!J15)</f>
        <v>0</v>
      </c>
      <c r="K15" s="101" t="str">
        <f t="shared" si="1"/>
        <v/>
      </c>
      <c r="L15" s="9"/>
      <c r="M15" s="9"/>
    </row>
    <row r="16" spans="1:13" ht="14.1" customHeight="1">
      <c r="A16" s="4">
        <f>'SCHEDULE OF VALUE WORKSHEET'!A13</f>
        <v>7</v>
      </c>
      <c r="B16" s="142" t="str">
        <f>'SCHEDULE OF VALUE WORKSHEET'!B13</f>
        <v>Survey</v>
      </c>
      <c r="C16" s="143"/>
      <c r="D16" s="104">
        <f>SUM('SCHEDULE OF VALUE WORKSHEET'!E13)</f>
        <v>0</v>
      </c>
      <c r="E16" s="104">
        <f>SUM('Draw #6'!E16:F16)</f>
        <v>0</v>
      </c>
      <c r="F16" s="105">
        <v>0</v>
      </c>
      <c r="G16" s="104">
        <f>SUM('Draw #6'!G16)+F16</f>
        <v>0</v>
      </c>
      <c r="H16" s="109">
        <f t="shared" si="0"/>
        <v>0</v>
      </c>
      <c r="I16" s="110">
        <v>0</v>
      </c>
      <c r="J16" s="109">
        <f>SUM(I16+'Draw #6'!J16)</f>
        <v>0</v>
      </c>
      <c r="K16" s="101" t="str">
        <f t="shared" si="1"/>
        <v/>
      </c>
      <c r="L16" s="9"/>
      <c r="M16" s="9"/>
    </row>
    <row r="17" spans="1:13" ht="14.1" customHeight="1">
      <c r="A17" s="4">
        <f>'SCHEDULE OF VALUE WORKSHEET'!A14</f>
        <v>8</v>
      </c>
      <c r="B17" s="142" t="str">
        <f>'SCHEDULE OF VALUE WORKSHEET'!B14</f>
        <v>Soils Engineer</v>
      </c>
      <c r="C17" s="143"/>
      <c r="D17" s="104">
        <f>SUM('SCHEDULE OF VALUE WORKSHEET'!E14)</f>
        <v>0</v>
      </c>
      <c r="E17" s="104">
        <f>SUM('Draw #6'!E17:F17)</f>
        <v>0</v>
      </c>
      <c r="F17" s="105">
        <v>0</v>
      </c>
      <c r="G17" s="104">
        <f>SUM('Draw #6'!G17)+F17</f>
        <v>0</v>
      </c>
      <c r="H17" s="109">
        <f t="shared" si="0"/>
        <v>0</v>
      </c>
      <c r="I17" s="110">
        <v>0</v>
      </c>
      <c r="J17" s="109">
        <f>SUM(I17+'Draw #6'!J17)</f>
        <v>0</v>
      </c>
      <c r="K17" s="101" t="str">
        <f t="shared" si="1"/>
        <v/>
      </c>
      <c r="L17" s="9"/>
      <c r="M17" s="9"/>
    </row>
    <row r="18" spans="1:13" ht="14.1" customHeight="1">
      <c r="A18" s="4">
        <f>'SCHEDULE OF VALUE WORKSHEET'!A15</f>
        <v>9</v>
      </c>
      <c r="B18" s="142" t="str">
        <f>'SCHEDULE OF VALUE WORKSHEET'!B15</f>
        <v>Soils Permit + T24</v>
      </c>
      <c r="C18" s="143"/>
      <c r="D18" s="104">
        <f>SUM('SCHEDULE OF VALUE WORKSHEET'!E15)</f>
        <v>2500</v>
      </c>
      <c r="E18" s="104">
        <f>SUM('Draw #6'!E18:F18)</f>
        <v>0</v>
      </c>
      <c r="F18" s="105">
        <v>0</v>
      </c>
      <c r="G18" s="104">
        <f>SUM('Draw #6'!G18)+F18</f>
        <v>2500</v>
      </c>
      <c r="H18" s="109">
        <f t="shared" si="0"/>
        <v>2500</v>
      </c>
      <c r="I18" s="110">
        <v>0</v>
      </c>
      <c r="J18" s="109">
        <f>SUM(I18+'Draw #6'!J18)</f>
        <v>0</v>
      </c>
      <c r="K18" s="101" t="str">
        <f t="shared" si="1"/>
        <v/>
      </c>
      <c r="L18" s="9"/>
      <c r="M18" s="9"/>
    </row>
    <row r="19" spans="1:13" ht="14.1" customHeight="1">
      <c r="A19" s="4">
        <f>'SCHEDULE OF VALUE WORKSHEET'!A16</f>
        <v>10</v>
      </c>
      <c r="B19" s="142" t="str">
        <f>'SCHEDULE OF VALUE WORKSHEET'!B16</f>
        <v>Special Inspections - Deputy</v>
      </c>
      <c r="C19" s="143"/>
      <c r="D19" s="104">
        <f>SUM('SCHEDULE OF VALUE WORKSHEET'!E16)</f>
        <v>15000</v>
      </c>
      <c r="E19" s="104">
        <f>SUM('Draw #6'!E19:F19)</f>
        <v>0</v>
      </c>
      <c r="F19" s="105">
        <v>0</v>
      </c>
      <c r="G19" s="104">
        <f>SUM('Draw #6'!G19)+F19</f>
        <v>15000</v>
      </c>
      <c r="H19" s="109">
        <f t="shared" si="0"/>
        <v>15000</v>
      </c>
      <c r="I19" s="110">
        <v>0</v>
      </c>
      <c r="J19" s="109">
        <f>SUM(I19+'Draw #6'!J19)</f>
        <v>0</v>
      </c>
      <c r="K19" s="101" t="str">
        <f t="shared" si="1"/>
        <v/>
      </c>
      <c r="L19" s="9"/>
      <c r="M19" s="9"/>
    </row>
    <row r="20" spans="1:13" ht="14.1" customHeight="1">
      <c r="A20" s="4">
        <f>'SCHEDULE OF VALUE WORKSHEET'!A17</f>
        <v>11</v>
      </c>
      <c r="B20" s="142" t="str">
        <f>'SCHEDULE OF VALUE WORKSHEET'!B17</f>
        <v>Architect</v>
      </c>
      <c r="C20" s="143"/>
      <c r="D20" s="104">
        <f>SUM('SCHEDULE OF VALUE WORKSHEET'!E17)</f>
        <v>0</v>
      </c>
      <c r="E20" s="104">
        <f>SUM('Draw #6'!E20:F20)</f>
        <v>0</v>
      </c>
      <c r="F20" s="105">
        <v>0</v>
      </c>
      <c r="G20" s="104">
        <f>SUM('Draw #6'!G20)+F20</f>
        <v>0</v>
      </c>
      <c r="H20" s="109">
        <f t="shared" si="0"/>
        <v>0</v>
      </c>
      <c r="I20" s="110">
        <v>0</v>
      </c>
      <c r="J20" s="109">
        <f>SUM(I20+'Draw #6'!J20)</f>
        <v>0</v>
      </c>
      <c r="K20" s="101" t="str">
        <f t="shared" si="1"/>
        <v/>
      </c>
      <c r="L20" s="9"/>
      <c r="M20" s="9"/>
    </row>
    <row r="21" spans="1:13" ht="14.1" customHeight="1">
      <c r="A21" s="4">
        <f>'SCHEDULE OF VALUE WORKSHEET'!A18</f>
        <v>12</v>
      </c>
      <c r="B21" s="142" t="str">
        <f>'SCHEDULE OF VALUE WORKSHEET'!B18</f>
        <v>Structural Engineer</v>
      </c>
      <c r="C21" s="143"/>
      <c r="D21" s="104">
        <f>SUM('SCHEDULE OF VALUE WORKSHEET'!E18)</f>
        <v>0</v>
      </c>
      <c r="E21" s="104">
        <f>SUM('Draw #6'!E21:F21)</f>
        <v>0</v>
      </c>
      <c r="F21" s="105">
        <v>0</v>
      </c>
      <c r="G21" s="104">
        <f>SUM('Draw #6'!G21)+F21</f>
        <v>0</v>
      </c>
      <c r="H21" s="109">
        <f t="shared" si="0"/>
        <v>0</v>
      </c>
      <c r="I21" s="110">
        <v>0</v>
      </c>
      <c r="J21" s="109">
        <f>SUM(I21+'Draw #6'!J21)</f>
        <v>0</v>
      </c>
      <c r="K21" s="101" t="str">
        <f t="shared" si="1"/>
        <v/>
      </c>
      <c r="L21" s="9"/>
      <c r="M21" s="9"/>
    </row>
    <row r="22" spans="1:13" ht="14.1" customHeight="1">
      <c r="A22" s="4">
        <f>'SCHEDULE OF VALUE WORKSHEET'!A19</f>
        <v>13</v>
      </c>
      <c r="B22" s="142" t="str">
        <f>'SCHEDULE OF VALUE WORKSHEET'!B19</f>
        <v>Structural Observation</v>
      </c>
      <c r="C22" s="143"/>
      <c r="D22" s="104">
        <f>SUM('SCHEDULE OF VALUE WORKSHEET'!E19)</f>
        <v>8000</v>
      </c>
      <c r="E22" s="104">
        <f>SUM('Draw #6'!E22:F22)</f>
        <v>0</v>
      </c>
      <c r="F22" s="105">
        <v>0</v>
      </c>
      <c r="G22" s="104">
        <f>SUM('Draw #6'!G22)+F22</f>
        <v>8000</v>
      </c>
      <c r="H22" s="109">
        <f t="shared" si="0"/>
        <v>8000</v>
      </c>
      <c r="I22" s="110">
        <v>0</v>
      </c>
      <c r="J22" s="109">
        <f>SUM(I22+'Draw #6'!J22)</f>
        <v>0</v>
      </c>
      <c r="K22" s="101" t="str">
        <f t="shared" si="1"/>
        <v/>
      </c>
      <c r="L22" s="9"/>
      <c r="M22" s="9"/>
    </row>
    <row r="23" spans="1:13" ht="14.1" customHeight="1">
      <c r="A23" s="4">
        <f>'SCHEDULE OF VALUE WORKSHEET'!A20</f>
        <v>14</v>
      </c>
      <c r="B23" s="142" t="str">
        <f>'SCHEDULE OF VALUE WORKSHEET'!B20</f>
        <v>Civil Engineering</v>
      </c>
      <c r="C23" s="143"/>
      <c r="D23" s="104">
        <f>SUM('SCHEDULE OF VALUE WORKSHEET'!E20)</f>
        <v>0</v>
      </c>
      <c r="E23" s="104">
        <f>SUM('Draw #6'!E23:F23)</f>
        <v>0</v>
      </c>
      <c r="F23" s="105">
        <v>0</v>
      </c>
      <c r="G23" s="104">
        <f>SUM('Draw #6'!G23)+F23</f>
        <v>0</v>
      </c>
      <c r="H23" s="109">
        <f t="shared" si="0"/>
        <v>0</v>
      </c>
      <c r="I23" s="110">
        <v>0</v>
      </c>
      <c r="J23" s="109">
        <f>SUM(I23+'Draw #6'!J23)</f>
        <v>0</v>
      </c>
      <c r="K23" s="101" t="str">
        <f t="shared" si="1"/>
        <v/>
      </c>
      <c r="L23" s="9"/>
      <c r="M23" s="9"/>
    </row>
    <row r="24" spans="1:13" ht="14.1" customHeight="1">
      <c r="A24" s="4">
        <f>'SCHEDULE OF VALUE WORKSHEET'!A21</f>
        <v>15</v>
      </c>
      <c r="B24" s="142" t="str">
        <f>'SCHEDULE OF VALUE WORKSHEET'!B21</f>
        <v>Grading Permit</v>
      </c>
      <c r="C24" s="143"/>
      <c r="D24" s="104">
        <f>SUM('SCHEDULE OF VALUE WORKSHEET'!E21)</f>
        <v>0</v>
      </c>
      <c r="E24" s="104">
        <f>SUM('Draw #6'!E24:F24)</f>
        <v>0</v>
      </c>
      <c r="F24" s="105">
        <v>0</v>
      </c>
      <c r="G24" s="104">
        <f>SUM('Draw #6'!G24)+F24</f>
        <v>0</v>
      </c>
      <c r="H24" s="109">
        <f t="shared" si="0"/>
        <v>0</v>
      </c>
      <c r="I24" s="110">
        <v>0</v>
      </c>
      <c r="J24" s="109">
        <f>SUM(I24+'Draw #6'!J24)</f>
        <v>0</v>
      </c>
      <c r="K24" s="101" t="str">
        <f t="shared" si="1"/>
        <v/>
      </c>
      <c r="L24" s="9"/>
      <c r="M24" s="9"/>
    </row>
    <row r="25" spans="1:13" ht="14.1" customHeight="1">
      <c r="A25" s="4">
        <f>'SCHEDULE OF VALUE WORKSHEET'!A22</f>
        <v>16</v>
      </c>
      <c r="B25" s="142" t="str">
        <f>'SCHEDULE OF VALUE WORKSHEET'!B22</f>
        <v>Landscape Architect/Designer</v>
      </c>
      <c r="C25" s="143"/>
      <c r="D25" s="104">
        <f>SUM('SCHEDULE OF VALUE WORKSHEET'!E22)</f>
        <v>0</v>
      </c>
      <c r="E25" s="104">
        <f>SUM('Draw #6'!E25:F25)</f>
        <v>0</v>
      </c>
      <c r="F25" s="105">
        <v>0</v>
      </c>
      <c r="G25" s="104">
        <f>SUM('Draw #6'!G25)+F25</f>
        <v>0</v>
      </c>
      <c r="H25" s="109">
        <f t="shared" si="0"/>
        <v>0</v>
      </c>
      <c r="I25" s="110">
        <v>0</v>
      </c>
      <c r="J25" s="109">
        <f>SUM(I25+'Draw #6'!J25)</f>
        <v>0</v>
      </c>
      <c r="K25" s="101" t="str">
        <f t="shared" si="1"/>
        <v/>
      </c>
      <c r="L25" s="9"/>
      <c r="M25" s="9"/>
    </row>
    <row r="26" spans="1:13" ht="14.1" customHeight="1">
      <c r="A26" s="4">
        <f>'SCHEDULE OF VALUE WORKSHEET'!A23</f>
        <v>17</v>
      </c>
      <c r="B26" s="142" t="str">
        <f>'SCHEDULE OF VALUE WORKSHEET'!B23</f>
        <v>Driveway Apron Permit</v>
      </c>
      <c r="C26" s="143"/>
      <c r="D26" s="104">
        <f>SUM('SCHEDULE OF VALUE WORKSHEET'!E23)</f>
        <v>2500</v>
      </c>
      <c r="E26" s="104">
        <f>SUM('Draw #6'!E26:F26)</f>
        <v>0</v>
      </c>
      <c r="F26" s="105">
        <v>0</v>
      </c>
      <c r="G26" s="104">
        <f>SUM('Draw #6'!G26)+F26</f>
        <v>2500</v>
      </c>
      <c r="H26" s="109">
        <f t="shared" si="0"/>
        <v>2500</v>
      </c>
      <c r="I26" s="110">
        <v>0</v>
      </c>
      <c r="J26" s="109">
        <f>SUM(I26+'Draw #6'!J26)</f>
        <v>0</v>
      </c>
      <c r="K26" s="101" t="str">
        <f t="shared" si="1"/>
        <v/>
      </c>
      <c r="L26" s="9"/>
      <c r="M26" s="9"/>
    </row>
    <row r="27" spans="1:13" ht="14.1" customHeight="1">
      <c r="A27" s="4">
        <f>'SCHEDULE OF VALUE WORKSHEET'!A24</f>
        <v>18</v>
      </c>
      <c r="B27" s="142" t="str">
        <f>'SCHEDULE OF VALUE WORKSHEET'!B24</f>
        <v>Punch List - Misc.</v>
      </c>
      <c r="C27" s="143"/>
      <c r="D27" s="104">
        <f>SUM('SCHEDULE OF VALUE WORKSHEET'!E24)</f>
        <v>21962.77</v>
      </c>
      <c r="E27" s="104">
        <f>SUM('Draw #6'!E27:F27)</f>
        <v>0</v>
      </c>
      <c r="F27" s="105">
        <v>0</v>
      </c>
      <c r="G27" s="104">
        <f>SUM('Draw #6'!G27)+F27</f>
        <v>21962.77</v>
      </c>
      <c r="H27" s="109">
        <f t="shared" si="0"/>
        <v>21962.77</v>
      </c>
      <c r="I27" s="110">
        <v>0</v>
      </c>
      <c r="J27" s="109">
        <f>SUM(I27+'Draw #6'!J27)</f>
        <v>0</v>
      </c>
      <c r="K27" s="101" t="str">
        <f t="shared" si="1"/>
        <v/>
      </c>
      <c r="L27" s="9"/>
      <c r="M27" s="9"/>
    </row>
    <row r="28" spans="1:13" ht="14.1" customHeight="1">
      <c r="A28" s="4">
        <f>'SCHEDULE OF VALUE WORKSHEET'!A25</f>
        <v>19</v>
      </c>
      <c r="B28" s="142" t="str">
        <f>'SCHEDULE OF VALUE WORKSHEET'!B25</f>
        <v>EBM, Low Voltage, Landscape, Waterproofing CA</v>
      </c>
      <c r="C28" s="143"/>
      <c r="D28" s="104">
        <f>SUM('SCHEDULE OF VALUE WORKSHEET'!E25)</f>
        <v>0</v>
      </c>
      <c r="E28" s="104">
        <f>SUM('Draw #6'!E28:F28)</f>
        <v>0</v>
      </c>
      <c r="F28" s="105">
        <v>0</v>
      </c>
      <c r="G28" s="104">
        <f>SUM('Draw #6'!G28)+F28</f>
        <v>0</v>
      </c>
      <c r="H28" s="109">
        <f t="shared" si="0"/>
        <v>0</v>
      </c>
      <c r="I28" s="110">
        <v>0</v>
      </c>
      <c r="J28" s="109">
        <f>SUM(I28+'Draw #6'!J28)</f>
        <v>0</v>
      </c>
      <c r="K28" s="101" t="str">
        <f t="shared" si="1"/>
        <v/>
      </c>
      <c r="L28" s="9"/>
      <c r="M28" s="9"/>
    </row>
    <row r="29" spans="1:13" ht="14.1" customHeight="1">
      <c r="A29" s="4">
        <f>'SCHEDULE OF VALUE WORKSHEET'!A26</f>
        <v>20</v>
      </c>
      <c r="B29" s="142" t="str">
        <f>'SCHEDULE OF VALUE WORKSHEET'!B26</f>
        <v>Project Accounting/Tax Filing</v>
      </c>
      <c r="C29" s="143"/>
      <c r="D29" s="104">
        <f>SUM('SCHEDULE OF VALUE WORKSHEET'!E26)</f>
        <v>12994.01</v>
      </c>
      <c r="E29" s="104">
        <f>SUM('Draw #6'!E29:F29)</f>
        <v>0</v>
      </c>
      <c r="F29" s="105">
        <v>0</v>
      </c>
      <c r="G29" s="104">
        <f>SUM('Draw #6'!G29)+F29</f>
        <v>12994.01</v>
      </c>
      <c r="H29" s="109">
        <f t="shared" si="0"/>
        <v>12994.01</v>
      </c>
      <c r="I29" s="110">
        <v>0</v>
      </c>
      <c r="J29" s="109">
        <f>SUM(I29+'Draw #6'!J29)</f>
        <v>0</v>
      </c>
      <c r="K29" s="101" t="str">
        <f t="shared" si="1"/>
        <v/>
      </c>
      <c r="L29" s="9"/>
      <c r="M29" s="9"/>
    </row>
    <row r="30" spans="1:13" ht="14.1" customHeight="1">
      <c r="A30" s="4">
        <f>'SCHEDULE OF VALUE WORKSHEET'!A27</f>
        <v>21</v>
      </c>
      <c r="B30" s="142" t="str">
        <f>'SCHEDULE OF VALUE WORKSHEET'!B27</f>
        <v>Legal &amp; Professional Fees</v>
      </c>
      <c r="C30" s="143"/>
      <c r="D30" s="104">
        <f>SUM('SCHEDULE OF VALUE WORKSHEET'!E27)</f>
        <v>873.38999999999942</v>
      </c>
      <c r="E30" s="104">
        <f>SUM('Draw #6'!E30:F30)</f>
        <v>0</v>
      </c>
      <c r="F30" s="105">
        <v>0</v>
      </c>
      <c r="G30" s="104">
        <f>SUM('Draw #6'!G30)+F30</f>
        <v>873.38999999999942</v>
      </c>
      <c r="H30" s="109">
        <f t="shared" si="0"/>
        <v>873.38999999999942</v>
      </c>
      <c r="I30" s="110">
        <v>0</v>
      </c>
      <c r="J30" s="109">
        <f>SUM(I30+'Draw #6'!J30)</f>
        <v>0</v>
      </c>
      <c r="K30" s="101" t="str">
        <f t="shared" si="1"/>
        <v/>
      </c>
      <c r="L30" s="9"/>
      <c r="M30" s="9"/>
    </row>
    <row r="31" spans="1:13" ht="14.1" customHeight="1">
      <c r="A31" s="4">
        <f>'SCHEDULE OF VALUE WORKSHEET'!A28</f>
        <v>22</v>
      </c>
      <c r="B31" s="142" t="str">
        <f>'SCHEDULE OF VALUE WORKSHEET'!B28</f>
        <v>Sewer CCTV and inspection</v>
      </c>
      <c r="C31" s="143"/>
      <c r="D31" s="104">
        <f>SUM('SCHEDULE OF VALUE WORKSHEET'!E28)</f>
        <v>0</v>
      </c>
      <c r="E31" s="104">
        <f>SUM('Draw #6'!E31:F31)</f>
        <v>0</v>
      </c>
      <c r="F31" s="105">
        <v>0</v>
      </c>
      <c r="G31" s="104">
        <f>SUM('Draw #6'!G31)+F31</f>
        <v>0</v>
      </c>
      <c r="H31" s="109">
        <f t="shared" si="0"/>
        <v>0</v>
      </c>
      <c r="I31" s="110">
        <v>0</v>
      </c>
      <c r="J31" s="109">
        <f>SUM(I31+'Draw #6'!J31)</f>
        <v>0</v>
      </c>
      <c r="K31" s="101" t="str">
        <f t="shared" si="1"/>
        <v/>
      </c>
      <c r="L31" s="9"/>
      <c r="M31" s="9"/>
    </row>
    <row r="32" spans="1:13" ht="14.1" customHeight="1">
      <c r="A32" s="4">
        <f>'SCHEDULE OF VALUE WORKSHEET'!A29</f>
        <v>23</v>
      </c>
      <c r="B32" s="142" t="str">
        <f>'SCHEDULE OF VALUE WORKSHEET'!B29</f>
        <v>Environmental Phase I</v>
      </c>
      <c r="C32" s="143"/>
      <c r="D32" s="104">
        <f>SUM('SCHEDULE OF VALUE WORKSHEET'!E29)</f>
        <v>0</v>
      </c>
      <c r="E32" s="104">
        <f>SUM('Draw #6'!E32:F32)</f>
        <v>0</v>
      </c>
      <c r="F32" s="105">
        <v>0</v>
      </c>
      <c r="G32" s="104">
        <f>SUM('Draw #6'!G32)+F32</f>
        <v>0</v>
      </c>
      <c r="H32" s="109">
        <f t="shared" si="0"/>
        <v>0</v>
      </c>
      <c r="I32" s="110">
        <v>0</v>
      </c>
      <c r="J32" s="109">
        <f>SUM(I32+'Draw #6'!J32)</f>
        <v>0</v>
      </c>
      <c r="K32" s="101" t="str">
        <f t="shared" si="1"/>
        <v/>
      </c>
      <c r="L32" s="9"/>
      <c r="M32" s="9"/>
    </row>
    <row r="33" spans="1:13" ht="14.1" customHeight="1">
      <c r="A33" s="4">
        <f>'SCHEDULE OF VALUE WORKSHEET'!A30</f>
        <v>24</v>
      </c>
      <c r="B33" s="142" t="str">
        <f>'SCHEDULE OF VALUE WORKSHEET'!B30</f>
        <v>Dry Utility Consultant</v>
      </c>
      <c r="C33" s="143"/>
      <c r="D33" s="104">
        <f>SUM('SCHEDULE OF VALUE WORKSHEET'!E30)</f>
        <v>0</v>
      </c>
      <c r="E33" s="104">
        <f>SUM('Draw #6'!E33:F33)</f>
        <v>0</v>
      </c>
      <c r="F33" s="105">
        <v>0</v>
      </c>
      <c r="G33" s="104">
        <f>SUM('Draw #6'!G33)+F33</f>
        <v>0</v>
      </c>
      <c r="H33" s="109">
        <f t="shared" si="0"/>
        <v>0</v>
      </c>
      <c r="I33" s="110">
        <v>0</v>
      </c>
      <c r="J33" s="109">
        <f>SUM(I33+'Draw #6'!J33)</f>
        <v>0</v>
      </c>
      <c r="K33" s="101" t="str">
        <f t="shared" si="1"/>
        <v/>
      </c>
      <c r="L33" s="9"/>
      <c r="M33" s="9"/>
    </row>
    <row r="34" spans="1:13" ht="14.1" customHeight="1">
      <c r="A34" s="4">
        <f>'SCHEDULE OF VALUE WORKSHEET'!A31</f>
        <v>25</v>
      </c>
      <c r="B34" s="142" t="str">
        <f>'SCHEDULE OF VALUE WORKSHEET'!B31</f>
        <v>Dry Utility Survey</v>
      </c>
      <c r="C34" s="143"/>
      <c r="D34" s="104">
        <f>SUM('SCHEDULE OF VALUE WORKSHEET'!E31)</f>
        <v>5000</v>
      </c>
      <c r="E34" s="104">
        <f>SUM('Draw #6'!E34:F34)</f>
        <v>0</v>
      </c>
      <c r="F34" s="105">
        <v>0</v>
      </c>
      <c r="G34" s="104">
        <f>SUM('Draw #6'!G34)+F34</f>
        <v>5000</v>
      </c>
      <c r="H34" s="109">
        <f t="shared" si="0"/>
        <v>5000</v>
      </c>
      <c r="I34" s="110">
        <v>0</v>
      </c>
      <c r="J34" s="109">
        <f>SUM(I34+'Draw #6'!J34)</f>
        <v>0</v>
      </c>
      <c r="K34" s="101" t="str">
        <f t="shared" si="1"/>
        <v/>
      </c>
      <c r="L34" s="9"/>
      <c r="M34" s="9"/>
    </row>
    <row r="35" spans="1:13" ht="14.1" customHeight="1">
      <c r="A35" s="4">
        <f>'SCHEDULE OF VALUE WORKSHEET'!A32</f>
        <v>26</v>
      </c>
      <c r="B35" s="142" t="str">
        <f>'SCHEDULE OF VALUE WORKSHEET'!B32</f>
        <v>MEP</v>
      </c>
      <c r="C35" s="143"/>
      <c r="D35" s="104">
        <f>SUM('SCHEDULE OF VALUE WORKSHEET'!E32)</f>
        <v>0</v>
      </c>
      <c r="E35" s="104">
        <f>SUM('Draw #6'!E35:F35)</f>
        <v>0</v>
      </c>
      <c r="F35" s="105">
        <v>0</v>
      </c>
      <c r="G35" s="104">
        <f>SUM('Draw #6'!G35)+F35</f>
        <v>0</v>
      </c>
      <c r="H35" s="109">
        <f t="shared" si="0"/>
        <v>0</v>
      </c>
      <c r="I35" s="110">
        <v>0</v>
      </c>
      <c r="J35" s="109">
        <f>SUM(I35+'Draw #6'!J35)</f>
        <v>0</v>
      </c>
      <c r="K35" s="101" t="str">
        <f t="shared" si="1"/>
        <v/>
      </c>
      <c r="L35" s="9"/>
      <c r="M35" s="9"/>
    </row>
    <row r="36" spans="1:13" ht="14.1" customHeight="1">
      <c r="A36" s="4">
        <f>'SCHEDULE OF VALUE WORKSHEET'!A33</f>
        <v>27</v>
      </c>
      <c r="B36" s="142" t="str">
        <f>'SCHEDULE OF VALUE WORKSHEET'!B33</f>
        <v>Civil Construction Administration</v>
      </c>
      <c r="C36" s="143"/>
      <c r="D36" s="104">
        <f>SUM('SCHEDULE OF VALUE WORKSHEET'!E33)</f>
        <v>5000</v>
      </c>
      <c r="E36" s="104">
        <f>SUM('Draw #6'!E36:F36)</f>
        <v>0</v>
      </c>
      <c r="F36" s="105">
        <v>0</v>
      </c>
      <c r="G36" s="104">
        <f>SUM('Draw #6'!G36)+F36</f>
        <v>5000</v>
      </c>
      <c r="H36" s="109">
        <f t="shared" si="0"/>
        <v>5000</v>
      </c>
      <c r="I36" s="110">
        <v>0</v>
      </c>
      <c r="J36" s="109">
        <f>SUM(I36+'Draw #6'!J36)</f>
        <v>0</v>
      </c>
      <c r="K36" s="101" t="str">
        <f t="shared" si="1"/>
        <v/>
      </c>
      <c r="L36" s="9"/>
      <c r="M36" s="9"/>
    </row>
    <row r="37" spans="1:13" ht="14.1" customHeight="1">
      <c r="A37" s="4">
        <f>'SCHEDULE OF VALUE WORKSHEET'!A34</f>
        <v>28</v>
      </c>
      <c r="B37" s="142" t="str">
        <f>'SCHEDULE OF VALUE WORKSHEET'!B34</f>
        <v>Permit Clearances &amp; Agency Reviews</v>
      </c>
      <c r="C37" s="143"/>
      <c r="D37" s="104">
        <f>SUM('SCHEDULE OF VALUE WORKSHEET'!E34)</f>
        <v>0</v>
      </c>
      <c r="E37" s="104">
        <f>SUM('Draw #6'!E37:F37)</f>
        <v>0</v>
      </c>
      <c r="F37" s="105">
        <v>0</v>
      </c>
      <c r="G37" s="104">
        <f>SUM('Draw #6'!G37)+F37</f>
        <v>0</v>
      </c>
      <c r="H37" s="109">
        <f t="shared" si="0"/>
        <v>0</v>
      </c>
      <c r="I37" s="110">
        <v>0</v>
      </c>
      <c r="J37" s="109">
        <f>SUM(I37+'Draw #6'!J37)</f>
        <v>0</v>
      </c>
      <c r="K37" s="101" t="str">
        <f t="shared" si="1"/>
        <v/>
      </c>
      <c r="L37" s="9"/>
      <c r="M37" s="9"/>
    </row>
    <row r="38" spans="1:13" ht="14.1" customHeight="1">
      <c r="A38" s="4">
        <f>'SCHEDULE OF VALUE WORKSHEET'!A35</f>
        <v>29</v>
      </c>
      <c r="B38" s="142" t="str">
        <f>'SCHEDULE OF VALUE WORKSHEET'!B35</f>
        <v>Demo Permit Fees</v>
      </c>
      <c r="C38" s="143"/>
      <c r="D38" s="104">
        <f>SUM('SCHEDULE OF VALUE WORKSHEET'!E35)</f>
        <v>500</v>
      </c>
      <c r="E38" s="104">
        <f>SUM('Draw #6'!E38:F38)</f>
        <v>0</v>
      </c>
      <c r="F38" s="105">
        <v>0</v>
      </c>
      <c r="G38" s="104">
        <f>SUM('Draw #6'!G38)+F38</f>
        <v>500</v>
      </c>
      <c r="H38" s="109">
        <f t="shared" si="0"/>
        <v>500</v>
      </c>
      <c r="I38" s="110">
        <v>0</v>
      </c>
      <c r="J38" s="109">
        <f>SUM(I38+'Draw #6'!J38)</f>
        <v>0</v>
      </c>
      <c r="K38" s="101" t="str">
        <f t="shared" si="1"/>
        <v/>
      </c>
      <c r="L38" s="9"/>
      <c r="M38" s="9"/>
    </row>
    <row r="39" spans="1:13" ht="14.1" customHeight="1">
      <c r="A39" s="4">
        <f>'SCHEDULE OF VALUE WORKSHEET'!A36</f>
        <v>30</v>
      </c>
      <c r="B39" s="142" t="str">
        <f>'SCHEDULE OF VALUE WORKSHEET'!B36</f>
        <v>MEP Fees</v>
      </c>
      <c r="C39" s="143"/>
      <c r="D39" s="104">
        <f>SUM('SCHEDULE OF VALUE WORKSHEET'!E36)</f>
        <v>0</v>
      </c>
      <c r="E39" s="104">
        <f>SUM('Draw #6'!E39:F39)</f>
        <v>0</v>
      </c>
      <c r="F39" s="105">
        <v>0</v>
      </c>
      <c r="G39" s="104">
        <f>SUM('Draw #6'!G39)+F39</f>
        <v>0</v>
      </c>
      <c r="H39" s="109">
        <f t="shared" si="0"/>
        <v>0</v>
      </c>
      <c r="I39" s="110">
        <v>0</v>
      </c>
      <c r="J39" s="109">
        <f>SUM(I39+'Draw #6'!J39)</f>
        <v>0</v>
      </c>
      <c r="K39" s="101" t="str">
        <f t="shared" si="1"/>
        <v/>
      </c>
      <c r="L39" s="9"/>
      <c r="M39" s="9"/>
    </row>
    <row r="40" spans="1:13" ht="14.1" customHeight="1">
      <c r="A40" s="4">
        <f>'SCHEDULE OF VALUE WORKSHEET'!A37</f>
        <v>31</v>
      </c>
      <c r="B40" s="142" t="str">
        <f>'SCHEDULE OF VALUE WORKSHEET'!B37</f>
        <v>Agency Signoffs</v>
      </c>
      <c r="C40" s="143"/>
      <c r="D40" s="104">
        <f>SUM('SCHEDULE OF VALUE WORKSHEET'!E37)</f>
        <v>0</v>
      </c>
      <c r="E40" s="104">
        <f>SUM('Draw #6'!E40:F40)</f>
        <v>0</v>
      </c>
      <c r="F40" s="105">
        <v>0</v>
      </c>
      <c r="G40" s="104">
        <f>SUM('Draw #6'!G40)+F40</f>
        <v>0</v>
      </c>
      <c r="H40" s="109">
        <f t="shared" si="0"/>
        <v>0</v>
      </c>
      <c r="I40" s="110">
        <v>0</v>
      </c>
      <c r="J40" s="109">
        <f>SUM(I40+'Draw #6'!J40)</f>
        <v>0</v>
      </c>
      <c r="K40" s="101" t="str">
        <f t="shared" si="1"/>
        <v/>
      </c>
      <c r="L40" s="9"/>
      <c r="M40" s="9"/>
    </row>
    <row r="41" spans="1:13" ht="14.1" customHeight="1">
      <c r="A41" s="4">
        <f>'SCHEDULE OF VALUE WORKSHEET'!A38</f>
        <v>32</v>
      </c>
      <c r="B41" s="142" t="str">
        <f>'SCHEDULE OF VALUE WORKSHEET'!B38</f>
        <v>Specifications Writer Consultant</v>
      </c>
      <c r="C41" s="143"/>
      <c r="D41" s="104">
        <f>SUM('SCHEDULE OF VALUE WORKSHEET'!E38)</f>
        <v>2000</v>
      </c>
      <c r="E41" s="104">
        <f>SUM('Draw #6'!E41:F41)</f>
        <v>0</v>
      </c>
      <c r="F41" s="105">
        <v>0</v>
      </c>
      <c r="G41" s="104">
        <f>SUM('Draw #6'!G41)+F41</f>
        <v>2000</v>
      </c>
      <c r="H41" s="109">
        <f t="shared" si="0"/>
        <v>2000</v>
      </c>
      <c r="I41" s="110">
        <v>0</v>
      </c>
      <c r="J41" s="109">
        <f>SUM(I41+'Draw #6'!J41)</f>
        <v>0</v>
      </c>
      <c r="K41" s="101" t="str">
        <f t="shared" si="1"/>
        <v/>
      </c>
      <c r="L41" s="9"/>
      <c r="M41" s="9"/>
    </row>
    <row r="42" spans="1:13" ht="14.1" customHeight="1">
      <c r="A42" s="4">
        <f>'SCHEDULE OF VALUE WORKSHEET'!A39</f>
        <v>33</v>
      </c>
      <c r="B42" s="142" t="str">
        <f>'SCHEDULE OF VALUE WORKSHEET'!B39</f>
        <v>Construction Consultant</v>
      </c>
      <c r="C42" s="143"/>
      <c r="D42" s="104">
        <f>SUM('SCHEDULE OF VALUE WORKSHEET'!E39)</f>
        <v>0</v>
      </c>
      <c r="E42" s="104">
        <f>SUM('Draw #6'!E42:F42)</f>
        <v>0</v>
      </c>
      <c r="F42" s="105">
        <v>0</v>
      </c>
      <c r="G42" s="104">
        <f>SUM('Draw #6'!G42)+F42</f>
        <v>0</v>
      </c>
      <c r="H42" s="109">
        <f t="shared" si="0"/>
        <v>0</v>
      </c>
      <c r="I42" s="110">
        <v>0</v>
      </c>
      <c r="J42" s="109">
        <f>SUM(I42+'Draw #6'!J42)</f>
        <v>0</v>
      </c>
      <c r="K42" s="101" t="str">
        <f t="shared" si="1"/>
        <v/>
      </c>
      <c r="L42" s="9"/>
      <c r="M42" s="9"/>
    </row>
    <row r="43" spans="1:13" ht="14.1" customHeight="1">
      <c r="A43" s="4">
        <f>'SCHEDULE OF VALUE WORKSHEET'!A40</f>
        <v>34</v>
      </c>
      <c r="B43" s="142" t="str">
        <f>'SCHEDULE OF VALUE WORKSHEET'!B40</f>
        <v>Low Voltage Consultant</v>
      </c>
      <c r="C43" s="143"/>
      <c r="D43" s="104">
        <f>SUM('SCHEDULE OF VALUE WORKSHEET'!E40)</f>
        <v>15524</v>
      </c>
      <c r="E43" s="104">
        <f>SUM('Draw #6'!E43:F43)</f>
        <v>0</v>
      </c>
      <c r="F43" s="105">
        <v>0</v>
      </c>
      <c r="G43" s="104">
        <f>SUM('Draw #6'!G43)+F43</f>
        <v>15524</v>
      </c>
      <c r="H43" s="109">
        <f t="shared" si="0"/>
        <v>15524</v>
      </c>
      <c r="I43" s="110">
        <v>0</v>
      </c>
      <c r="J43" s="109">
        <f>SUM(I43+'Draw #6'!J43)</f>
        <v>0</v>
      </c>
      <c r="K43" s="101" t="str">
        <f t="shared" si="1"/>
        <v/>
      </c>
      <c r="L43" s="9"/>
      <c r="M43" s="9"/>
    </row>
    <row r="44" spans="1:13" ht="14.1" customHeight="1">
      <c r="A44" s="4">
        <f>'SCHEDULE OF VALUE WORKSHEET'!A41</f>
        <v>35</v>
      </c>
      <c r="B44" s="142" t="str">
        <f>'SCHEDULE OF VALUE WORKSHEET'!B41</f>
        <v>Photovoltaic Consultant</v>
      </c>
      <c r="C44" s="143"/>
      <c r="D44" s="104">
        <f>SUM('SCHEDULE OF VALUE WORKSHEET'!E41)</f>
        <v>5000</v>
      </c>
      <c r="E44" s="104">
        <f>SUM('Draw #6'!E44:F44)</f>
        <v>0</v>
      </c>
      <c r="F44" s="105">
        <v>0</v>
      </c>
      <c r="G44" s="104">
        <f>SUM('Draw #6'!G44)+F44</f>
        <v>5000</v>
      </c>
      <c r="H44" s="109">
        <f t="shared" si="0"/>
        <v>5000</v>
      </c>
      <c r="I44" s="110">
        <v>0</v>
      </c>
      <c r="J44" s="109">
        <f>SUM(I44+'Draw #6'!J44)</f>
        <v>0</v>
      </c>
      <c r="K44" s="101" t="str">
        <f t="shared" si="1"/>
        <v/>
      </c>
      <c r="L44" s="9"/>
      <c r="M44" s="9"/>
    </row>
    <row r="45" spans="1:13" ht="14.1" customHeight="1">
      <c r="A45" s="4">
        <f>'SCHEDULE OF VALUE WORKSHEET'!A42</f>
        <v>36</v>
      </c>
      <c r="B45" s="142" t="str">
        <f>'SCHEDULE OF VALUE WORKSHEET'!B42</f>
        <v>Construction Management / Observation (OO)</v>
      </c>
      <c r="C45" s="143"/>
      <c r="D45" s="104">
        <f>SUM('SCHEDULE OF VALUE WORKSHEET'!E42)</f>
        <v>49427.9</v>
      </c>
      <c r="E45" s="104">
        <f>SUM('Draw #6'!E45:F45)</f>
        <v>0</v>
      </c>
      <c r="F45" s="105">
        <v>0</v>
      </c>
      <c r="G45" s="104">
        <f>SUM('Draw #6'!G45)+F45</f>
        <v>49427.9</v>
      </c>
      <c r="H45" s="109">
        <f t="shared" si="0"/>
        <v>49427.9</v>
      </c>
      <c r="I45" s="110">
        <v>0</v>
      </c>
      <c r="J45" s="109">
        <f>SUM(I45+'Draw #6'!J45)</f>
        <v>0</v>
      </c>
      <c r="K45" s="101" t="str">
        <f t="shared" si="1"/>
        <v/>
      </c>
      <c r="L45" s="9"/>
      <c r="M45" s="9"/>
    </row>
    <row r="46" spans="1:13" ht="14.1" customHeight="1">
      <c r="A46" s="4" t="e">
        <f>'SCHEDULE OF VALUE WORKSHEET'!#REF!</f>
        <v>#REF!</v>
      </c>
      <c r="B46" s="142" t="e">
        <f>'SCHEDULE OF VALUE WORKSHEET'!#REF!</f>
        <v>#REF!</v>
      </c>
      <c r="C46" s="143"/>
      <c r="D46" s="104" t="e">
        <f>SUM('SCHEDULE OF VALUE WORKSHEET'!#REF!)</f>
        <v>#REF!</v>
      </c>
      <c r="E46" s="104">
        <f>SUM('Draw #6'!E46:F46)</f>
        <v>0</v>
      </c>
      <c r="F46" s="105">
        <v>0</v>
      </c>
      <c r="G46" s="104" t="e">
        <f>SUM('Draw #6'!G46)+F46</f>
        <v>#REF!</v>
      </c>
      <c r="H46" s="109" t="e">
        <f t="shared" si="0"/>
        <v>#REF!</v>
      </c>
      <c r="I46" s="110">
        <v>0</v>
      </c>
      <c r="J46" s="109">
        <f>SUM(I46+'Draw #6'!J46)</f>
        <v>0</v>
      </c>
      <c r="K46" s="101" t="str">
        <f t="shared" si="1"/>
        <v/>
      </c>
      <c r="L46" s="9"/>
      <c r="M46" s="9"/>
    </row>
    <row r="47" spans="1:13" ht="14.1" customHeight="1">
      <c r="A47" s="4">
        <f>'SCHEDULE OF VALUE WORKSHEET'!A43</f>
        <v>37</v>
      </c>
      <c r="B47" s="142" t="str">
        <f>'SCHEDULE OF VALUE WORKSHEET'!B43</f>
        <v>CMFA Startup Fee</v>
      </c>
      <c r="C47" s="143"/>
      <c r="D47" s="104">
        <f>SUM('SCHEDULE OF VALUE WORKSHEET'!E43)</f>
        <v>22800</v>
      </c>
      <c r="E47" s="104">
        <f>SUM('Draw #6'!E47:F47)</f>
        <v>0</v>
      </c>
      <c r="F47" s="105">
        <v>0</v>
      </c>
      <c r="G47" s="104">
        <f>SUM('Draw #6'!G47)+F47</f>
        <v>22800</v>
      </c>
      <c r="H47" s="109">
        <f t="shared" si="0"/>
        <v>22800</v>
      </c>
      <c r="I47" s="110">
        <v>0</v>
      </c>
      <c r="J47" s="109">
        <f>SUM(I47+'Draw #6'!J47)</f>
        <v>0</v>
      </c>
      <c r="K47" s="101" t="str">
        <f t="shared" si="1"/>
        <v/>
      </c>
      <c r="L47" s="9"/>
      <c r="M47" s="9"/>
    </row>
    <row r="48" spans="1:13" ht="14.1" customHeight="1">
      <c r="A48" s="4">
        <f>'SCHEDULE OF VALUE WORKSHEET'!A44</f>
        <v>38</v>
      </c>
      <c r="B48" s="142" t="str">
        <f>'SCHEDULE OF VALUE WORKSHEET'!B44</f>
        <v>Non-Profit Start Up Fee</v>
      </c>
      <c r="C48" s="143"/>
      <c r="D48" s="104">
        <f>SUM('SCHEDULE OF VALUE WORKSHEET'!E44)</f>
        <v>25000</v>
      </c>
      <c r="E48" s="104">
        <f>SUM('Draw #6'!E48:F48)</f>
        <v>0</v>
      </c>
      <c r="F48" s="105">
        <v>0</v>
      </c>
      <c r="G48" s="104">
        <f>SUM('Draw #6'!G48)+F48</f>
        <v>25000</v>
      </c>
      <c r="H48" s="109">
        <f t="shared" si="0"/>
        <v>25000</v>
      </c>
      <c r="I48" s="110">
        <v>0</v>
      </c>
      <c r="J48" s="109">
        <f>SUM(I48+'Draw #6'!J48)</f>
        <v>0</v>
      </c>
      <c r="K48" s="101" t="str">
        <f t="shared" si="1"/>
        <v/>
      </c>
      <c r="L48" s="9"/>
      <c r="M48" s="9"/>
    </row>
    <row r="49" spans="1:13" ht="14.1" customHeight="1">
      <c r="A49" s="4">
        <f>'SCHEDULE OF VALUE WORKSHEET'!A45</f>
        <v>39</v>
      </c>
      <c r="B49" s="142" t="str">
        <f>'SCHEDULE OF VALUE WORKSHEET'!B45</f>
        <v>CMFA Construction Fee</v>
      </c>
      <c r="C49" s="143"/>
      <c r="D49" s="104">
        <f>SUM('SCHEDULE OF VALUE WORKSHEET'!E45)</f>
        <v>12000</v>
      </c>
      <c r="E49" s="104">
        <f>SUM('Draw #6'!E49:F49)</f>
        <v>0</v>
      </c>
      <c r="F49" s="105">
        <v>0</v>
      </c>
      <c r="G49" s="104">
        <f>SUM('Draw #6'!G49)+F49</f>
        <v>12000</v>
      </c>
      <c r="H49" s="109">
        <f t="shared" si="0"/>
        <v>12000</v>
      </c>
      <c r="I49" s="110">
        <v>0</v>
      </c>
      <c r="J49" s="109">
        <f>SUM(I49+'Draw #6'!J49)</f>
        <v>0</v>
      </c>
      <c r="K49" s="101" t="str">
        <f t="shared" si="1"/>
        <v/>
      </c>
      <c r="L49" s="9"/>
      <c r="M49" s="9"/>
    </row>
    <row r="50" spans="1:13" ht="14.1" customHeight="1">
      <c r="A50" s="4">
        <f>'SCHEDULE OF VALUE WORKSHEET'!A46</f>
        <v>40</v>
      </c>
      <c r="B50" s="142" t="str">
        <f>'SCHEDULE OF VALUE WORKSHEET'!B46</f>
        <v>Non-Profit Construction Fee</v>
      </c>
      <c r="C50" s="143"/>
      <c r="D50" s="104">
        <f>SUM('SCHEDULE OF VALUE WORKSHEET'!E46)</f>
        <v>10000</v>
      </c>
      <c r="E50" s="104">
        <f>SUM('Draw #6'!E50:F50)</f>
        <v>0</v>
      </c>
      <c r="F50" s="105">
        <v>0</v>
      </c>
      <c r="G50" s="104">
        <f>SUM('Draw #6'!G50)+F50</f>
        <v>10000</v>
      </c>
      <c r="H50" s="109">
        <f t="shared" si="0"/>
        <v>10000</v>
      </c>
      <c r="I50" s="110">
        <v>0</v>
      </c>
      <c r="J50" s="109">
        <f>SUM(I50+'Draw #6'!J50)</f>
        <v>0</v>
      </c>
      <c r="K50" s="101" t="str">
        <f t="shared" si="1"/>
        <v/>
      </c>
      <c r="L50" s="9"/>
      <c r="M50" s="9"/>
    </row>
    <row r="51" spans="1:13" ht="14.1" customHeight="1">
      <c r="A51" s="4">
        <f>'SCHEDULE OF VALUE WORKSHEET'!A47</f>
        <v>41</v>
      </c>
      <c r="B51" s="142" t="str">
        <f>'SCHEDULE OF VALUE WORKSHEET'!B47</f>
        <v>WTE Legal Costs for CMFA &amp; Non-Profit Partner</v>
      </c>
      <c r="C51" s="143"/>
      <c r="D51" s="104">
        <f>SUM('SCHEDULE OF VALUE WORKSHEET'!E47)</f>
        <v>20000</v>
      </c>
      <c r="E51" s="104">
        <f>SUM('Draw #6'!E51:F51)</f>
        <v>0</v>
      </c>
      <c r="F51" s="105">
        <v>0</v>
      </c>
      <c r="G51" s="104">
        <f>SUM('Draw #6'!G51)+F51</f>
        <v>20000</v>
      </c>
      <c r="H51" s="109">
        <f t="shared" si="0"/>
        <v>20000</v>
      </c>
      <c r="I51" s="110">
        <v>0</v>
      </c>
      <c r="J51" s="109">
        <f>SUM(I51+'Draw #6'!J51)</f>
        <v>0</v>
      </c>
      <c r="K51" s="101" t="str">
        <f t="shared" si="1"/>
        <v/>
      </c>
      <c r="L51" s="9"/>
      <c r="M51" s="9"/>
    </row>
    <row r="52" spans="1:13" ht="14.1" customHeight="1">
      <c r="A52" s="4" t="e">
        <f>'SCHEDULE OF VALUE WORKSHEET'!#REF!</f>
        <v>#REF!</v>
      </c>
      <c r="B52" s="142" t="e">
        <f>'SCHEDULE OF VALUE WORKSHEET'!#REF!</f>
        <v>#REF!</v>
      </c>
      <c r="C52" s="143"/>
      <c r="D52" s="104" t="e">
        <f>SUM('SCHEDULE OF VALUE WORKSHEET'!#REF!)</f>
        <v>#REF!</v>
      </c>
      <c r="E52" s="104">
        <f>SUM('Draw #6'!E52:F52)</f>
        <v>0</v>
      </c>
      <c r="F52" s="105">
        <v>0</v>
      </c>
      <c r="G52" s="104" t="e">
        <f>SUM('Draw #6'!G52)+F52</f>
        <v>#REF!</v>
      </c>
      <c r="H52" s="109" t="e">
        <f t="shared" si="0"/>
        <v>#REF!</v>
      </c>
      <c r="I52" s="110">
        <v>0</v>
      </c>
      <c r="J52" s="109">
        <f>SUM(I52+'Draw #6'!J52)</f>
        <v>0</v>
      </c>
      <c r="K52" s="101" t="str">
        <f t="shared" si="1"/>
        <v/>
      </c>
      <c r="L52" s="9"/>
      <c r="M52" s="9"/>
    </row>
    <row r="53" spans="1:13" ht="14.1" customHeight="1">
      <c r="A53" s="4">
        <f>'SCHEDULE OF VALUE WORKSHEET'!A49</f>
        <v>43</v>
      </c>
      <c r="B53" s="142" t="str">
        <f>'SCHEDULE OF VALUE WORKSHEET'!B49</f>
        <v>GENERAL CONDITIONS</v>
      </c>
      <c r="C53" s="143"/>
      <c r="D53" s="104">
        <f>SUM('SCHEDULE OF VALUE WORKSHEET'!E49)</f>
        <v>362115.24</v>
      </c>
      <c r="E53" s="104">
        <f>SUM('Draw #6'!E53:F53)</f>
        <v>0</v>
      </c>
      <c r="F53" s="105">
        <v>0</v>
      </c>
      <c r="G53" s="104">
        <f>SUM('Draw #6'!G53)+F53</f>
        <v>362115.24</v>
      </c>
      <c r="H53" s="109">
        <f t="shared" si="0"/>
        <v>362115.24</v>
      </c>
      <c r="I53" s="110">
        <v>0</v>
      </c>
      <c r="J53" s="109">
        <f>SUM(I53+'Draw #6'!J53)</f>
        <v>0</v>
      </c>
      <c r="K53" s="101" t="str">
        <f t="shared" si="1"/>
        <v/>
      </c>
      <c r="L53" s="9"/>
      <c r="M53" s="9"/>
    </row>
    <row r="54" spans="1:13" ht="14.1" customHeight="1">
      <c r="A54" s="4">
        <f>'SCHEDULE OF VALUE WORKSHEET'!A50</f>
        <v>44</v>
      </c>
      <c r="B54" s="142" t="str">
        <f>'SCHEDULE OF VALUE WORKSHEET'!B50</f>
        <v>GENERAL REQUIREMENT</v>
      </c>
      <c r="C54" s="143"/>
      <c r="D54" s="104">
        <f>SUM('SCHEDULE OF VALUE WORKSHEET'!E50)</f>
        <v>124657.88</v>
      </c>
      <c r="E54" s="104">
        <f>SUM('Draw #6'!E54:F54)</f>
        <v>0</v>
      </c>
      <c r="F54" s="105">
        <v>0</v>
      </c>
      <c r="G54" s="104">
        <f>SUM('Draw #6'!G54)+F54</f>
        <v>124657.88</v>
      </c>
      <c r="H54" s="109">
        <f t="shared" si="0"/>
        <v>124657.88</v>
      </c>
      <c r="I54" s="110">
        <v>0</v>
      </c>
      <c r="J54" s="109">
        <f>SUM(I54+'Draw #6'!J54)</f>
        <v>0</v>
      </c>
      <c r="K54" s="101" t="str">
        <f t="shared" si="1"/>
        <v/>
      </c>
      <c r="L54" s="9"/>
      <c r="M54" s="9"/>
    </row>
    <row r="55" spans="1:13" ht="14.1" customHeight="1">
      <c r="A55" s="4">
        <f>'SCHEDULE OF VALUE WORKSHEET'!A51</f>
        <v>45</v>
      </c>
      <c r="B55" s="142" t="str">
        <f>'SCHEDULE OF VALUE WORKSHEET'!B51</f>
        <v>SITE WORK</v>
      </c>
      <c r="C55" s="143"/>
      <c r="D55" s="104">
        <f>SUM('SCHEDULE OF VALUE WORKSHEET'!E51)</f>
        <v>139049.51</v>
      </c>
      <c r="E55" s="104">
        <f>SUM('Draw #6'!E55:F55)</f>
        <v>0</v>
      </c>
      <c r="F55" s="105">
        <v>0</v>
      </c>
      <c r="G55" s="104">
        <f>SUM('Draw #6'!G55)+F55</f>
        <v>139049.51</v>
      </c>
      <c r="H55" s="109">
        <f t="shared" si="0"/>
        <v>139049.51</v>
      </c>
      <c r="I55" s="110">
        <v>0</v>
      </c>
      <c r="J55" s="109">
        <f>SUM(I55+'Draw #6'!J55)</f>
        <v>0</v>
      </c>
      <c r="K55" s="101" t="str">
        <f t="shared" si="1"/>
        <v/>
      </c>
      <c r="L55" s="9"/>
      <c r="M55" s="9"/>
    </row>
    <row r="56" spans="1:13" ht="14.1" customHeight="1">
      <c r="A56" s="4">
        <f>'SCHEDULE OF VALUE WORKSHEET'!A52</f>
        <v>46</v>
      </c>
      <c r="B56" s="142" t="str">
        <f>'SCHEDULE OF VALUE WORKSHEET'!B52</f>
        <v>CONCRETE</v>
      </c>
      <c r="C56" s="143"/>
      <c r="D56" s="104">
        <f>SUM('SCHEDULE OF VALUE WORKSHEET'!E52)</f>
        <v>253182</v>
      </c>
      <c r="E56" s="104">
        <f>SUM('Draw #6'!E56:F56)</f>
        <v>0</v>
      </c>
      <c r="F56" s="105">
        <v>0</v>
      </c>
      <c r="G56" s="104">
        <f>SUM('Draw #6'!G56)+F56</f>
        <v>253182</v>
      </c>
      <c r="H56" s="109">
        <f t="shared" si="0"/>
        <v>253182</v>
      </c>
      <c r="I56" s="110">
        <v>0</v>
      </c>
      <c r="J56" s="109">
        <f>SUM(I56+'Draw #6'!J56)</f>
        <v>0</v>
      </c>
      <c r="K56" s="101" t="str">
        <f t="shared" si="1"/>
        <v/>
      </c>
      <c r="L56" s="9"/>
      <c r="M56" s="9"/>
    </row>
    <row r="57" spans="1:13" ht="14.1" customHeight="1">
      <c r="A57" s="4">
        <f>'SCHEDULE OF VALUE WORKSHEET'!A53</f>
        <v>47</v>
      </c>
      <c r="B57" s="142" t="str">
        <f>'SCHEDULE OF VALUE WORKSHEET'!B53</f>
        <v>MASONRY</v>
      </c>
      <c r="C57" s="143"/>
      <c r="D57" s="104">
        <f>SUM('SCHEDULE OF VALUE WORKSHEET'!E53)</f>
        <v>3562.64</v>
      </c>
      <c r="E57" s="104">
        <f>SUM('Draw #6'!E57:F57)</f>
        <v>0</v>
      </c>
      <c r="F57" s="105">
        <v>0</v>
      </c>
      <c r="G57" s="104">
        <f>SUM('Draw #6'!G57)+F57</f>
        <v>3562.64</v>
      </c>
      <c r="H57" s="109">
        <f t="shared" si="0"/>
        <v>3562.64</v>
      </c>
      <c r="I57" s="110">
        <v>0</v>
      </c>
      <c r="J57" s="109">
        <f>SUM(I57+'Draw #6'!J57)</f>
        <v>0</v>
      </c>
      <c r="K57" s="101" t="str">
        <f t="shared" si="1"/>
        <v/>
      </c>
      <c r="L57" s="9"/>
      <c r="M57" s="9"/>
    </row>
    <row r="58" spans="1:13" ht="14.1" customHeight="1">
      <c r="A58" s="4">
        <f>'SCHEDULE OF VALUE WORKSHEET'!A54</f>
        <v>48</v>
      </c>
      <c r="B58" s="142" t="str">
        <f>'SCHEDULE OF VALUE WORKSHEET'!B54</f>
        <v>METALS</v>
      </c>
      <c r="C58" s="143"/>
      <c r="D58" s="104">
        <f>SUM('SCHEDULE OF VALUE WORKSHEET'!E54)</f>
        <v>324100</v>
      </c>
      <c r="E58" s="104">
        <f>SUM('Draw #6'!E58:F58)</f>
        <v>0</v>
      </c>
      <c r="F58" s="105">
        <v>0</v>
      </c>
      <c r="G58" s="104">
        <f>SUM('Draw #6'!G58)+F58</f>
        <v>324100</v>
      </c>
      <c r="H58" s="109">
        <f t="shared" si="0"/>
        <v>324100</v>
      </c>
      <c r="I58" s="110">
        <v>0</v>
      </c>
      <c r="J58" s="109">
        <f>SUM(I58+'Draw #6'!J58)</f>
        <v>0</v>
      </c>
      <c r="K58" s="101" t="str">
        <f t="shared" si="1"/>
        <v/>
      </c>
      <c r="L58" s="9"/>
      <c r="M58" s="9"/>
    </row>
    <row r="59" spans="1:13" ht="14.1" customHeight="1">
      <c r="A59" s="4">
        <f>'SCHEDULE OF VALUE WORKSHEET'!A55</f>
        <v>49</v>
      </c>
      <c r="B59" s="142" t="str">
        <f>'SCHEDULE OF VALUE WORKSHEET'!B55</f>
        <v>FRAMING</v>
      </c>
      <c r="C59" s="143"/>
      <c r="D59" s="104">
        <f>SUM('SCHEDULE OF VALUE WORKSHEET'!E55)</f>
        <v>818554</v>
      </c>
      <c r="E59" s="104">
        <f>SUM('Draw #6'!E59:F59)</f>
        <v>0</v>
      </c>
      <c r="F59" s="105">
        <v>0</v>
      </c>
      <c r="G59" s="104">
        <f>SUM('Draw #6'!G59)+F59</f>
        <v>818554</v>
      </c>
      <c r="H59" s="109">
        <f t="shared" si="0"/>
        <v>818554</v>
      </c>
      <c r="I59" s="110">
        <v>0</v>
      </c>
      <c r="J59" s="109">
        <f>SUM(I59+'Draw #6'!J59)</f>
        <v>0</v>
      </c>
      <c r="K59" s="101" t="str">
        <f t="shared" si="1"/>
        <v/>
      </c>
      <c r="L59" s="9"/>
      <c r="M59" s="9"/>
    </row>
    <row r="60" spans="1:13" ht="14.1" customHeight="1">
      <c r="A60" s="4">
        <f>'SCHEDULE OF VALUE WORKSHEET'!A56</f>
        <v>50</v>
      </c>
      <c r="B60" s="142" t="str">
        <f>'SCHEDULE OF VALUE WORKSHEET'!B56</f>
        <v>COUNTERTOPS</v>
      </c>
      <c r="C60" s="143"/>
      <c r="D60" s="104">
        <f>SUM('SCHEDULE OF VALUE WORKSHEET'!E56)</f>
        <v>56930</v>
      </c>
      <c r="E60" s="104">
        <f>SUM('Draw #6'!E60:F60)</f>
        <v>0</v>
      </c>
      <c r="F60" s="105">
        <v>0</v>
      </c>
      <c r="G60" s="104">
        <f>SUM('Draw #6'!G60)+F60</f>
        <v>56930</v>
      </c>
      <c r="H60" s="109">
        <f t="shared" si="0"/>
        <v>56930</v>
      </c>
      <c r="I60" s="110">
        <v>0</v>
      </c>
      <c r="J60" s="109">
        <f>SUM(I60+'Draw #6'!J60)</f>
        <v>0</v>
      </c>
      <c r="K60" s="101" t="str">
        <f t="shared" si="1"/>
        <v/>
      </c>
      <c r="L60" s="9"/>
      <c r="M60" s="9"/>
    </row>
    <row r="61" spans="1:13" ht="14.1" customHeight="1">
      <c r="A61" s="4">
        <f>'SCHEDULE OF VALUE WORKSHEET'!A57</f>
        <v>51</v>
      </c>
      <c r="B61" s="142" t="str">
        <f>'SCHEDULE OF VALUE WORKSHEET'!B57</f>
        <v>CABINETS</v>
      </c>
      <c r="C61" s="143"/>
      <c r="D61" s="104">
        <f>SUM('SCHEDULE OF VALUE WORKSHEET'!E57)</f>
        <v>56930</v>
      </c>
      <c r="E61" s="104">
        <f>SUM('Draw #6'!E61:F61)</f>
        <v>0</v>
      </c>
      <c r="F61" s="105">
        <v>0</v>
      </c>
      <c r="G61" s="104">
        <f>SUM('Draw #6'!G61)+F61</f>
        <v>56930</v>
      </c>
      <c r="H61" s="109">
        <f t="shared" si="0"/>
        <v>56930</v>
      </c>
      <c r="I61" s="110">
        <v>0</v>
      </c>
      <c r="J61" s="109">
        <f>SUM(I61+'Draw #6'!J61)</f>
        <v>0</v>
      </c>
      <c r="K61" s="101" t="str">
        <f t="shared" si="1"/>
        <v/>
      </c>
      <c r="L61" s="9"/>
      <c r="M61" s="9"/>
    </row>
    <row r="62" spans="1:13" ht="14.1" customHeight="1">
      <c r="A62" s="4">
        <f>'SCHEDULE OF VALUE WORKSHEET'!A58</f>
        <v>52</v>
      </c>
      <c r="B62" s="142" t="str">
        <f>'SCHEDULE OF VALUE WORKSHEET'!B58</f>
        <v>THERMAL MOISTURE PROTECTION</v>
      </c>
      <c r="C62" s="143"/>
      <c r="D62" s="104">
        <f>SUM('SCHEDULE OF VALUE WORKSHEET'!E58)</f>
        <v>173148</v>
      </c>
      <c r="E62" s="104">
        <f>SUM('Draw #6'!E62:F62)</f>
        <v>0</v>
      </c>
      <c r="F62" s="105">
        <v>0</v>
      </c>
      <c r="G62" s="104">
        <f>SUM('Draw #6'!G62)+F62</f>
        <v>173148</v>
      </c>
      <c r="H62" s="109">
        <f t="shared" si="0"/>
        <v>173148</v>
      </c>
      <c r="I62" s="110">
        <v>0</v>
      </c>
      <c r="J62" s="109">
        <f>SUM(I62+'Draw #6'!J62)</f>
        <v>0</v>
      </c>
      <c r="K62" s="101" t="str">
        <f t="shared" si="1"/>
        <v/>
      </c>
      <c r="L62" s="9"/>
      <c r="M62" s="9"/>
    </row>
    <row r="63" spans="1:13" ht="14.1" customHeight="1">
      <c r="A63" s="4">
        <f>'SCHEDULE OF VALUE WORKSHEET'!A59</f>
        <v>53</v>
      </c>
      <c r="B63" s="142" t="str">
        <f>'SCHEDULE OF VALUE WORKSHEET'!B59</f>
        <v>DOORS</v>
      </c>
      <c r="C63" s="143"/>
      <c r="D63" s="104">
        <f>SUM('SCHEDULE OF VALUE WORKSHEET'!E59)</f>
        <v>204087.33</v>
      </c>
      <c r="E63" s="104">
        <f>SUM('Draw #6'!E63:F63)</f>
        <v>0</v>
      </c>
      <c r="F63" s="105">
        <v>0</v>
      </c>
      <c r="G63" s="104">
        <f>SUM('Draw #6'!G63)+F63</f>
        <v>204087.33</v>
      </c>
      <c r="H63" s="109">
        <f t="shared" si="0"/>
        <v>204087.33</v>
      </c>
      <c r="I63" s="110">
        <v>0</v>
      </c>
      <c r="J63" s="109">
        <f>SUM(I63+'Draw #6'!J63)</f>
        <v>0</v>
      </c>
      <c r="K63" s="101" t="str">
        <f t="shared" si="1"/>
        <v/>
      </c>
      <c r="L63" s="9"/>
      <c r="M63" s="9"/>
    </row>
    <row r="64" spans="1:13" ht="14.1" customHeight="1">
      <c r="A64" s="4">
        <f>'SCHEDULE OF VALUE WORKSHEET'!A60</f>
        <v>54</v>
      </c>
      <c r="B64" s="142" t="str">
        <f>'SCHEDULE OF VALUE WORKSHEET'!B60</f>
        <v>WINDOWS</v>
      </c>
      <c r="C64" s="143"/>
      <c r="D64" s="104">
        <f>SUM('SCHEDULE OF VALUE WORKSHEET'!E60)</f>
        <v>106274.25</v>
      </c>
      <c r="E64" s="104">
        <f>SUM('Draw #6'!E64:F64)</f>
        <v>0</v>
      </c>
      <c r="F64" s="105">
        <v>0</v>
      </c>
      <c r="G64" s="104">
        <f>SUM('Draw #6'!G64)+F64</f>
        <v>106274.25</v>
      </c>
      <c r="H64" s="109">
        <f t="shared" si="0"/>
        <v>106274.25</v>
      </c>
      <c r="I64" s="110">
        <v>0</v>
      </c>
      <c r="J64" s="109">
        <f>SUM(I64+'Draw #6'!J64)</f>
        <v>0</v>
      </c>
      <c r="K64" s="101" t="str">
        <f t="shared" si="1"/>
        <v/>
      </c>
      <c r="L64" s="9"/>
      <c r="M64" s="9"/>
    </row>
    <row r="65" spans="1:13" ht="14.1" customHeight="1">
      <c r="A65" s="4">
        <f>'SCHEDULE OF VALUE WORKSHEET'!A61</f>
        <v>55</v>
      </c>
      <c r="B65" s="142" t="str">
        <f>'SCHEDULE OF VALUE WORKSHEET'!B61</f>
        <v>STUCCO</v>
      </c>
      <c r="C65" s="143"/>
      <c r="D65" s="104">
        <f>SUM('SCHEDULE OF VALUE WORKSHEET'!E61)</f>
        <v>208002</v>
      </c>
      <c r="E65" s="104">
        <f>SUM('Draw #6'!E65:F65)</f>
        <v>0</v>
      </c>
      <c r="F65" s="105">
        <v>0</v>
      </c>
      <c r="G65" s="104">
        <f>SUM('Draw #6'!G65)+F65</f>
        <v>208002</v>
      </c>
      <c r="H65" s="109">
        <f t="shared" si="0"/>
        <v>208002</v>
      </c>
      <c r="I65" s="110">
        <v>0</v>
      </c>
      <c r="J65" s="109">
        <f>SUM(I65+'Draw #6'!J65)</f>
        <v>0</v>
      </c>
      <c r="K65" s="101" t="str">
        <f t="shared" si="1"/>
        <v/>
      </c>
      <c r="L65" s="9"/>
      <c r="M65" s="9"/>
    </row>
    <row r="66" spans="1:13" ht="14.1" customHeight="1">
      <c r="A66" s="4">
        <f>'SCHEDULE OF VALUE WORKSHEET'!A62</f>
        <v>56</v>
      </c>
      <c r="B66" s="142" t="str">
        <f>'SCHEDULE OF VALUE WORKSHEET'!B62</f>
        <v>DRYWALL</v>
      </c>
      <c r="C66" s="143"/>
      <c r="D66" s="104">
        <f>SUM('SCHEDULE OF VALUE WORKSHEET'!E62)</f>
        <v>416355</v>
      </c>
      <c r="E66" s="104">
        <f>SUM('Draw #6'!E66:F66)</f>
        <v>0</v>
      </c>
      <c r="F66" s="105">
        <v>0</v>
      </c>
      <c r="G66" s="104">
        <f>SUM('Draw #6'!G66)+F66</f>
        <v>416355</v>
      </c>
      <c r="H66" s="109">
        <f t="shared" si="0"/>
        <v>416355</v>
      </c>
      <c r="I66" s="110">
        <v>0</v>
      </c>
      <c r="J66" s="109">
        <f>SUM(I66+'Draw #6'!J66)</f>
        <v>0</v>
      </c>
      <c r="K66" s="101" t="str">
        <f t="shared" si="1"/>
        <v/>
      </c>
      <c r="L66" s="9"/>
      <c r="M66" s="9"/>
    </row>
    <row r="67" spans="1:13" ht="14.1" customHeight="1">
      <c r="A67" s="4">
        <f>'SCHEDULE OF VALUE WORKSHEET'!A63</f>
        <v>57</v>
      </c>
      <c r="B67" s="142" t="str">
        <f>'SCHEDULE OF VALUE WORKSHEET'!B63</f>
        <v>PAINTING</v>
      </c>
      <c r="C67" s="143"/>
      <c r="D67" s="104">
        <f>SUM('SCHEDULE OF VALUE WORKSHEET'!E63)</f>
        <v>120700</v>
      </c>
      <c r="E67" s="104">
        <f>SUM('Draw #6'!E67:F67)</f>
        <v>0</v>
      </c>
      <c r="F67" s="105">
        <v>0</v>
      </c>
      <c r="G67" s="104">
        <f>SUM('Draw #6'!G67)+F67</f>
        <v>120700</v>
      </c>
      <c r="H67" s="109">
        <f t="shared" si="0"/>
        <v>120700</v>
      </c>
      <c r="I67" s="110">
        <v>0</v>
      </c>
      <c r="J67" s="109">
        <f>SUM(I67+'Draw #6'!J67)</f>
        <v>0</v>
      </c>
      <c r="K67" s="101" t="str">
        <f t="shared" si="1"/>
        <v/>
      </c>
      <c r="L67" s="9"/>
      <c r="M67" s="9"/>
    </row>
    <row r="68" spans="1:13" ht="14.1" customHeight="1">
      <c r="A68" s="4">
        <f>'SCHEDULE OF VALUE WORKSHEET'!A64</f>
        <v>58</v>
      </c>
      <c r="B68" s="142" t="str">
        <f>'SCHEDULE OF VALUE WORKSHEET'!B64</f>
        <v>FLOORING - common areas</v>
      </c>
      <c r="C68" s="143"/>
      <c r="D68" s="104">
        <f>SUM('SCHEDULE OF VALUE WORKSHEET'!E64)</f>
        <v>45150</v>
      </c>
      <c r="E68" s="104">
        <f>SUM('Draw #6'!E68:F68)</f>
        <v>0</v>
      </c>
      <c r="F68" s="105">
        <v>0</v>
      </c>
      <c r="G68" s="104">
        <f>SUM('Draw #6'!G68)+F68</f>
        <v>45150</v>
      </c>
      <c r="H68" s="109">
        <f t="shared" si="0"/>
        <v>45150</v>
      </c>
      <c r="I68" s="110">
        <v>0</v>
      </c>
      <c r="J68" s="109">
        <f>SUM(I68+'Draw #6'!J68)</f>
        <v>0</v>
      </c>
      <c r="K68" s="101" t="str">
        <f t="shared" si="1"/>
        <v/>
      </c>
      <c r="L68" s="9"/>
      <c r="M68" s="9"/>
    </row>
    <row r="69" spans="1:13" ht="14.1" customHeight="1">
      <c r="A69" s="4">
        <f>'SCHEDULE OF VALUE WORKSHEET'!A65</f>
        <v>59</v>
      </c>
      <c r="B69" s="142" t="str">
        <f>'SCHEDULE OF VALUE WORKSHEET'!B65</f>
        <v>FLOORING - Units with baseboards</v>
      </c>
      <c r="C69" s="143"/>
      <c r="D69" s="104">
        <f>SUM('SCHEDULE OF VALUE WORKSHEET'!E65)</f>
        <v>93335</v>
      </c>
      <c r="E69" s="104">
        <f>SUM('Draw #6'!E69:F69)</f>
        <v>0</v>
      </c>
      <c r="F69" s="105">
        <v>0</v>
      </c>
      <c r="G69" s="104">
        <f>SUM('Draw #6'!G69)+F69</f>
        <v>93335</v>
      </c>
      <c r="H69" s="109">
        <f t="shared" si="0"/>
        <v>93335</v>
      </c>
      <c r="I69" s="110">
        <v>0</v>
      </c>
      <c r="J69" s="109">
        <f>SUM(I69+'Draw #6'!J69)</f>
        <v>0</v>
      </c>
      <c r="K69" s="101" t="str">
        <f t="shared" si="1"/>
        <v/>
      </c>
      <c r="L69" s="9"/>
      <c r="M69" s="9"/>
    </row>
    <row r="70" spans="1:13" ht="14.1" customHeight="1">
      <c r="A70" s="4">
        <f>'SCHEDULE OF VALUE WORKSHEET'!A66</f>
        <v>60</v>
      </c>
      <c r="B70" s="142" t="str">
        <f>'SCHEDULE OF VALUE WORKSHEET'!B66</f>
        <v>SPECIALTIES</v>
      </c>
      <c r="C70" s="143"/>
      <c r="D70" s="104">
        <f>SUM('SCHEDULE OF VALUE WORKSHEET'!E66)</f>
        <v>25109.21</v>
      </c>
      <c r="E70" s="104">
        <f>SUM('Draw #6'!E70:F70)</f>
        <v>0</v>
      </c>
      <c r="F70" s="105">
        <v>0</v>
      </c>
      <c r="G70" s="104">
        <f>SUM('Draw #6'!G70)+F70</f>
        <v>25109.21</v>
      </c>
      <c r="H70" s="109">
        <f t="shared" si="0"/>
        <v>25109.21</v>
      </c>
      <c r="I70" s="110">
        <v>0</v>
      </c>
      <c r="J70" s="109">
        <f>SUM(I70+'Draw #6'!J70)</f>
        <v>0</v>
      </c>
      <c r="K70" s="101" t="str">
        <f t="shared" si="1"/>
        <v/>
      </c>
      <c r="L70" s="9"/>
      <c r="M70" s="9"/>
    </row>
    <row r="71" spans="1:13" ht="14.1" customHeight="1">
      <c r="A71" s="4">
        <f>'SCHEDULE OF VALUE WORKSHEET'!A67</f>
        <v>61</v>
      </c>
      <c r="B71" s="142" t="str">
        <f>'SCHEDULE OF VALUE WORKSHEET'!B67</f>
        <v>EQUIPMENT</v>
      </c>
      <c r="C71" s="143"/>
      <c r="D71" s="104">
        <f>SUM('SCHEDULE OF VALUE WORKSHEET'!E67)</f>
        <v>153636</v>
      </c>
      <c r="E71" s="104">
        <f>SUM('Draw #6'!E71:F71)</f>
        <v>0</v>
      </c>
      <c r="F71" s="105">
        <v>0</v>
      </c>
      <c r="G71" s="104">
        <f>SUM('Draw #6'!G71)+F71</f>
        <v>153636</v>
      </c>
      <c r="H71" s="109">
        <f t="shared" si="0"/>
        <v>153636</v>
      </c>
      <c r="I71" s="110">
        <v>0</v>
      </c>
      <c r="J71" s="109">
        <f>SUM(I71+'Draw #6'!J71)</f>
        <v>0</v>
      </c>
      <c r="K71" s="101" t="str">
        <f t="shared" si="1"/>
        <v/>
      </c>
      <c r="L71" s="9"/>
      <c r="M71" s="9"/>
    </row>
    <row r="72" spans="1:13" ht="14.1" customHeight="1">
      <c r="A72" s="4">
        <f>'SCHEDULE OF VALUE WORKSHEET'!A68</f>
        <v>62</v>
      </c>
      <c r="B72" s="142" t="str">
        <f>'SCHEDULE OF VALUE WORKSHEET'!B68</f>
        <v>FURNISHING</v>
      </c>
      <c r="C72" s="143"/>
      <c r="D72" s="104">
        <f>SUM('SCHEDULE OF VALUE WORKSHEET'!E68)</f>
        <v>0</v>
      </c>
      <c r="E72" s="104">
        <f>SUM('Draw #6'!E72:F72)</f>
        <v>0</v>
      </c>
      <c r="F72" s="105">
        <v>0</v>
      </c>
      <c r="G72" s="104">
        <f>SUM('Draw #6'!G72)+F72</f>
        <v>0</v>
      </c>
      <c r="H72" s="109">
        <f t="shared" si="0"/>
        <v>0</v>
      </c>
      <c r="I72" s="110">
        <v>0</v>
      </c>
      <c r="J72" s="109">
        <f>SUM(I72+'Draw #6'!J72)</f>
        <v>0</v>
      </c>
      <c r="K72" s="101" t="str">
        <f t="shared" si="1"/>
        <v/>
      </c>
      <c r="L72" s="9"/>
      <c r="M72" s="9"/>
    </row>
    <row r="73" spans="1:13" ht="14.1" customHeight="1">
      <c r="A73" s="4">
        <f>'SCHEDULE OF VALUE WORKSHEET'!A69</f>
        <v>63</v>
      </c>
      <c r="B73" s="142" t="str">
        <f>'SCHEDULE OF VALUE WORKSHEET'!B69</f>
        <v>FIRE SPRINKLERS</v>
      </c>
      <c r="C73" s="143"/>
      <c r="D73" s="104">
        <f>SUM('SCHEDULE OF VALUE WORKSHEET'!E69)</f>
        <v>108500</v>
      </c>
      <c r="E73" s="104">
        <f>SUM('Draw #6'!E73:F73)</f>
        <v>0</v>
      </c>
      <c r="F73" s="105">
        <v>0</v>
      </c>
      <c r="G73" s="104">
        <f>SUM('Draw #6'!G73)+F73</f>
        <v>108500</v>
      </c>
      <c r="H73" s="109">
        <f t="shared" si="0"/>
        <v>108500</v>
      </c>
      <c r="I73" s="110">
        <v>0</v>
      </c>
      <c r="J73" s="109">
        <f>SUM(I73+'Draw #6'!J73)</f>
        <v>0</v>
      </c>
      <c r="K73" s="101" t="str">
        <f t="shared" si="1"/>
        <v/>
      </c>
      <c r="L73" s="9"/>
      <c r="M73" s="9"/>
    </row>
    <row r="74" spans="1:13" ht="14.1" customHeight="1">
      <c r="A74" s="4">
        <f>'SCHEDULE OF VALUE WORKSHEET'!A70</f>
        <v>64</v>
      </c>
      <c r="B74" s="142" t="str">
        <f>'SCHEDULE OF VALUE WORKSHEET'!B70</f>
        <v>FIRE ALARM</v>
      </c>
      <c r="C74" s="143"/>
      <c r="D74" s="104">
        <f>SUM('SCHEDULE OF VALUE WORKSHEET'!E70)</f>
        <v>68401</v>
      </c>
      <c r="E74" s="104">
        <f>SUM('Draw #6'!E74:F74)</f>
        <v>0</v>
      </c>
      <c r="F74" s="105">
        <v>0</v>
      </c>
      <c r="G74" s="104">
        <f>SUM('Draw #6'!G74)+F74</f>
        <v>68401</v>
      </c>
      <c r="H74" s="109">
        <f t="shared" si="0"/>
        <v>68401</v>
      </c>
      <c r="I74" s="110">
        <v>0</v>
      </c>
      <c r="J74" s="109">
        <f>SUM(I74+'Draw #6'!J74)</f>
        <v>0</v>
      </c>
      <c r="K74" s="101" t="str">
        <f t="shared" si="1"/>
        <v/>
      </c>
      <c r="L74" s="9"/>
      <c r="M74" s="9"/>
    </row>
    <row r="75" spans="1:13" ht="14.1" customHeight="1">
      <c r="A75" s="4">
        <f>'SCHEDULE OF VALUE WORKSHEET'!A71</f>
        <v>65</v>
      </c>
      <c r="B75" s="142" t="str">
        <f>'SCHEDULE OF VALUE WORKSHEET'!B71</f>
        <v>SOLAR PANELS</v>
      </c>
      <c r="C75" s="143"/>
      <c r="D75" s="104">
        <f>SUM('SCHEDULE OF VALUE WORKSHEET'!E71)</f>
        <v>97000</v>
      </c>
      <c r="E75" s="104">
        <f>SUM('Draw #6'!E75:F75)</f>
        <v>0</v>
      </c>
      <c r="F75" s="105">
        <v>0</v>
      </c>
      <c r="G75" s="104">
        <f>SUM('Draw #6'!G75)+F75</f>
        <v>97000</v>
      </c>
      <c r="H75" s="109">
        <f t="shared" ref="H75:H135" si="2">SUM(G75-J75)</f>
        <v>97000</v>
      </c>
      <c r="I75" s="110">
        <v>0</v>
      </c>
      <c r="J75" s="109">
        <f>SUM(I75+'Draw #6'!J75)</f>
        <v>0</v>
      </c>
      <c r="K75" s="101" t="str">
        <f t="shared" ref="K75:K135" si="3">IF(J75=0,"",J75/G75)</f>
        <v/>
      </c>
      <c r="L75" s="9"/>
      <c r="M75" s="9"/>
    </row>
    <row r="76" spans="1:13" ht="14.1" customHeight="1">
      <c r="A76" s="4">
        <f>'SCHEDULE OF VALUE WORKSHEET'!A72</f>
        <v>66</v>
      </c>
      <c r="B76" s="142" t="str">
        <f>'SCHEDULE OF VALUE WORKSHEET'!B72</f>
        <v>SECURITY ACCESS &amp; SURVEILLANCE</v>
      </c>
      <c r="C76" s="143"/>
      <c r="D76" s="104">
        <f>SUM('SCHEDULE OF VALUE WORKSHEET'!E72)</f>
        <v>136430</v>
      </c>
      <c r="E76" s="104">
        <f>SUM('Draw #6'!E76:F76)</f>
        <v>0</v>
      </c>
      <c r="F76" s="105">
        <v>0</v>
      </c>
      <c r="G76" s="104">
        <f>SUM('Draw #6'!G76)+F76</f>
        <v>136430</v>
      </c>
      <c r="H76" s="109">
        <f t="shared" si="2"/>
        <v>136430</v>
      </c>
      <c r="I76" s="110">
        <v>0</v>
      </c>
      <c r="J76" s="109">
        <f>SUM(I76+'Draw #6'!J76)</f>
        <v>0</v>
      </c>
      <c r="K76" s="101" t="str">
        <f t="shared" si="3"/>
        <v/>
      </c>
      <c r="L76" s="9"/>
      <c r="M76" s="9"/>
    </row>
    <row r="77" spans="1:13" ht="14.1" customHeight="1">
      <c r="A77" s="4">
        <f>'SCHEDULE OF VALUE WORKSHEET'!A73</f>
        <v>67</v>
      </c>
      <c r="B77" s="142" t="str">
        <f>'SCHEDULE OF VALUE WORKSHEET'!B73</f>
        <v>ELEVATORS &amp; LIFT</v>
      </c>
      <c r="C77" s="143"/>
      <c r="D77" s="104">
        <f>SUM('SCHEDULE OF VALUE WORKSHEET'!E73)</f>
        <v>174882</v>
      </c>
      <c r="E77" s="104">
        <f>SUM('Draw #6'!E77:F77)</f>
        <v>0</v>
      </c>
      <c r="F77" s="105">
        <v>0</v>
      </c>
      <c r="G77" s="104">
        <f>SUM('Draw #6'!G77)+F77</f>
        <v>174882</v>
      </c>
      <c r="H77" s="109">
        <f t="shared" si="2"/>
        <v>174882</v>
      </c>
      <c r="I77" s="110">
        <v>0</v>
      </c>
      <c r="J77" s="109">
        <f>SUM(I77+'Draw #6'!J77)</f>
        <v>0</v>
      </c>
      <c r="K77" s="101" t="str">
        <f t="shared" si="3"/>
        <v/>
      </c>
      <c r="L77" s="9"/>
      <c r="M77" s="9"/>
    </row>
    <row r="78" spans="1:13" ht="14.1" customHeight="1">
      <c r="A78" s="4">
        <f>'SCHEDULE OF VALUE WORKSHEET'!A74</f>
        <v>68</v>
      </c>
      <c r="B78" s="142" t="str">
        <f>'SCHEDULE OF VALUE WORKSHEET'!B74</f>
        <v>WATER SUBMETER (material)</v>
      </c>
      <c r="C78" s="143"/>
      <c r="D78" s="104">
        <f>SUM('SCHEDULE OF VALUE WORKSHEET'!E74)</f>
        <v>12273</v>
      </c>
      <c r="E78" s="104">
        <f>SUM('Draw #6'!E78:F78)</f>
        <v>0</v>
      </c>
      <c r="F78" s="105">
        <v>0</v>
      </c>
      <c r="G78" s="104">
        <f>SUM('Draw #6'!G78)+F78</f>
        <v>12273</v>
      </c>
      <c r="H78" s="109">
        <f t="shared" si="2"/>
        <v>12273</v>
      </c>
      <c r="I78" s="110">
        <v>0</v>
      </c>
      <c r="J78" s="109">
        <f>SUM(I78+'Draw #6'!J78)</f>
        <v>0</v>
      </c>
      <c r="K78" s="101" t="str">
        <f t="shared" si="3"/>
        <v/>
      </c>
      <c r="L78" s="9"/>
      <c r="M78" s="9"/>
    </row>
    <row r="79" spans="1:13" ht="14.1" customHeight="1">
      <c r="A79" s="4">
        <f>'SCHEDULE OF VALUE WORKSHEET'!A75</f>
        <v>69</v>
      </c>
      <c r="B79" s="142" t="str">
        <f>'SCHEDULE OF VALUE WORKSHEET'!B75</f>
        <v>WATER SUBMETER (labor)</v>
      </c>
      <c r="C79" s="143"/>
      <c r="D79" s="104">
        <f>SUM('SCHEDULE OF VALUE WORKSHEET'!E75)</f>
        <v>0</v>
      </c>
      <c r="E79" s="104">
        <f>SUM('Draw #6'!E79:F79)</f>
        <v>0</v>
      </c>
      <c r="F79" s="105">
        <v>0</v>
      </c>
      <c r="G79" s="104">
        <f>SUM('Draw #6'!G79)+F79</f>
        <v>0</v>
      </c>
      <c r="H79" s="109">
        <f t="shared" si="2"/>
        <v>0</v>
      </c>
      <c r="I79" s="110">
        <v>0</v>
      </c>
      <c r="J79" s="109">
        <f>SUM(I79+'Draw #6'!J79)</f>
        <v>0</v>
      </c>
      <c r="K79" s="101" t="str">
        <f t="shared" si="3"/>
        <v/>
      </c>
      <c r="L79" s="9"/>
      <c r="M79" s="9"/>
    </row>
    <row r="80" spans="1:13" ht="14.1" customHeight="1">
      <c r="A80" s="4">
        <f>'SCHEDULE OF VALUE WORKSHEET'!A76</f>
        <v>70</v>
      </c>
      <c r="B80" s="142" t="str">
        <f>'SCHEDULE OF VALUE WORKSHEET'!B76</f>
        <v>ROUGH PLUMBING</v>
      </c>
      <c r="C80" s="143"/>
      <c r="D80" s="104">
        <f>SUM('SCHEDULE OF VALUE WORKSHEET'!E76)</f>
        <v>751927</v>
      </c>
      <c r="E80" s="104">
        <f>SUM('Draw #6'!E80:F80)</f>
        <v>0</v>
      </c>
      <c r="F80" s="105">
        <v>0</v>
      </c>
      <c r="G80" s="104">
        <f>SUM('Draw #6'!G80)+F80</f>
        <v>751927</v>
      </c>
      <c r="H80" s="109">
        <f t="shared" si="2"/>
        <v>751927</v>
      </c>
      <c r="I80" s="110">
        <v>0</v>
      </c>
      <c r="J80" s="109">
        <f>SUM(I80+'Draw #6'!J80)</f>
        <v>0</v>
      </c>
      <c r="K80" s="101" t="str">
        <f t="shared" si="3"/>
        <v/>
      </c>
      <c r="L80" s="9"/>
      <c r="M80" s="9"/>
    </row>
    <row r="81" spans="1:13" ht="14.1" customHeight="1">
      <c r="A81" s="4">
        <f>'SCHEDULE OF VALUE WORKSHEET'!A77</f>
        <v>71</v>
      </c>
      <c r="B81" s="142" t="str">
        <f>'SCHEDULE OF VALUE WORKSHEET'!B77</f>
        <v>FINISH PLUMBING</v>
      </c>
      <c r="C81" s="143"/>
      <c r="D81" s="104">
        <f>SUM('SCHEDULE OF VALUE WORKSHEET'!E77)</f>
        <v>90000</v>
      </c>
      <c r="E81" s="104">
        <f>SUM('Draw #6'!E81:F81)</f>
        <v>0</v>
      </c>
      <c r="F81" s="105">
        <v>0</v>
      </c>
      <c r="G81" s="104">
        <f>SUM('Draw #6'!G81)+F81</f>
        <v>90000</v>
      </c>
      <c r="H81" s="109">
        <f t="shared" si="2"/>
        <v>90000</v>
      </c>
      <c r="I81" s="110">
        <v>0</v>
      </c>
      <c r="J81" s="109">
        <f>SUM(I81+'Draw #6'!J81)</f>
        <v>0</v>
      </c>
      <c r="K81" s="101" t="str">
        <f t="shared" si="3"/>
        <v/>
      </c>
      <c r="L81" s="9"/>
      <c r="M81" s="9"/>
    </row>
    <row r="82" spans="1:13" ht="14.1" customHeight="1">
      <c r="A82" s="4">
        <f>'SCHEDULE OF VALUE WORKSHEET'!A78</f>
        <v>72</v>
      </c>
      <c r="B82" s="142" t="str">
        <f>'SCHEDULE OF VALUE WORKSHEET'!B78</f>
        <v>HVAC</v>
      </c>
      <c r="C82" s="143"/>
      <c r="D82" s="104">
        <f>SUM('SCHEDULE OF VALUE WORKSHEET'!E78)</f>
        <v>259000</v>
      </c>
      <c r="E82" s="104">
        <f>SUM('Draw #6'!E82:F82)</f>
        <v>0</v>
      </c>
      <c r="F82" s="105">
        <v>0</v>
      </c>
      <c r="G82" s="104">
        <f>SUM('Draw #6'!G82)+F82</f>
        <v>259000</v>
      </c>
      <c r="H82" s="109">
        <f t="shared" si="2"/>
        <v>259000</v>
      </c>
      <c r="I82" s="110">
        <v>0</v>
      </c>
      <c r="J82" s="109">
        <f>SUM(I82+'Draw #6'!J82)</f>
        <v>0</v>
      </c>
      <c r="K82" s="101" t="str">
        <f t="shared" si="3"/>
        <v/>
      </c>
      <c r="L82" s="9"/>
      <c r="M82" s="9"/>
    </row>
    <row r="83" spans="1:13" ht="14.1" customHeight="1">
      <c r="A83" s="4">
        <f>'SCHEDULE OF VALUE WORKSHEET'!A79</f>
        <v>73</v>
      </c>
      <c r="B83" s="142" t="str">
        <f>'SCHEDULE OF VALUE WORKSHEET'!B79</f>
        <v>ELECTRICAL</v>
      </c>
      <c r="C83" s="143"/>
      <c r="D83" s="104">
        <f>SUM('SCHEDULE OF VALUE WORKSHEET'!E79)</f>
        <v>880486.32</v>
      </c>
      <c r="E83" s="104">
        <f>SUM('Draw #6'!E83:F83)</f>
        <v>0</v>
      </c>
      <c r="F83" s="105">
        <v>0</v>
      </c>
      <c r="G83" s="104">
        <f>SUM('Draw #6'!G83)+F83</f>
        <v>880486.32</v>
      </c>
      <c r="H83" s="109">
        <f t="shared" si="2"/>
        <v>880486.32</v>
      </c>
      <c r="I83" s="110">
        <v>0</v>
      </c>
      <c r="J83" s="109">
        <f>SUM(I83+'Draw #6'!J83)</f>
        <v>0</v>
      </c>
      <c r="K83" s="101" t="str">
        <f t="shared" si="3"/>
        <v/>
      </c>
      <c r="L83" s="9"/>
      <c r="M83" s="9"/>
    </row>
    <row r="84" spans="1:13" ht="14.1" customHeight="1">
      <c r="A84" s="4">
        <f>'SCHEDULE OF VALUE WORKSHEET'!A80</f>
        <v>74</v>
      </c>
      <c r="B84" s="142" t="str">
        <f>'SCHEDULE OF VALUE WORKSHEET'!B80</f>
        <v xml:space="preserve">CONTINGENCY </v>
      </c>
      <c r="C84" s="143"/>
      <c r="D84" s="104">
        <f>SUM('SCHEDULE OF VALUE WORKSHEET'!E80)</f>
        <v>529215.20000000007</v>
      </c>
      <c r="E84" s="104">
        <f>SUM('Draw #6'!E84:F84)</f>
        <v>0</v>
      </c>
      <c r="F84" s="105">
        <v>0</v>
      </c>
      <c r="G84" s="104">
        <f>SUM('Draw #6'!G84)+F84</f>
        <v>529215.20000000007</v>
      </c>
      <c r="H84" s="109">
        <f t="shared" si="2"/>
        <v>529215.20000000007</v>
      </c>
      <c r="I84" s="110">
        <v>0</v>
      </c>
      <c r="J84" s="109">
        <f>SUM(I84+'Draw #6'!J84)</f>
        <v>0</v>
      </c>
      <c r="K84" s="101" t="str">
        <f t="shared" si="3"/>
        <v/>
      </c>
      <c r="L84" s="9"/>
      <c r="M84" s="9"/>
    </row>
    <row r="85" spans="1:13" ht="14.1" customHeight="1">
      <c r="A85" s="4">
        <f>'SCHEDULE OF VALUE WORKSHEET'!A81</f>
        <v>75</v>
      </c>
      <c r="B85" s="142" t="str">
        <f>'SCHEDULE OF VALUE WORKSHEET'!B81</f>
        <v>INSURANCE (GL w/auto, workers compl)</v>
      </c>
      <c r="C85" s="143"/>
      <c r="D85" s="104">
        <f>SUM('SCHEDULE OF VALUE WORKSHEET'!E81)</f>
        <v>97177.07</v>
      </c>
      <c r="E85" s="104">
        <f>SUM('Draw #6'!E85:F85)</f>
        <v>0</v>
      </c>
      <c r="F85" s="105">
        <v>0</v>
      </c>
      <c r="G85" s="104">
        <f>SUM('Draw #6'!G85)+F85</f>
        <v>97177.07</v>
      </c>
      <c r="H85" s="109">
        <f t="shared" si="2"/>
        <v>97177.07</v>
      </c>
      <c r="I85" s="110">
        <v>0</v>
      </c>
      <c r="J85" s="109">
        <f>SUM(I85+'Draw #6'!J85)</f>
        <v>0</v>
      </c>
      <c r="K85" s="101" t="str">
        <f t="shared" si="3"/>
        <v/>
      </c>
      <c r="L85" s="9"/>
      <c r="M85" s="9"/>
    </row>
    <row r="86" spans="1:13" ht="14.1" customHeight="1">
      <c r="A86" s="4">
        <f>'SCHEDULE OF VALUE WORKSHEET'!A82</f>
        <v>76</v>
      </c>
      <c r="B86" s="142" t="str">
        <f>'SCHEDULE OF VALUE WORKSHEET'!B82</f>
        <v>GROSS RECEIPT TAX</v>
      </c>
      <c r="C86" s="143"/>
      <c r="D86" s="104">
        <f>SUM('SCHEDULE OF VALUE WORKSHEET'!E82)</f>
        <v>6543.26</v>
      </c>
      <c r="E86" s="104">
        <f>SUM('Draw #6'!E86:F86)</f>
        <v>0</v>
      </c>
      <c r="F86" s="105">
        <v>0</v>
      </c>
      <c r="G86" s="104">
        <f>SUM('Draw #6'!G86)+F86</f>
        <v>6543.26</v>
      </c>
      <c r="H86" s="109">
        <f t="shared" si="2"/>
        <v>6543.26</v>
      </c>
      <c r="I86" s="110">
        <v>0</v>
      </c>
      <c r="J86" s="109">
        <f>SUM(I86+'Draw #6'!J86)</f>
        <v>0</v>
      </c>
      <c r="K86" s="101" t="str">
        <f t="shared" si="3"/>
        <v/>
      </c>
      <c r="L86" s="9"/>
      <c r="M86" s="9"/>
    </row>
    <row r="87" spans="1:13" ht="14.1" customHeight="1">
      <c r="A87" s="4">
        <f>'SCHEDULE OF VALUE WORKSHEET'!A83</f>
        <v>77</v>
      </c>
      <c r="B87" s="142" t="str">
        <f>'SCHEDULE OF VALUE WORKSHEET'!B83</f>
        <v>GC FEE</v>
      </c>
      <c r="C87" s="143"/>
      <c r="D87" s="104">
        <f>SUM('SCHEDULE OF VALUE WORKSHEET'!E83)</f>
        <v>388708.28</v>
      </c>
      <c r="E87" s="104">
        <f>SUM('Draw #6'!E87:F87)</f>
        <v>0</v>
      </c>
      <c r="F87" s="105">
        <v>0</v>
      </c>
      <c r="G87" s="104">
        <f>SUM('Draw #6'!G87)+F87</f>
        <v>388708.28</v>
      </c>
      <c r="H87" s="109">
        <f t="shared" si="2"/>
        <v>388708.28</v>
      </c>
      <c r="I87" s="110">
        <v>0</v>
      </c>
      <c r="J87" s="109">
        <f>SUM(I87+'Draw #6'!J87)</f>
        <v>0</v>
      </c>
      <c r="K87" s="101" t="str">
        <f t="shared" si="3"/>
        <v/>
      </c>
      <c r="L87" s="9"/>
      <c r="M87" s="9"/>
    </row>
    <row r="88" spans="1:13" ht="14.1" customHeight="1">
      <c r="A88" s="4">
        <f>'SCHEDULE OF VALUE WORKSHEET'!A84</f>
        <v>78</v>
      </c>
      <c r="B88" s="142" t="str">
        <f>'SCHEDULE OF VALUE WORKSHEET'!B84</f>
        <v>DEVELOPMENT FEE</v>
      </c>
      <c r="C88" s="143"/>
      <c r="D88" s="104">
        <f>SUM('SCHEDULE OF VALUE WORKSHEET'!E84)</f>
        <v>180523.5</v>
      </c>
      <c r="E88" s="104">
        <f>SUM('Draw #6'!E88:F88)</f>
        <v>0</v>
      </c>
      <c r="F88" s="105">
        <v>0</v>
      </c>
      <c r="G88" s="104">
        <f>SUM('Draw #6'!G88)+F88</f>
        <v>180523.5</v>
      </c>
      <c r="H88" s="109">
        <f t="shared" si="2"/>
        <v>180523.5</v>
      </c>
      <c r="I88" s="110">
        <v>0</v>
      </c>
      <c r="J88" s="109">
        <f>SUM(I88+'Draw #6'!J88)</f>
        <v>0</v>
      </c>
      <c r="K88" s="101" t="str">
        <f t="shared" si="3"/>
        <v/>
      </c>
      <c r="L88" s="9"/>
      <c r="M88" s="9"/>
    </row>
    <row r="89" spans="1:13" ht="14.1" customHeight="1">
      <c r="A89" s="4">
        <f>'SCHEDULE OF VALUE WORKSHEET'!A85</f>
        <v>79</v>
      </c>
      <c r="B89" s="142" t="str">
        <f>'SCHEDULE OF VALUE WORKSHEET'!B85</f>
        <v>CARRYING COSTS</v>
      </c>
      <c r="C89" s="143"/>
      <c r="D89" s="104">
        <f>SUM('SCHEDULE OF VALUE WORKSHEET'!E85)</f>
        <v>92885.53</v>
      </c>
      <c r="E89" s="104">
        <f>SUM('Draw #6'!E89:F89)</f>
        <v>0</v>
      </c>
      <c r="F89" s="105">
        <v>0</v>
      </c>
      <c r="G89" s="104">
        <f>SUM('Draw #6'!G89)+F89</f>
        <v>92885.53</v>
      </c>
      <c r="H89" s="109">
        <f t="shared" si="2"/>
        <v>92885.53</v>
      </c>
      <c r="I89" s="110">
        <v>0</v>
      </c>
      <c r="J89" s="109">
        <f>SUM(I89+'Draw #6'!J89)</f>
        <v>0</v>
      </c>
      <c r="K89" s="101" t="str">
        <f t="shared" si="3"/>
        <v/>
      </c>
      <c r="L89" s="9"/>
      <c r="M89" s="9"/>
    </row>
    <row r="90" spans="1:13" ht="14.1" customHeight="1">
      <c r="A90" s="4">
        <f>'SCHEDULE OF VALUE WORKSHEET'!A86</f>
        <v>80</v>
      </c>
      <c r="B90" s="142" t="str">
        <f>'SCHEDULE OF VALUE WORKSHEET'!B86</f>
        <v>FINANCING COSTS</v>
      </c>
      <c r="C90" s="143"/>
      <c r="D90" s="104">
        <f>SUM('SCHEDULE OF VALUE WORKSHEET'!E86)</f>
        <v>0</v>
      </c>
      <c r="E90" s="104">
        <f>SUM('Draw #6'!E90:F90)</f>
        <v>0</v>
      </c>
      <c r="F90" s="105">
        <v>0</v>
      </c>
      <c r="G90" s="104">
        <f>SUM('Draw #6'!G90)+F90</f>
        <v>0</v>
      </c>
      <c r="H90" s="109">
        <f t="shared" si="2"/>
        <v>0</v>
      </c>
      <c r="I90" s="110">
        <v>0</v>
      </c>
      <c r="J90" s="109">
        <f>SUM(I90+'Draw #6'!J90)</f>
        <v>0</v>
      </c>
      <c r="K90" s="101" t="str">
        <f t="shared" si="3"/>
        <v/>
      </c>
      <c r="L90" s="9"/>
      <c r="M90" s="9"/>
    </row>
    <row r="91" spans="1:13" ht="14.1" customHeight="1">
      <c r="A91" s="4" t="e">
        <f>'SCHEDULE OF VALUE WORKSHEET'!#REF!</f>
        <v>#REF!</v>
      </c>
      <c r="B91" s="142" t="e">
        <f>'SCHEDULE OF VALUE WORKSHEET'!#REF!</f>
        <v>#REF!</v>
      </c>
      <c r="C91" s="143"/>
      <c r="D91" s="104" t="e">
        <f>SUM('SCHEDULE OF VALUE WORKSHEET'!#REF!)</f>
        <v>#REF!</v>
      </c>
      <c r="E91" s="104">
        <f>SUM('Draw #6'!E91:F91)</f>
        <v>0</v>
      </c>
      <c r="F91" s="105">
        <v>0</v>
      </c>
      <c r="G91" s="104" t="e">
        <f>SUM('Draw #6'!G91)+F91</f>
        <v>#REF!</v>
      </c>
      <c r="H91" s="109" t="e">
        <f t="shared" si="2"/>
        <v>#REF!</v>
      </c>
      <c r="I91" s="110">
        <v>0</v>
      </c>
      <c r="J91" s="109">
        <f>SUM(I91+'Draw #6'!J91)</f>
        <v>0</v>
      </c>
      <c r="K91" s="101" t="str">
        <f t="shared" si="3"/>
        <v/>
      </c>
      <c r="L91" s="9"/>
      <c r="M91" s="9"/>
    </row>
    <row r="92" spans="1:13" ht="14.1" customHeight="1">
      <c r="A92" s="4" t="e">
        <f>'SCHEDULE OF VALUE WORKSHEET'!#REF!</f>
        <v>#REF!</v>
      </c>
      <c r="B92" s="142" t="e">
        <f>'SCHEDULE OF VALUE WORKSHEET'!#REF!</f>
        <v>#REF!</v>
      </c>
      <c r="C92" s="143"/>
      <c r="D92" s="104" t="e">
        <f>SUM('SCHEDULE OF VALUE WORKSHEET'!#REF!)</f>
        <v>#REF!</v>
      </c>
      <c r="E92" s="104">
        <f>SUM('Draw #6'!E92:F92)</f>
        <v>0</v>
      </c>
      <c r="F92" s="105">
        <v>0</v>
      </c>
      <c r="G92" s="104" t="e">
        <f>SUM('Draw #6'!G92)+F92</f>
        <v>#REF!</v>
      </c>
      <c r="H92" s="109" t="e">
        <f t="shared" si="2"/>
        <v>#REF!</v>
      </c>
      <c r="I92" s="110">
        <v>0</v>
      </c>
      <c r="J92" s="109">
        <f>SUM(I92+'Draw #6'!J92)</f>
        <v>0</v>
      </c>
      <c r="K92" s="101" t="str">
        <f t="shared" si="3"/>
        <v/>
      </c>
      <c r="L92" s="9"/>
      <c r="M92" s="9"/>
    </row>
    <row r="93" spans="1:13" ht="14.1" customHeight="1">
      <c r="A93" s="4" t="e">
        <f>'SCHEDULE OF VALUE WORKSHEET'!#REF!</f>
        <v>#REF!</v>
      </c>
      <c r="B93" s="142" t="e">
        <f>'SCHEDULE OF VALUE WORKSHEET'!#REF!</f>
        <v>#REF!</v>
      </c>
      <c r="C93" s="143"/>
      <c r="D93" s="104" t="e">
        <f>SUM('SCHEDULE OF VALUE WORKSHEET'!#REF!)</f>
        <v>#REF!</v>
      </c>
      <c r="E93" s="104">
        <f>SUM('Draw #6'!E93:F93)</f>
        <v>0</v>
      </c>
      <c r="F93" s="105">
        <v>0</v>
      </c>
      <c r="G93" s="104" t="e">
        <f>SUM('Draw #6'!G93)+F93</f>
        <v>#REF!</v>
      </c>
      <c r="H93" s="109" t="e">
        <f t="shared" si="2"/>
        <v>#REF!</v>
      </c>
      <c r="I93" s="110">
        <v>0</v>
      </c>
      <c r="J93" s="109">
        <f>SUM(I93+'Draw #6'!J93)</f>
        <v>0</v>
      </c>
      <c r="K93" s="101" t="str">
        <f t="shared" si="3"/>
        <v/>
      </c>
      <c r="L93" s="9"/>
      <c r="M93" s="9"/>
    </row>
    <row r="94" spans="1:13" ht="14.1" customHeight="1">
      <c r="A94" s="4" t="e">
        <f>'SCHEDULE OF VALUE WORKSHEET'!#REF!</f>
        <v>#REF!</v>
      </c>
      <c r="B94" s="142" t="e">
        <f>'SCHEDULE OF VALUE WORKSHEET'!#REF!</f>
        <v>#REF!</v>
      </c>
      <c r="C94" s="143"/>
      <c r="D94" s="104" t="e">
        <f>SUM('SCHEDULE OF VALUE WORKSHEET'!#REF!)</f>
        <v>#REF!</v>
      </c>
      <c r="E94" s="104">
        <f>SUM('Draw #6'!E94:F94)</f>
        <v>0</v>
      </c>
      <c r="F94" s="105">
        <v>0</v>
      </c>
      <c r="G94" s="104" t="e">
        <f>SUM('Draw #6'!G94)+F94</f>
        <v>#REF!</v>
      </c>
      <c r="H94" s="109" t="e">
        <f t="shared" si="2"/>
        <v>#REF!</v>
      </c>
      <c r="I94" s="110">
        <v>0</v>
      </c>
      <c r="J94" s="109">
        <f>SUM(I94+'Draw #6'!J94)</f>
        <v>0</v>
      </c>
      <c r="K94" s="101" t="str">
        <f t="shared" si="3"/>
        <v/>
      </c>
      <c r="L94" s="9"/>
      <c r="M94" s="9"/>
    </row>
    <row r="95" spans="1:13" ht="14.1" customHeight="1">
      <c r="A95" s="4" t="e">
        <f>'SCHEDULE OF VALUE WORKSHEET'!#REF!</f>
        <v>#REF!</v>
      </c>
      <c r="B95" s="142" t="e">
        <f>'SCHEDULE OF VALUE WORKSHEET'!#REF!</f>
        <v>#REF!</v>
      </c>
      <c r="C95" s="143"/>
      <c r="D95" s="104" t="e">
        <f>SUM('SCHEDULE OF VALUE WORKSHEET'!#REF!)</f>
        <v>#REF!</v>
      </c>
      <c r="E95" s="104">
        <f>SUM('Draw #6'!E95:F95)</f>
        <v>0</v>
      </c>
      <c r="F95" s="105">
        <v>0</v>
      </c>
      <c r="G95" s="104" t="e">
        <f>SUM('Draw #6'!G95)+F95</f>
        <v>#REF!</v>
      </c>
      <c r="H95" s="109" t="e">
        <f t="shared" si="2"/>
        <v>#REF!</v>
      </c>
      <c r="I95" s="110">
        <v>0</v>
      </c>
      <c r="J95" s="109">
        <f>SUM(I95+'Draw #6'!J95)</f>
        <v>0</v>
      </c>
      <c r="K95" s="101" t="str">
        <f t="shared" si="3"/>
        <v/>
      </c>
      <c r="L95" s="9"/>
      <c r="M95" s="9"/>
    </row>
    <row r="96" spans="1:13" ht="14.1" customHeight="1">
      <c r="A96" s="4" t="e">
        <f>'SCHEDULE OF VALUE WORKSHEET'!#REF!</f>
        <v>#REF!</v>
      </c>
      <c r="B96" s="142" t="e">
        <f>'SCHEDULE OF VALUE WORKSHEET'!#REF!</f>
        <v>#REF!</v>
      </c>
      <c r="C96" s="143"/>
      <c r="D96" s="104" t="e">
        <f>SUM('SCHEDULE OF VALUE WORKSHEET'!#REF!)</f>
        <v>#REF!</v>
      </c>
      <c r="E96" s="104">
        <f>SUM('Draw #6'!E96:F96)</f>
        <v>0</v>
      </c>
      <c r="F96" s="105">
        <v>0</v>
      </c>
      <c r="G96" s="104" t="e">
        <f>SUM('Draw #6'!G96)+F96</f>
        <v>#REF!</v>
      </c>
      <c r="H96" s="109" t="e">
        <f t="shared" si="2"/>
        <v>#REF!</v>
      </c>
      <c r="I96" s="110">
        <v>0</v>
      </c>
      <c r="J96" s="109">
        <f>SUM(I96+'Draw #6'!J96)</f>
        <v>0</v>
      </c>
      <c r="K96" s="101" t="str">
        <f t="shared" si="3"/>
        <v/>
      </c>
      <c r="L96" s="9"/>
      <c r="M96" s="9"/>
    </row>
    <row r="97" spans="1:13" ht="14.1" customHeight="1">
      <c r="A97" s="4" t="e">
        <f>'SCHEDULE OF VALUE WORKSHEET'!#REF!</f>
        <v>#REF!</v>
      </c>
      <c r="B97" s="142" t="e">
        <f>'SCHEDULE OF VALUE WORKSHEET'!#REF!</f>
        <v>#REF!</v>
      </c>
      <c r="C97" s="143"/>
      <c r="D97" s="104" t="e">
        <f>SUM('SCHEDULE OF VALUE WORKSHEET'!#REF!)</f>
        <v>#REF!</v>
      </c>
      <c r="E97" s="104">
        <f>SUM('Draw #6'!E97:F97)</f>
        <v>0</v>
      </c>
      <c r="F97" s="105">
        <v>0</v>
      </c>
      <c r="G97" s="104" t="e">
        <f>SUM('Draw #6'!G97)+F97</f>
        <v>#REF!</v>
      </c>
      <c r="H97" s="109" t="e">
        <f t="shared" si="2"/>
        <v>#REF!</v>
      </c>
      <c r="I97" s="110">
        <v>0</v>
      </c>
      <c r="J97" s="109">
        <f>SUM(I97+'Draw #6'!J97)</f>
        <v>0</v>
      </c>
      <c r="K97" s="101" t="str">
        <f t="shared" si="3"/>
        <v/>
      </c>
      <c r="L97" s="9"/>
      <c r="M97" s="9"/>
    </row>
    <row r="98" spans="1:13" ht="14.1" customHeight="1">
      <c r="A98" s="4" t="e">
        <f>'SCHEDULE OF VALUE WORKSHEET'!#REF!</f>
        <v>#REF!</v>
      </c>
      <c r="B98" s="142" t="e">
        <f>'SCHEDULE OF VALUE WORKSHEET'!#REF!</f>
        <v>#REF!</v>
      </c>
      <c r="C98" s="143"/>
      <c r="D98" s="104" t="e">
        <f>SUM('SCHEDULE OF VALUE WORKSHEET'!#REF!)</f>
        <v>#REF!</v>
      </c>
      <c r="E98" s="104">
        <f>SUM('Draw #6'!E98:F98)</f>
        <v>0</v>
      </c>
      <c r="F98" s="105">
        <v>0</v>
      </c>
      <c r="G98" s="104" t="e">
        <f>SUM('Draw #6'!G98)+F98</f>
        <v>#REF!</v>
      </c>
      <c r="H98" s="109" t="e">
        <f t="shared" si="2"/>
        <v>#REF!</v>
      </c>
      <c r="I98" s="110">
        <v>0</v>
      </c>
      <c r="J98" s="109">
        <f>SUM(I98+'Draw #6'!J98)</f>
        <v>0</v>
      </c>
      <c r="K98" s="101" t="str">
        <f t="shared" si="3"/>
        <v/>
      </c>
      <c r="L98" s="9"/>
      <c r="M98" s="9"/>
    </row>
    <row r="99" spans="1:13" ht="14.1" customHeight="1">
      <c r="A99" s="4" t="e">
        <f>'SCHEDULE OF VALUE WORKSHEET'!#REF!</f>
        <v>#REF!</v>
      </c>
      <c r="B99" s="142" t="e">
        <f>'SCHEDULE OF VALUE WORKSHEET'!#REF!</f>
        <v>#REF!</v>
      </c>
      <c r="C99" s="143"/>
      <c r="D99" s="104" t="e">
        <f>SUM('SCHEDULE OF VALUE WORKSHEET'!#REF!)</f>
        <v>#REF!</v>
      </c>
      <c r="E99" s="104">
        <f>SUM('Draw #6'!E99:F99)</f>
        <v>0</v>
      </c>
      <c r="F99" s="105">
        <v>0</v>
      </c>
      <c r="G99" s="104" t="e">
        <f>SUM('Draw #6'!G99)+F99</f>
        <v>#REF!</v>
      </c>
      <c r="H99" s="109" t="e">
        <f t="shared" si="2"/>
        <v>#REF!</v>
      </c>
      <c r="I99" s="110">
        <v>0</v>
      </c>
      <c r="J99" s="109">
        <f>SUM(I99+'Draw #6'!J99)</f>
        <v>0</v>
      </c>
      <c r="K99" s="101" t="str">
        <f t="shared" si="3"/>
        <v/>
      </c>
      <c r="L99" s="9"/>
      <c r="M99" s="9"/>
    </row>
    <row r="100" spans="1:13" ht="14.1" customHeight="1">
      <c r="A100" s="4" t="e">
        <f>'SCHEDULE OF VALUE WORKSHEET'!#REF!</f>
        <v>#REF!</v>
      </c>
      <c r="B100" s="142" t="e">
        <f>'SCHEDULE OF VALUE WORKSHEET'!#REF!</f>
        <v>#REF!</v>
      </c>
      <c r="C100" s="143"/>
      <c r="D100" s="104" t="e">
        <f>SUM('SCHEDULE OF VALUE WORKSHEET'!#REF!)</f>
        <v>#REF!</v>
      </c>
      <c r="E100" s="104">
        <f>SUM('Draw #6'!E100:F100)</f>
        <v>0</v>
      </c>
      <c r="F100" s="105">
        <v>0</v>
      </c>
      <c r="G100" s="104" t="e">
        <f>SUM('Draw #6'!G100)+F100</f>
        <v>#REF!</v>
      </c>
      <c r="H100" s="109" t="e">
        <f t="shared" si="2"/>
        <v>#REF!</v>
      </c>
      <c r="I100" s="110">
        <v>0</v>
      </c>
      <c r="J100" s="109">
        <f>SUM(I100+'Draw #6'!J100)</f>
        <v>0</v>
      </c>
      <c r="K100" s="101" t="str">
        <f t="shared" si="3"/>
        <v/>
      </c>
      <c r="L100" s="9"/>
      <c r="M100" s="9"/>
    </row>
    <row r="101" spans="1:13" ht="14.1" customHeight="1">
      <c r="A101" s="4" t="e">
        <f>'SCHEDULE OF VALUE WORKSHEET'!#REF!</f>
        <v>#REF!</v>
      </c>
      <c r="B101" s="142" t="e">
        <f>'SCHEDULE OF VALUE WORKSHEET'!#REF!</f>
        <v>#REF!</v>
      </c>
      <c r="C101" s="143"/>
      <c r="D101" s="104" t="e">
        <f>SUM('SCHEDULE OF VALUE WORKSHEET'!#REF!)</f>
        <v>#REF!</v>
      </c>
      <c r="E101" s="104">
        <f>SUM('Draw #6'!E101:F101)</f>
        <v>0</v>
      </c>
      <c r="F101" s="105">
        <v>0</v>
      </c>
      <c r="G101" s="104" t="e">
        <f>SUM('Draw #6'!G101)+F101</f>
        <v>#REF!</v>
      </c>
      <c r="H101" s="109" t="e">
        <f t="shared" si="2"/>
        <v>#REF!</v>
      </c>
      <c r="I101" s="110">
        <v>0</v>
      </c>
      <c r="J101" s="109">
        <f>SUM(I101+'Draw #6'!J101)</f>
        <v>0</v>
      </c>
      <c r="K101" s="101" t="str">
        <f t="shared" si="3"/>
        <v/>
      </c>
      <c r="L101" s="9"/>
      <c r="M101" s="9"/>
    </row>
    <row r="102" spans="1:13" ht="14.1" customHeight="1">
      <c r="A102" s="4" t="e">
        <f>'SCHEDULE OF VALUE WORKSHEET'!#REF!</f>
        <v>#REF!</v>
      </c>
      <c r="B102" s="142" t="e">
        <f>'SCHEDULE OF VALUE WORKSHEET'!#REF!</f>
        <v>#REF!</v>
      </c>
      <c r="C102" s="143"/>
      <c r="D102" s="104" t="e">
        <f>SUM('SCHEDULE OF VALUE WORKSHEET'!#REF!)</f>
        <v>#REF!</v>
      </c>
      <c r="E102" s="104">
        <f>SUM('Draw #6'!E102:F102)</f>
        <v>0</v>
      </c>
      <c r="F102" s="105">
        <v>0</v>
      </c>
      <c r="G102" s="104" t="e">
        <f>SUM('Draw #6'!G102)+F102</f>
        <v>#REF!</v>
      </c>
      <c r="H102" s="109" t="e">
        <f t="shared" si="2"/>
        <v>#REF!</v>
      </c>
      <c r="I102" s="110">
        <v>0</v>
      </c>
      <c r="J102" s="109">
        <f>SUM(I102+'Draw #6'!J102)</f>
        <v>0</v>
      </c>
      <c r="K102" s="101" t="str">
        <f t="shared" si="3"/>
        <v/>
      </c>
      <c r="L102" s="9"/>
      <c r="M102" s="9"/>
    </row>
    <row r="103" spans="1:13" ht="14.1" customHeight="1">
      <c r="A103" s="4" t="e">
        <f>'SCHEDULE OF VALUE WORKSHEET'!#REF!</f>
        <v>#REF!</v>
      </c>
      <c r="B103" s="142" t="e">
        <f>'SCHEDULE OF VALUE WORKSHEET'!#REF!</f>
        <v>#REF!</v>
      </c>
      <c r="C103" s="143"/>
      <c r="D103" s="104" t="e">
        <f>SUM('SCHEDULE OF VALUE WORKSHEET'!#REF!)</f>
        <v>#REF!</v>
      </c>
      <c r="E103" s="104">
        <f>SUM('Draw #6'!E103:F103)</f>
        <v>0</v>
      </c>
      <c r="F103" s="105">
        <v>0</v>
      </c>
      <c r="G103" s="104" t="e">
        <f>SUM('Draw #6'!G103)+F103</f>
        <v>#REF!</v>
      </c>
      <c r="H103" s="109" t="e">
        <f t="shared" si="2"/>
        <v>#REF!</v>
      </c>
      <c r="I103" s="110">
        <v>0</v>
      </c>
      <c r="J103" s="109">
        <f>SUM(I103+'Draw #6'!J103)</f>
        <v>0</v>
      </c>
      <c r="K103" s="101" t="str">
        <f t="shared" si="3"/>
        <v/>
      </c>
      <c r="L103" s="9"/>
      <c r="M103" s="9"/>
    </row>
    <row r="104" spans="1:13" ht="14.1" customHeight="1">
      <c r="A104" s="4" t="e">
        <f>'SCHEDULE OF VALUE WORKSHEET'!#REF!</f>
        <v>#REF!</v>
      </c>
      <c r="B104" s="142" t="e">
        <f>'SCHEDULE OF VALUE WORKSHEET'!#REF!</f>
        <v>#REF!</v>
      </c>
      <c r="C104" s="143"/>
      <c r="D104" s="104" t="e">
        <f>SUM('SCHEDULE OF VALUE WORKSHEET'!#REF!)</f>
        <v>#REF!</v>
      </c>
      <c r="E104" s="104">
        <f>SUM('Draw #6'!E104:F104)</f>
        <v>0</v>
      </c>
      <c r="F104" s="105">
        <v>0</v>
      </c>
      <c r="G104" s="104" t="e">
        <f>SUM('Draw #6'!G104)+F104</f>
        <v>#REF!</v>
      </c>
      <c r="H104" s="109" t="e">
        <f t="shared" si="2"/>
        <v>#REF!</v>
      </c>
      <c r="I104" s="110">
        <v>0</v>
      </c>
      <c r="J104" s="109">
        <f>SUM(I104+'Draw #6'!J104)</f>
        <v>0</v>
      </c>
      <c r="K104" s="101" t="str">
        <f t="shared" si="3"/>
        <v/>
      </c>
      <c r="L104" s="9"/>
      <c r="M104" s="9"/>
    </row>
    <row r="105" spans="1:13" ht="14.1" customHeight="1">
      <c r="A105" s="4" t="e">
        <f>'SCHEDULE OF VALUE WORKSHEET'!#REF!</f>
        <v>#REF!</v>
      </c>
      <c r="B105" s="142" t="e">
        <f>'SCHEDULE OF VALUE WORKSHEET'!#REF!</f>
        <v>#REF!</v>
      </c>
      <c r="C105" s="143"/>
      <c r="D105" s="104" t="e">
        <f>SUM('SCHEDULE OF VALUE WORKSHEET'!#REF!)</f>
        <v>#REF!</v>
      </c>
      <c r="E105" s="104">
        <f>SUM('Draw #6'!E105:F105)</f>
        <v>0</v>
      </c>
      <c r="F105" s="105">
        <v>0</v>
      </c>
      <c r="G105" s="104" t="e">
        <f>SUM('Draw #6'!G105)+F105</f>
        <v>#REF!</v>
      </c>
      <c r="H105" s="109" t="e">
        <f t="shared" si="2"/>
        <v>#REF!</v>
      </c>
      <c r="I105" s="110">
        <v>0</v>
      </c>
      <c r="J105" s="109">
        <f>SUM(I105+'Draw #6'!J105)</f>
        <v>0</v>
      </c>
      <c r="K105" s="101" t="str">
        <f t="shared" si="3"/>
        <v/>
      </c>
      <c r="L105" s="9"/>
      <c r="M105" s="9"/>
    </row>
    <row r="106" spans="1:13" ht="14.1" customHeight="1">
      <c r="A106" s="4" t="e">
        <f>'SCHEDULE OF VALUE WORKSHEET'!#REF!</f>
        <v>#REF!</v>
      </c>
      <c r="B106" s="142" t="e">
        <f>'SCHEDULE OF VALUE WORKSHEET'!#REF!</f>
        <v>#REF!</v>
      </c>
      <c r="C106" s="143"/>
      <c r="D106" s="104" t="e">
        <f>SUM('SCHEDULE OF VALUE WORKSHEET'!#REF!)</f>
        <v>#REF!</v>
      </c>
      <c r="E106" s="104">
        <f>SUM('Draw #6'!E106:F106)</f>
        <v>0</v>
      </c>
      <c r="F106" s="105">
        <v>0</v>
      </c>
      <c r="G106" s="104" t="e">
        <f>SUM('Draw #6'!G106)+F106</f>
        <v>#REF!</v>
      </c>
      <c r="H106" s="109" t="e">
        <f t="shared" si="2"/>
        <v>#REF!</v>
      </c>
      <c r="I106" s="110">
        <v>0</v>
      </c>
      <c r="J106" s="109">
        <f>SUM(I106+'Draw #6'!J106)</f>
        <v>0</v>
      </c>
      <c r="K106" s="101" t="str">
        <f t="shared" si="3"/>
        <v/>
      </c>
      <c r="L106" s="9"/>
      <c r="M106" s="9"/>
    </row>
    <row r="107" spans="1:13" ht="14.1" customHeight="1">
      <c r="A107" s="4" t="e">
        <f>'SCHEDULE OF VALUE WORKSHEET'!#REF!</f>
        <v>#REF!</v>
      </c>
      <c r="B107" s="142" t="e">
        <f>'SCHEDULE OF VALUE WORKSHEET'!#REF!</f>
        <v>#REF!</v>
      </c>
      <c r="C107" s="143"/>
      <c r="D107" s="104" t="e">
        <f>SUM('SCHEDULE OF VALUE WORKSHEET'!#REF!)</f>
        <v>#REF!</v>
      </c>
      <c r="E107" s="104">
        <f>SUM('Draw #6'!E107:F107)</f>
        <v>0</v>
      </c>
      <c r="F107" s="105">
        <v>0</v>
      </c>
      <c r="G107" s="104" t="e">
        <f>SUM('Draw #6'!G107)+F107</f>
        <v>#REF!</v>
      </c>
      <c r="H107" s="109" t="e">
        <f t="shared" si="2"/>
        <v>#REF!</v>
      </c>
      <c r="I107" s="110">
        <v>0</v>
      </c>
      <c r="J107" s="109">
        <f>SUM(I107+'Draw #6'!J107)</f>
        <v>0</v>
      </c>
      <c r="K107" s="101" t="str">
        <f t="shared" si="3"/>
        <v/>
      </c>
      <c r="L107" s="9"/>
      <c r="M107" s="9"/>
    </row>
    <row r="108" spans="1:13" ht="14.1" customHeight="1">
      <c r="A108" s="4" t="e">
        <f>'SCHEDULE OF VALUE WORKSHEET'!#REF!</f>
        <v>#REF!</v>
      </c>
      <c r="B108" s="142" t="e">
        <f>'SCHEDULE OF VALUE WORKSHEET'!#REF!</f>
        <v>#REF!</v>
      </c>
      <c r="C108" s="143"/>
      <c r="D108" s="104" t="e">
        <f>SUM('SCHEDULE OF VALUE WORKSHEET'!#REF!)</f>
        <v>#REF!</v>
      </c>
      <c r="E108" s="104">
        <f>SUM('Draw #6'!E108:F108)</f>
        <v>0</v>
      </c>
      <c r="F108" s="105">
        <v>0</v>
      </c>
      <c r="G108" s="104" t="e">
        <f>SUM('Draw #6'!G108)+F108</f>
        <v>#REF!</v>
      </c>
      <c r="H108" s="109" t="e">
        <f t="shared" si="2"/>
        <v>#REF!</v>
      </c>
      <c r="I108" s="110">
        <v>0</v>
      </c>
      <c r="J108" s="109">
        <f>SUM(I108+'Draw #6'!J108)</f>
        <v>0</v>
      </c>
      <c r="K108" s="101" t="str">
        <f t="shared" si="3"/>
        <v/>
      </c>
      <c r="L108" s="9"/>
      <c r="M108" s="9"/>
    </row>
    <row r="109" spans="1:13" ht="14.1" customHeight="1">
      <c r="A109" s="4" t="e">
        <f>'SCHEDULE OF VALUE WORKSHEET'!#REF!</f>
        <v>#REF!</v>
      </c>
      <c r="B109" s="142" t="e">
        <f>'SCHEDULE OF VALUE WORKSHEET'!#REF!</f>
        <v>#REF!</v>
      </c>
      <c r="C109" s="143"/>
      <c r="D109" s="104" t="e">
        <f>SUM('SCHEDULE OF VALUE WORKSHEET'!#REF!)</f>
        <v>#REF!</v>
      </c>
      <c r="E109" s="104">
        <f>SUM('Draw #6'!E109:F109)</f>
        <v>0</v>
      </c>
      <c r="F109" s="105">
        <v>0</v>
      </c>
      <c r="G109" s="104" t="e">
        <f>SUM('Draw #6'!G109)+F109</f>
        <v>#REF!</v>
      </c>
      <c r="H109" s="109" t="e">
        <f t="shared" si="2"/>
        <v>#REF!</v>
      </c>
      <c r="I109" s="110">
        <v>0</v>
      </c>
      <c r="J109" s="109">
        <f>SUM(I109+'Draw #6'!J109)</f>
        <v>0</v>
      </c>
      <c r="K109" s="101" t="str">
        <f t="shared" si="3"/>
        <v/>
      </c>
      <c r="L109" s="9"/>
      <c r="M109" s="9"/>
    </row>
    <row r="110" spans="1:13" ht="14.1" customHeight="1">
      <c r="A110" s="4" t="e">
        <f>'SCHEDULE OF VALUE WORKSHEET'!#REF!</f>
        <v>#REF!</v>
      </c>
      <c r="B110" s="142" t="e">
        <f>'SCHEDULE OF VALUE WORKSHEET'!#REF!</f>
        <v>#REF!</v>
      </c>
      <c r="C110" s="143"/>
      <c r="D110" s="104" t="e">
        <f>SUM('SCHEDULE OF VALUE WORKSHEET'!#REF!)</f>
        <v>#REF!</v>
      </c>
      <c r="E110" s="104">
        <f>SUM('Draw #6'!E110:F110)</f>
        <v>0</v>
      </c>
      <c r="F110" s="105">
        <v>0</v>
      </c>
      <c r="G110" s="104" t="e">
        <f>SUM('Draw #6'!G110)+F110</f>
        <v>#REF!</v>
      </c>
      <c r="H110" s="109" t="e">
        <f t="shared" si="2"/>
        <v>#REF!</v>
      </c>
      <c r="I110" s="110">
        <v>0</v>
      </c>
      <c r="J110" s="109">
        <f>SUM(I110+'Draw #6'!J110)</f>
        <v>0</v>
      </c>
      <c r="K110" s="101" t="str">
        <f t="shared" si="3"/>
        <v/>
      </c>
      <c r="L110" s="9"/>
      <c r="M110" s="9"/>
    </row>
    <row r="111" spans="1:13" ht="14.1" customHeight="1">
      <c r="A111" s="4" t="e">
        <f>'SCHEDULE OF VALUE WORKSHEET'!#REF!</f>
        <v>#REF!</v>
      </c>
      <c r="B111" s="142" t="e">
        <f>'SCHEDULE OF VALUE WORKSHEET'!#REF!</f>
        <v>#REF!</v>
      </c>
      <c r="C111" s="143"/>
      <c r="D111" s="104" t="e">
        <f>SUM('SCHEDULE OF VALUE WORKSHEET'!#REF!)</f>
        <v>#REF!</v>
      </c>
      <c r="E111" s="104">
        <f>SUM('Draw #6'!E111:F111)</f>
        <v>0</v>
      </c>
      <c r="F111" s="105">
        <v>0</v>
      </c>
      <c r="G111" s="104" t="e">
        <f>SUM('Draw #6'!G111)+F111</f>
        <v>#REF!</v>
      </c>
      <c r="H111" s="109" t="e">
        <f t="shared" si="2"/>
        <v>#REF!</v>
      </c>
      <c r="I111" s="110">
        <v>0</v>
      </c>
      <c r="J111" s="109">
        <f>SUM(I111+'Draw #6'!J111)</f>
        <v>0</v>
      </c>
      <c r="K111" s="101" t="str">
        <f t="shared" si="3"/>
        <v/>
      </c>
      <c r="L111" s="9"/>
      <c r="M111" s="9"/>
    </row>
    <row r="112" spans="1:13" ht="14.1" customHeight="1">
      <c r="A112" s="4" t="e">
        <f>'SCHEDULE OF VALUE WORKSHEET'!#REF!</f>
        <v>#REF!</v>
      </c>
      <c r="B112" s="142" t="e">
        <f>'SCHEDULE OF VALUE WORKSHEET'!#REF!</f>
        <v>#REF!</v>
      </c>
      <c r="C112" s="143"/>
      <c r="D112" s="104" t="e">
        <f>SUM('SCHEDULE OF VALUE WORKSHEET'!#REF!)</f>
        <v>#REF!</v>
      </c>
      <c r="E112" s="104">
        <f>SUM('Draw #6'!E112:F112)</f>
        <v>0</v>
      </c>
      <c r="F112" s="105">
        <v>0</v>
      </c>
      <c r="G112" s="104" t="e">
        <f>SUM('Draw #6'!G112)+F112</f>
        <v>#REF!</v>
      </c>
      <c r="H112" s="109" t="e">
        <f t="shared" si="2"/>
        <v>#REF!</v>
      </c>
      <c r="I112" s="110">
        <v>0</v>
      </c>
      <c r="J112" s="109">
        <f>SUM(I112+'Draw #6'!J112)</f>
        <v>0</v>
      </c>
      <c r="K112" s="101" t="str">
        <f t="shared" si="3"/>
        <v/>
      </c>
      <c r="L112" s="9"/>
      <c r="M112" s="9"/>
    </row>
    <row r="113" spans="1:13" ht="14.1" customHeight="1">
      <c r="A113" s="4" t="e">
        <f>'SCHEDULE OF VALUE WORKSHEET'!#REF!</f>
        <v>#REF!</v>
      </c>
      <c r="B113" s="142" t="e">
        <f>'SCHEDULE OF VALUE WORKSHEET'!#REF!</f>
        <v>#REF!</v>
      </c>
      <c r="C113" s="143"/>
      <c r="D113" s="104" t="e">
        <f>SUM('SCHEDULE OF VALUE WORKSHEET'!#REF!)</f>
        <v>#REF!</v>
      </c>
      <c r="E113" s="104">
        <f>SUM('Draw #6'!E113:F113)</f>
        <v>0</v>
      </c>
      <c r="F113" s="105">
        <v>0</v>
      </c>
      <c r="G113" s="104" t="e">
        <f>SUM('Draw #6'!G113)+F113</f>
        <v>#REF!</v>
      </c>
      <c r="H113" s="109" t="e">
        <f t="shared" si="2"/>
        <v>#REF!</v>
      </c>
      <c r="I113" s="110">
        <v>0</v>
      </c>
      <c r="J113" s="109">
        <f>SUM(I113+'Draw #6'!J113)</f>
        <v>0</v>
      </c>
      <c r="K113" s="101" t="str">
        <f t="shared" si="3"/>
        <v/>
      </c>
      <c r="L113" s="9"/>
      <c r="M113" s="9"/>
    </row>
    <row r="114" spans="1:13" ht="14.1" customHeight="1">
      <c r="A114" s="4" t="e">
        <f>'SCHEDULE OF VALUE WORKSHEET'!#REF!</f>
        <v>#REF!</v>
      </c>
      <c r="B114" s="142" t="e">
        <f>'SCHEDULE OF VALUE WORKSHEET'!#REF!</f>
        <v>#REF!</v>
      </c>
      <c r="C114" s="143"/>
      <c r="D114" s="104" t="e">
        <f>SUM('SCHEDULE OF VALUE WORKSHEET'!#REF!)</f>
        <v>#REF!</v>
      </c>
      <c r="E114" s="104">
        <f>SUM('Draw #6'!E114:F114)</f>
        <v>0</v>
      </c>
      <c r="F114" s="105">
        <v>0</v>
      </c>
      <c r="G114" s="104" t="e">
        <f>SUM('Draw #6'!G114)+F114</f>
        <v>#REF!</v>
      </c>
      <c r="H114" s="109" t="e">
        <f t="shared" si="2"/>
        <v>#REF!</v>
      </c>
      <c r="I114" s="110">
        <v>0</v>
      </c>
      <c r="J114" s="109">
        <f>SUM(I114+'Draw #6'!J114)</f>
        <v>0</v>
      </c>
      <c r="K114" s="101" t="str">
        <f t="shared" si="3"/>
        <v/>
      </c>
      <c r="L114" s="9"/>
      <c r="M114" s="9"/>
    </row>
    <row r="115" spans="1:13" ht="14.1" customHeight="1">
      <c r="A115" s="4" t="e">
        <f>'SCHEDULE OF VALUE WORKSHEET'!#REF!</f>
        <v>#REF!</v>
      </c>
      <c r="B115" s="142" t="e">
        <f>'SCHEDULE OF VALUE WORKSHEET'!#REF!</f>
        <v>#REF!</v>
      </c>
      <c r="C115" s="143"/>
      <c r="D115" s="104" t="e">
        <f>SUM('SCHEDULE OF VALUE WORKSHEET'!#REF!)</f>
        <v>#REF!</v>
      </c>
      <c r="E115" s="104">
        <f>SUM('Draw #6'!E115:F115)</f>
        <v>0</v>
      </c>
      <c r="F115" s="105">
        <v>0</v>
      </c>
      <c r="G115" s="104" t="e">
        <f>SUM('Draw #6'!G115)+F115</f>
        <v>#REF!</v>
      </c>
      <c r="H115" s="109" t="e">
        <f t="shared" si="2"/>
        <v>#REF!</v>
      </c>
      <c r="I115" s="110">
        <v>0</v>
      </c>
      <c r="J115" s="109">
        <f>SUM(I115+'Draw #6'!J115)</f>
        <v>0</v>
      </c>
      <c r="K115" s="101" t="str">
        <f t="shared" si="3"/>
        <v/>
      </c>
      <c r="L115" s="9"/>
      <c r="M115" s="9"/>
    </row>
    <row r="116" spans="1:13" ht="14.1" customHeight="1">
      <c r="A116" s="4" t="e">
        <f>'SCHEDULE OF VALUE WORKSHEET'!#REF!</f>
        <v>#REF!</v>
      </c>
      <c r="B116" s="142" t="e">
        <f>'SCHEDULE OF VALUE WORKSHEET'!#REF!</f>
        <v>#REF!</v>
      </c>
      <c r="C116" s="143"/>
      <c r="D116" s="104" t="e">
        <f>SUM('SCHEDULE OF VALUE WORKSHEET'!#REF!)</f>
        <v>#REF!</v>
      </c>
      <c r="E116" s="104">
        <f>SUM('Draw #6'!E116:F116)</f>
        <v>0</v>
      </c>
      <c r="F116" s="105">
        <v>0</v>
      </c>
      <c r="G116" s="104" t="e">
        <f>SUM('Draw #6'!G116)+F116</f>
        <v>#REF!</v>
      </c>
      <c r="H116" s="109" t="e">
        <f t="shared" si="2"/>
        <v>#REF!</v>
      </c>
      <c r="I116" s="110">
        <v>0</v>
      </c>
      <c r="J116" s="109">
        <f>SUM(I116+'Draw #6'!J116)</f>
        <v>0</v>
      </c>
      <c r="K116" s="101" t="str">
        <f t="shared" si="3"/>
        <v/>
      </c>
      <c r="L116" s="9"/>
      <c r="M116" s="9"/>
    </row>
    <row r="117" spans="1:13" ht="14.1" customHeight="1">
      <c r="A117" s="4">
        <f>'SCHEDULE OF VALUE WORKSHEET'!A87</f>
        <v>82</v>
      </c>
      <c r="B117" s="142" t="str">
        <f>'SCHEDULE OF VALUE WORKSHEET'!B87</f>
        <v xml:space="preserve">Open Item </v>
      </c>
      <c r="C117" s="143"/>
      <c r="D117" s="104">
        <f>SUM('SCHEDULE OF VALUE WORKSHEET'!E87)</f>
        <v>0</v>
      </c>
      <c r="E117" s="104">
        <f>SUM('Draw #6'!E117:F117)</f>
        <v>0</v>
      </c>
      <c r="F117" s="105">
        <v>0</v>
      </c>
      <c r="G117" s="104">
        <f>SUM('Draw #6'!G117)+F117</f>
        <v>0</v>
      </c>
      <c r="H117" s="109">
        <f t="shared" si="2"/>
        <v>0</v>
      </c>
      <c r="I117" s="110">
        <v>0</v>
      </c>
      <c r="J117" s="109">
        <f>SUM(I117+'Draw #6'!J117)</f>
        <v>0</v>
      </c>
      <c r="K117" s="101" t="str">
        <f t="shared" si="3"/>
        <v/>
      </c>
      <c r="L117" s="9"/>
      <c r="M117" s="9"/>
    </row>
    <row r="118" spans="1:13" ht="14.1" customHeight="1">
      <c r="A118" s="4">
        <f>'SCHEDULE OF VALUE WORKSHEET'!A88</f>
        <v>83</v>
      </c>
      <c r="B118" s="142" t="str">
        <f>'SCHEDULE OF VALUE WORKSHEET'!B88</f>
        <v xml:space="preserve">Open Item </v>
      </c>
      <c r="C118" s="143"/>
      <c r="D118" s="104">
        <f>SUM('SCHEDULE OF VALUE WORKSHEET'!E88)</f>
        <v>0</v>
      </c>
      <c r="E118" s="104">
        <f>SUM('Draw #6'!E118:F118)</f>
        <v>0</v>
      </c>
      <c r="F118" s="105">
        <v>0</v>
      </c>
      <c r="G118" s="104">
        <f>SUM('Draw #6'!G118)+F118</f>
        <v>0</v>
      </c>
      <c r="H118" s="109">
        <f t="shared" si="2"/>
        <v>0</v>
      </c>
      <c r="I118" s="110">
        <v>0</v>
      </c>
      <c r="J118" s="109">
        <f>SUM(I118+'Draw #6'!J118)</f>
        <v>0</v>
      </c>
      <c r="K118" s="101" t="str">
        <f t="shared" si="3"/>
        <v/>
      </c>
      <c r="L118" s="9"/>
      <c r="M118" s="9"/>
    </row>
    <row r="119" spans="1:13" ht="14.1" customHeight="1">
      <c r="A119" s="4">
        <f>'SCHEDULE OF VALUE WORKSHEET'!A89</f>
        <v>84</v>
      </c>
      <c r="B119" s="142" t="str">
        <f>'SCHEDULE OF VALUE WORKSHEET'!B89</f>
        <v xml:space="preserve">Open Item </v>
      </c>
      <c r="C119" s="143"/>
      <c r="D119" s="104">
        <f>SUM('SCHEDULE OF VALUE WORKSHEET'!E89)</f>
        <v>0</v>
      </c>
      <c r="E119" s="104">
        <f>SUM('Draw #6'!E119:F119)</f>
        <v>0</v>
      </c>
      <c r="F119" s="105">
        <v>0</v>
      </c>
      <c r="G119" s="104">
        <f>SUM('Draw #6'!G119)+F119</f>
        <v>0</v>
      </c>
      <c r="H119" s="109">
        <f t="shared" si="2"/>
        <v>0</v>
      </c>
      <c r="I119" s="110">
        <v>0</v>
      </c>
      <c r="J119" s="109">
        <f>SUM(I119+'Draw #6'!J119)</f>
        <v>0</v>
      </c>
      <c r="K119" s="101" t="str">
        <f t="shared" si="3"/>
        <v/>
      </c>
      <c r="L119" s="9"/>
      <c r="M119" s="9"/>
    </row>
    <row r="120" spans="1:13" ht="14.1" customHeight="1">
      <c r="A120" s="4">
        <f>'SCHEDULE OF VALUE WORKSHEET'!A90</f>
        <v>85</v>
      </c>
      <c r="B120" s="142" t="str">
        <f>'SCHEDULE OF VALUE WORKSHEET'!B90</f>
        <v xml:space="preserve">Open Item </v>
      </c>
      <c r="C120" s="143"/>
      <c r="D120" s="104">
        <f>SUM('SCHEDULE OF VALUE WORKSHEET'!E90)</f>
        <v>0</v>
      </c>
      <c r="E120" s="104">
        <f>SUM('Draw #6'!E120:F120)</f>
        <v>0</v>
      </c>
      <c r="F120" s="105">
        <v>0</v>
      </c>
      <c r="G120" s="104">
        <f>SUM('Draw #6'!G120)+F120</f>
        <v>0</v>
      </c>
      <c r="H120" s="109">
        <f t="shared" si="2"/>
        <v>0</v>
      </c>
      <c r="I120" s="110">
        <v>0</v>
      </c>
      <c r="J120" s="109">
        <f>SUM(I120+'Draw #6'!J120)</f>
        <v>0</v>
      </c>
      <c r="K120" s="101" t="str">
        <f t="shared" si="3"/>
        <v/>
      </c>
      <c r="L120" s="9"/>
      <c r="M120" s="9"/>
    </row>
    <row r="121" spans="1:13" ht="14.1" customHeight="1">
      <c r="A121" s="4">
        <f>'SCHEDULE OF VALUE WORKSHEET'!A91</f>
        <v>86</v>
      </c>
      <c r="B121" s="142" t="str">
        <f>'SCHEDULE OF VALUE WORKSHEET'!B91</f>
        <v xml:space="preserve">Open Item </v>
      </c>
      <c r="C121" s="143"/>
      <c r="D121" s="104">
        <f>SUM('SCHEDULE OF VALUE WORKSHEET'!E91)</f>
        <v>0</v>
      </c>
      <c r="E121" s="104">
        <f>SUM('Draw #6'!E121:F121)</f>
        <v>0</v>
      </c>
      <c r="F121" s="105">
        <v>0</v>
      </c>
      <c r="G121" s="104">
        <f>SUM('Draw #6'!G121)+F121</f>
        <v>0</v>
      </c>
      <c r="H121" s="109">
        <f t="shared" si="2"/>
        <v>0</v>
      </c>
      <c r="I121" s="110">
        <v>0</v>
      </c>
      <c r="J121" s="109">
        <f>SUM(I121+'Draw #6'!J121)</f>
        <v>0</v>
      </c>
      <c r="K121" s="101" t="str">
        <f t="shared" si="3"/>
        <v/>
      </c>
      <c r="L121" s="9"/>
      <c r="M121" s="9"/>
    </row>
    <row r="122" spans="1:13" ht="14.1" customHeight="1">
      <c r="A122" s="4">
        <f>'SCHEDULE OF VALUE WORKSHEET'!A92</f>
        <v>87</v>
      </c>
      <c r="B122" s="142" t="str">
        <f>'SCHEDULE OF VALUE WORKSHEET'!B92</f>
        <v xml:space="preserve">Open Item </v>
      </c>
      <c r="C122" s="143"/>
      <c r="D122" s="104">
        <f>SUM('SCHEDULE OF VALUE WORKSHEET'!E92)</f>
        <v>0</v>
      </c>
      <c r="E122" s="104">
        <f>SUM('Draw #6'!E122:F122)</f>
        <v>0</v>
      </c>
      <c r="F122" s="105">
        <v>0</v>
      </c>
      <c r="G122" s="104">
        <f>SUM('Draw #6'!G122)+F122</f>
        <v>0</v>
      </c>
      <c r="H122" s="109">
        <f t="shared" si="2"/>
        <v>0</v>
      </c>
      <c r="I122" s="110">
        <v>0</v>
      </c>
      <c r="J122" s="109">
        <f>SUM(I122+'Draw #6'!J122)</f>
        <v>0</v>
      </c>
      <c r="K122" s="101" t="str">
        <f t="shared" si="3"/>
        <v/>
      </c>
      <c r="L122" s="9"/>
      <c r="M122" s="9"/>
    </row>
    <row r="123" spans="1:13" ht="14.1" customHeight="1">
      <c r="A123" s="4">
        <f>'SCHEDULE OF VALUE WORKSHEET'!A93</f>
        <v>88</v>
      </c>
      <c r="B123" s="142" t="str">
        <f>'SCHEDULE OF VALUE WORKSHEET'!B93</f>
        <v xml:space="preserve">Open Item </v>
      </c>
      <c r="C123" s="143"/>
      <c r="D123" s="104">
        <f>SUM('SCHEDULE OF VALUE WORKSHEET'!E93)</f>
        <v>0</v>
      </c>
      <c r="E123" s="104">
        <f>SUM('Draw #6'!E123:F123)</f>
        <v>0</v>
      </c>
      <c r="F123" s="105">
        <v>0</v>
      </c>
      <c r="G123" s="104">
        <f>SUM('Draw #6'!G123)+F123</f>
        <v>0</v>
      </c>
      <c r="H123" s="109">
        <f t="shared" si="2"/>
        <v>0</v>
      </c>
      <c r="I123" s="110">
        <v>0</v>
      </c>
      <c r="J123" s="109">
        <f>SUM(I123+'Draw #6'!J123)</f>
        <v>0</v>
      </c>
      <c r="K123" s="101" t="str">
        <f t="shared" si="3"/>
        <v/>
      </c>
      <c r="L123" s="9"/>
      <c r="M123" s="9"/>
    </row>
    <row r="124" spans="1:13" ht="14.1" customHeight="1">
      <c r="A124" s="4">
        <f>'SCHEDULE OF VALUE WORKSHEET'!A94</f>
        <v>89</v>
      </c>
      <c r="B124" s="142" t="str">
        <f>'SCHEDULE OF VALUE WORKSHEET'!B94</f>
        <v xml:space="preserve">Open Item </v>
      </c>
      <c r="C124" s="143"/>
      <c r="D124" s="104">
        <f>SUM('SCHEDULE OF VALUE WORKSHEET'!E94)</f>
        <v>0</v>
      </c>
      <c r="E124" s="104">
        <f>SUM('Draw #6'!E124:F124)</f>
        <v>0</v>
      </c>
      <c r="F124" s="105">
        <v>0</v>
      </c>
      <c r="G124" s="104">
        <f>SUM('Draw #6'!G124)+F124</f>
        <v>0</v>
      </c>
      <c r="H124" s="109">
        <f t="shared" si="2"/>
        <v>0</v>
      </c>
      <c r="I124" s="110">
        <v>0</v>
      </c>
      <c r="J124" s="109">
        <f>SUM(I124+'Draw #6'!J124)</f>
        <v>0</v>
      </c>
      <c r="K124" s="101" t="str">
        <f t="shared" si="3"/>
        <v/>
      </c>
      <c r="L124" s="9"/>
      <c r="M124" s="9"/>
    </row>
    <row r="125" spans="1:13" ht="14.1" customHeight="1">
      <c r="A125" s="4">
        <f>'SCHEDULE OF VALUE WORKSHEET'!A95</f>
        <v>90</v>
      </c>
      <c r="B125" s="142" t="str">
        <f>'SCHEDULE OF VALUE WORKSHEET'!B95</f>
        <v xml:space="preserve">Open Item </v>
      </c>
      <c r="C125" s="143"/>
      <c r="D125" s="104">
        <f>SUM('SCHEDULE OF VALUE WORKSHEET'!E95)</f>
        <v>0</v>
      </c>
      <c r="E125" s="104">
        <f>SUM('Draw #6'!E125:F125)</f>
        <v>0</v>
      </c>
      <c r="F125" s="105">
        <v>0</v>
      </c>
      <c r="G125" s="104">
        <f>SUM('Draw #6'!G125)+F125</f>
        <v>0</v>
      </c>
      <c r="H125" s="109">
        <f t="shared" si="2"/>
        <v>0</v>
      </c>
      <c r="I125" s="110">
        <v>0</v>
      </c>
      <c r="J125" s="109">
        <f>SUM(I125+'Draw #6'!J125)</f>
        <v>0</v>
      </c>
      <c r="K125" s="101" t="str">
        <f t="shared" si="3"/>
        <v/>
      </c>
      <c r="L125" s="9"/>
      <c r="M125" s="9"/>
    </row>
    <row r="126" spans="1:13" ht="14.1" customHeight="1">
      <c r="A126" s="4">
        <f>'SCHEDULE OF VALUE WORKSHEET'!A96</f>
        <v>91</v>
      </c>
      <c r="B126" s="142" t="str">
        <f>'SCHEDULE OF VALUE WORKSHEET'!B96</f>
        <v xml:space="preserve">Open Item </v>
      </c>
      <c r="C126" s="143"/>
      <c r="D126" s="104">
        <f>SUM('SCHEDULE OF VALUE WORKSHEET'!E96)</f>
        <v>0</v>
      </c>
      <c r="E126" s="104">
        <f>SUM('Draw #6'!E126:F126)</f>
        <v>0</v>
      </c>
      <c r="F126" s="105">
        <v>0</v>
      </c>
      <c r="G126" s="104">
        <f>SUM('Draw #6'!G126)+F126</f>
        <v>0</v>
      </c>
      <c r="H126" s="109">
        <f t="shared" si="2"/>
        <v>0</v>
      </c>
      <c r="I126" s="110">
        <v>0</v>
      </c>
      <c r="J126" s="109">
        <f>SUM(I126+'Draw #6'!J126)</f>
        <v>0</v>
      </c>
      <c r="K126" s="101" t="str">
        <f t="shared" si="3"/>
        <v/>
      </c>
      <c r="L126" s="9"/>
      <c r="M126" s="9"/>
    </row>
    <row r="127" spans="1:13" ht="14.1" customHeight="1">
      <c r="A127" s="4">
        <f>'SCHEDULE OF VALUE WORKSHEET'!A97</f>
        <v>92</v>
      </c>
      <c r="B127" s="142" t="str">
        <f>'SCHEDULE OF VALUE WORKSHEET'!B97</f>
        <v xml:space="preserve">Open Item </v>
      </c>
      <c r="C127" s="143"/>
      <c r="D127" s="104">
        <f>SUM('SCHEDULE OF VALUE WORKSHEET'!E97)</f>
        <v>0</v>
      </c>
      <c r="E127" s="104">
        <f>SUM('Draw #6'!E127:F127)</f>
        <v>0</v>
      </c>
      <c r="F127" s="105">
        <v>0</v>
      </c>
      <c r="G127" s="104">
        <f>SUM('Draw #6'!G127)+F127</f>
        <v>0</v>
      </c>
      <c r="H127" s="109">
        <f t="shared" si="2"/>
        <v>0</v>
      </c>
      <c r="I127" s="110">
        <v>0</v>
      </c>
      <c r="J127" s="109">
        <f>SUM(I127+'Draw #6'!J127)</f>
        <v>0</v>
      </c>
      <c r="K127" s="101" t="str">
        <f t="shared" si="3"/>
        <v/>
      </c>
      <c r="L127" s="9"/>
      <c r="M127" s="9"/>
    </row>
    <row r="128" spans="1:13" ht="14.1" customHeight="1">
      <c r="A128" s="4">
        <f>'SCHEDULE OF VALUE WORKSHEET'!A98</f>
        <v>93</v>
      </c>
      <c r="B128" s="142" t="str">
        <f>'SCHEDULE OF VALUE WORKSHEET'!B98</f>
        <v xml:space="preserve">Open Item </v>
      </c>
      <c r="C128" s="143"/>
      <c r="D128" s="104">
        <f>SUM('SCHEDULE OF VALUE WORKSHEET'!E98)</f>
        <v>0</v>
      </c>
      <c r="E128" s="104">
        <f>SUM('Draw #6'!E128:F128)</f>
        <v>0</v>
      </c>
      <c r="F128" s="105">
        <v>0</v>
      </c>
      <c r="G128" s="104">
        <f>SUM('Draw #6'!G128)+F128</f>
        <v>0</v>
      </c>
      <c r="H128" s="109">
        <f t="shared" si="2"/>
        <v>0</v>
      </c>
      <c r="I128" s="110">
        <v>0</v>
      </c>
      <c r="J128" s="109">
        <f>SUM(I128+'Draw #6'!J128)</f>
        <v>0</v>
      </c>
      <c r="K128" s="101" t="str">
        <f t="shared" si="3"/>
        <v/>
      </c>
      <c r="L128" s="9"/>
      <c r="M128" s="9"/>
    </row>
    <row r="129" spans="1:13" ht="14.1" customHeight="1">
      <c r="A129" s="4">
        <f>'SCHEDULE OF VALUE WORKSHEET'!A99</f>
        <v>94</v>
      </c>
      <c r="B129" s="142" t="str">
        <f>'SCHEDULE OF VALUE WORKSHEET'!B99</f>
        <v xml:space="preserve">Open Item </v>
      </c>
      <c r="C129" s="143"/>
      <c r="D129" s="104">
        <f>SUM('SCHEDULE OF VALUE WORKSHEET'!E99)</f>
        <v>0</v>
      </c>
      <c r="E129" s="104">
        <f>SUM('Draw #6'!E129:F129)</f>
        <v>0</v>
      </c>
      <c r="F129" s="105">
        <v>0</v>
      </c>
      <c r="G129" s="104">
        <f>SUM('Draw #6'!G129)+F129</f>
        <v>0</v>
      </c>
      <c r="H129" s="109">
        <f t="shared" si="2"/>
        <v>0</v>
      </c>
      <c r="I129" s="110">
        <v>0</v>
      </c>
      <c r="J129" s="109">
        <f>SUM(I129+'Draw #6'!J129)</f>
        <v>0</v>
      </c>
      <c r="K129" s="101" t="str">
        <f t="shared" si="3"/>
        <v/>
      </c>
      <c r="L129" s="9"/>
      <c r="M129" s="9"/>
    </row>
    <row r="130" spans="1:13" ht="14.1" customHeight="1">
      <c r="A130" s="4">
        <f>'SCHEDULE OF VALUE WORKSHEET'!A100</f>
        <v>95</v>
      </c>
      <c r="B130" s="142" t="str">
        <f>'SCHEDULE OF VALUE WORKSHEET'!B100</f>
        <v xml:space="preserve">Open Item </v>
      </c>
      <c r="C130" s="143"/>
      <c r="D130" s="104">
        <f>SUM('SCHEDULE OF VALUE WORKSHEET'!E100)</f>
        <v>0</v>
      </c>
      <c r="E130" s="104">
        <f>SUM('Draw #6'!E130:F130)</f>
        <v>0</v>
      </c>
      <c r="F130" s="105">
        <v>0</v>
      </c>
      <c r="G130" s="104">
        <f>SUM('Draw #6'!G130)+F130</f>
        <v>0</v>
      </c>
      <c r="H130" s="109">
        <f t="shared" si="2"/>
        <v>0</v>
      </c>
      <c r="I130" s="110">
        <v>0</v>
      </c>
      <c r="J130" s="109">
        <f>SUM(I130+'Draw #6'!J130)</f>
        <v>0</v>
      </c>
      <c r="K130" s="101" t="str">
        <f t="shared" si="3"/>
        <v/>
      </c>
      <c r="L130" s="9"/>
      <c r="M130" s="9"/>
    </row>
    <row r="131" spans="1:13" ht="14.1" customHeight="1">
      <c r="A131" s="4">
        <f>'SCHEDULE OF VALUE WORKSHEET'!A101</f>
        <v>96</v>
      </c>
      <c r="B131" s="142" t="str">
        <f>'SCHEDULE OF VALUE WORKSHEET'!B101</f>
        <v xml:space="preserve">Open Item </v>
      </c>
      <c r="C131" s="143"/>
      <c r="D131" s="104">
        <f>SUM('SCHEDULE OF VALUE WORKSHEET'!E101)</f>
        <v>0</v>
      </c>
      <c r="E131" s="104">
        <f>SUM('Draw #6'!E131:F131)</f>
        <v>0</v>
      </c>
      <c r="F131" s="105">
        <v>0</v>
      </c>
      <c r="G131" s="104">
        <f>SUM('Draw #6'!G131)+F131</f>
        <v>0</v>
      </c>
      <c r="H131" s="109">
        <f t="shared" si="2"/>
        <v>0</v>
      </c>
      <c r="I131" s="110">
        <v>0</v>
      </c>
      <c r="J131" s="109">
        <f>SUM(I131+'Draw #6'!J131)</f>
        <v>0</v>
      </c>
      <c r="K131" s="101" t="str">
        <f t="shared" si="3"/>
        <v/>
      </c>
      <c r="L131" s="9"/>
      <c r="M131" s="9"/>
    </row>
    <row r="132" spans="1:13" ht="14.1" customHeight="1">
      <c r="A132" s="4">
        <f>'SCHEDULE OF VALUE WORKSHEET'!A102</f>
        <v>97</v>
      </c>
      <c r="B132" s="142" t="str">
        <f>'SCHEDULE OF VALUE WORKSHEET'!B102</f>
        <v xml:space="preserve">Open Item </v>
      </c>
      <c r="C132" s="143"/>
      <c r="D132" s="104">
        <f>SUM('SCHEDULE OF VALUE WORKSHEET'!E102)</f>
        <v>0</v>
      </c>
      <c r="E132" s="104">
        <f>SUM('Draw #6'!E132:F132)</f>
        <v>0</v>
      </c>
      <c r="F132" s="105">
        <v>0</v>
      </c>
      <c r="G132" s="104">
        <f>SUM('Draw #6'!G132)+F132</f>
        <v>0</v>
      </c>
      <c r="H132" s="109">
        <f t="shared" si="2"/>
        <v>0</v>
      </c>
      <c r="I132" s="110">
        <v>0</v>
      </c>
      <c r="J132" s="109">
        <f>SUM(I132+'Draw #6'!J132)</f>
        <v>0</v>
      </c>
      <c r="K132" s="101" t="str">
        <f t="shared" si="3"/>
        <v/>
      </c>
      <c r="L132" s="9"/>
      <c r="M132" s="9"/>
    </row>
    <row r="133" spans="1:13" ht="14.1" customHeight="1">
      <c r="A133" s="4">
        <f>'SCHEDULE OF VALUE WORKSHEET'!A103</f>
        <v>98</v>
      </c>
      <c r="B133" s="142" t="str">
        <f>'SCHEDULE OF VALUE WORKSHEET'!B103</f>
        <v xml:space="preserve">Open Item </v>
      </c>
      <c r="C133" s="143"/>
      <c r="D133" s="104">
        <f>SUM('SCHEDULE OF VALUE WORKSHEET'!E103)</f>
        <v>0</v>
      </c>
      <c r="E133" s="104">
        <f>SUM('Draw #6'!E133:F133)</f>
        <v>0</v>
      </c>
      <c r="F133" s="105">
        <v>0</v>
      </c>
      <c r="G133" s="104">
        <f>SUM('Draw #6'!G133)+F133</f>
        <v>0</v>
      </c>
      <c r="H133" s="109">
        <f t="shared" si="2"/>
        <v>0</v>
      </c>
      <c r="I133" s="110">
        <v>0</v>
      </c>
      <c r="J133" s="109">
        <f>SUM(I133+'Draw #6'!J133)</f>
        <v>0</v>
      </c>
      <c r="K133" s="101" t="str">
        <f t="shared" si="3"/>
        <v/>
      </c>
      <c r="L133" s="9"/>
      <c r="M133" s="9"/>
    </row>
    <row r="134" spans="1:13" ht="14.1" customHeight="1">
      <c r="A134" s="4">
        <f>'SCHEDULE OF VALUE WORKSHEET'!A104</f>
        <v>99</v>
      </c>
      <c r="B134" s="142" t="str">
        <f>'SCHEDULE OF VALUE WORKSHEET'!B104</f>
        <v xml:space="preserve">Open Item </v>
      </c>
      <c r="C134" s="143"/>
      <c r="D134" s="104">
        <f>SUM('SCHEDULE OF VALUE WORKSHEET'!E104)</f>
        <v>0</v>
      </c>
      <c r="E134" s="104">
        <f>SUM('Draw #6'!E134:F134)</f>
        <v>0</v>
      </c>
      <c r="F134" s="105">
        <v>0</v>
      </c>
      <c r="G134" s="104">
        <f>SUM('Draw #6'!G134)+F134</f>
        <v>0</v>
      </c>
      <c r="H134" s="109">
        <f t="shared" si="2"/>
        <v>0</v>
      </c>
      <c r="I134" s="110">
        <v>0</v>
      </c>
      <c r="J134" s="109">
        <f>SUM(I134+'Draw #6'!J134)</f>
        <v>0</v>
      </c>
      <c r="K134" s="101" t="str">
        <f t="shared" si="3"/>
        <v/>
      </c>
      <c r="L134" s="9"/>
      <c r="M134" s="9"/>
    </row>
    <row r="135" spans="1:13" ht="14.1" customHeight="1">
      <c r="A135" s="4" t="e">
        <f>'SCHEDULE OF VALUE WORKSHEET'!#REF!</f>
        <v>#REF!</v>
      </c>
      <c r="B135" s="142" t="e">
        <f>'SCHEDULE OF VALUE WORKSHEET'!#REF!</f>
        <v>#REF!</v>
      </c>
      <c r="C135" s="143"/>
      <c r="D135" s="104" t="e">
        <f>SUM('SCHEDULE OF VALUE WORKSHEET'!#REF!)</f>
        <v>#REF!</v>
      </c>
      <c r="E135" s="104">
        <f>SUM('Draw #6'!E135:F135)</f>
        <v>0</v>
      </c>
      <c r="F135" s="105">
        <v>0</v>
      </c>
      <c r="G135" s="104" t="e">
        <f>SUM('Draw #6'!G135)+F135</f>
        <v>#REF!</v>
      </c>
      <c r="H135" s="109" t="e">
        <f t="shared" si="2"/>
        <v>#REF!</v>
      </c>
      <c r="I135" s="110">
        <v>0</v>
      </c>
      <c r="J135" s="109">
        <f>SUM(I135+'Draw #6'!J135)</f>
        <v>0</v>
      </c>
      <c r="K135" s="101" t="str">
        <f t="shared" si="3"/>
        <v/>
      </c>
      <c r="L135" s="9"/>
      <c r="M135" s="9"/>
    </row>
    <row r="136" spans="1:13" ht="14.1" customHeight="1">
      <c r="A136" s="165"/>
      <c r="B136" s="166"/>
      <c r="C136" s="166"/>
      <c r="D136" s="166"/>
      <c r="E136" s="166"/>
      <c r="F136" s="166"/>
      <c r="G136" s="166"/>
      <c r="H136" s="166"/>
      <c r="I136" s="166"/>
      <c r="J136" s="166"/>
      <c r="K136" s="167"/>
      <c r="L136" s="10"/>
      <c r="M136" s="10"/>
    </row>
    <row r="137" spans="1:13" ht="18.75" customHeight="1">
      <c r="A137" s="7"/>
      <c r="B137" s="168" t="s">
        <v>2</v>
      </c>
      <c r="C137" s="168"/>
      <c r="D137" s="25" t="e">
        <f t="shared" ref="D137:J137" si="4">SUM(D10:D135)</f>
        <v>#REF!</v>
      </c>
      <c r="E137" s="25">
        <f t="shared" si="4"/>
        <v>0</v>
      </c>
      <c r="F137" s="25">
        <f t="shared" si="4"/>
        <v>0</v>
      </c>
      <c r="G137" s="25" t="e">
        <f t="shared" si="4"/>
        <v>#REF!</v>
      </c>
      <c r="H137" s="25" t="e">
        <f t="shared" si="4"/>
        <v>#REF!</v>
      </c>
      <c r="I137" s="25">
        <f t="shared" si="4"/>
        <v>0</v>
      </c>
      <c r="J137" s="25">
        <f t="shared" si="4"/>
        <v>0</v>
      </c>
      <c r="K137" s="17"/>
      <c r="L137" s="11"/>
      <c r="M137" s="11"/>
    </row>
    <row r="138" spans="1:13" ht="14.1" customHeight="1">
      <c r="A138" s="2"/>
      <c r="B138" s="2"/>
      <c r="C138" s="2"/>
      <c r="D138" s="2"/>
      <c r="E138" s="2"/>
      <c r="F138" s="2"/>
      <c r="G138" s="2"/>
    </row>
    <row r="139" spans="1:13" ht="14.1" customHeight="1">
      <c r="G139" s="2"/>
      <c r="H139" s="140"/>
      <c r="I139" s="140"/>
      <c r="J139" s="140"/>
    </row>
    <row r="140" spans="1:13" ht="14.1" customHeight="1">
      <c r="G140" s="2"/>
    </row>
    <row r="141" spans="1:13" ht="14.1" customHeight="1">
      <c r="G141" s="2"/>
      <c r="H141" s="8"/>
    </row>
    <row r="142" spans="1:13" ht="14.1" customHeight="1">
      <c r="G142" s="2"/>
      <c r="H142" s="8"/>
    </row>
    <row r="143" spans="1:13" ht="14.1" customHeight="1">
      <c r="G143" s="2"/>
    </row>
    <row r="144" spans="1:13" ht="14.1" customHeight="1">
      <c r="G144" s="2"/>
    </row>
    <row r="145" spans="7:7" ht="14.1" customHeight="1">
      <c r="G145" s="2"/>
    </row>
    <row r="146" spans="7:7" ht="14.1" customHeight="1">
      <c r="G146" s="2"/>
    </row>
    <row r="147" spans="7:7" ht="14.1" customHeight="1">
      <c r="G147" s="2"/>
    </row>
    <row r="148" spans="7:7" ht="14.1" customHeight="1">
      <c r="G148" s="3"/>
    </row>
  </sheetData>
  <sheetProtection algorithmName="SHA-512" hashValue="xZ7dddf9rdWMRWm3dEdu81TqHfn1jeUISZzFbAcNYFEHCqOUOb0eyGEV/bFnjXALnu6mb5qPKayHfU9zYkU7bQ==" saltValue="S/ZNzMjzdynKc+RvJc0oXA==" spinCount="100000" sheet="1" selectLockedCells="1"/>
  <mergeCells count="136">
    <mergeCell ref="A1:K2"/>
    <mergeCell ref="B47:C47"/>
    <mergeCell ref="B48:C48"/>
    <mergeCell ref="B49:C49"/>
    <mergeCell ref="B50:C50"/>
    <mergeCell ref="B8:C9"/>
    <mergeCell ref="D8:D9"/>
    <mergeCell ref="G8:G9"/>
    <mergeCell ref="J8:K8"/>
    <mergeCell ref="J9:K9"/>
    <mergeCell ref="F8:F9"/>
    <mergeCell ref="B10:C10"/>
    <mergeCell ref="B11:C11"/>
    <mergeCell ref="B12:C12"/>
    <mergeCell ref="B13:C13"/>
    <mergeCell ref="B26:C26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4:C34"/>
    <mergeCell ref="B35:C35"/>
    <mergeCell ref="B32:C32"/>
    <mergeCell ref="B33:C33"/>
    <mergeCell ref="B27:C27"/>
    <mergeCell ref="B36:C36"/>
    <mergeCell ref="B37:C37"/>
    <mergeCell ref="B46:C46"/>
    <mergeCell ref="A136:K136"/>
    <mergeCell ref="B38:C38"/>
    <mergeCell ref="B39:C39"/>
    <mergeCell ref="B51:C51"/>
    <mergeCell ref="B52:C52"/>
    <mergeCell ref="B53:C53"/>
    <mergeCell ref="B54:C54"/>
    <mergeCell ref="B130:C130"/>
    <mergeCell ref="B119:C119"/>
    <mergeCell ref="B120:C120"/>
    <mergeCell ref="B121:C121"/>
    <mergeCell ref="B122:C122"/>
    <mergeCell ref="B123:C123"/>
    <mergeCell ref="B124:C124"/>
    <mergeCell ref="B131:C131"/>
    <mergeCell ref="B132:C132"/>
    <mergeCell ref="B133:C133"/>
    <mergeCell ref="B134:C134"/>
    <mergeCell ref="B135:C135"/>
    <mergeCell ref="B125:C125"/>
    <mergeCell ref="B126:C126"/>
    <mergeCell ref="B137:C137"/>
    <mergeCell ref="H139:J139"/>
    <mergeCell ref="B40:C40"/>
    <mergeCell ref="B41:C41"/>
    <mergeCell ref="B42:C42"/>
    <mergeCell ref="B43:C43"/>
    <mergeCell ref="B44:C44"/>
    <mergeCell ref="B45:C45"/>
    <mergeCell ref="B55:C55"/>
    <mergeCell ref="B56:C56"/>
    <mergeCell ref="B127:C127"/>
    <mergeCell ref="B128:C128"/>
    <mergeCell ref="B129:C129"/>
    <mergeCell ref="B63:C63"/>
    <mergeCell ref="B64:C64"/>
    <mergeCell ref="B65:C65"/>
    <mergeCell ref="B66:C66"/>
    <mergeCell ref="B67:C67"/>
    <mergeCell ref="B68:C68"/>
    <mergeCell ref="B57:C57"/>
    <mergeCell ref="B58:C58"/>
    <mergeCell ref="B59:C59"/>
    <mergeCell ref="B60:C60"/>
    <mergeCell ref="B61:C61"/>
    <mergeCell ref="B62:C62"/>
    <mergeCell ref="B75:C75"/>
    <mergeCell ref="B76:C76"/>
    <mergeCell ref="B77:C77"/>
    <mergeCell ref="B78:C78"/>
    <mergeCell ref="B79:C79"/>
    <mergeCell ref="B80:C80"/>
    <mergeCell ref="B69:C69"/>
    <mergeCell ref="B70:C70"/>
    <mergeCell ref="B71:C71"/>
    <mergeCell ref="B72:C72"/>
    <mergeCell ref="B73:C73"/>
    <mergeCell ref="B74:C74"/>
    <mergeCell ref="B87:C87"/>
    <mergeCell ref="B88:C88"/>
    <mergeCell ref="B89:C89"/>
    <mergeCell ref="B90:C90"/>
    <mergeCell ref="B91:C91"/>
    <mergeCell ref="B92:C92"/>
    <mergeCell ref="B81:C81"/>
    <mergeCell ref="B82:C82"/>
    <mergeCell ref="B83:C83"/>
    <mergeCell ref="B84:C84"/>
    <mergeCell ref="B85:C85"/>
    <mergeCell ref="B86:C86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7:C117"/>
    <mergeCell ref="B118:C118"/>
    <mergeCell ref="B111:C111"/>
    <mergeCell ref="B112:C112"/>
    <mergeCell ref="B113:C113"/>
    <mergeCell ref="B114:C114"/>
    <mergeCell ref="B115:C115"/>
    <mergeCell ref="B116:C116"/>
    <mergeCell ref="B105:C105"/>
    <mergeCell ref="B106:C106"/>
    <mergeCell ref="B107:C107"/>
    <mergeCell ref="B108:C108"/>
    <mergeCell ref="B109:C109"/>
    <mergeCell ref="B110:C110"/>
  </mergeCells>
  <conditionalFormatting sqref="B10:K135">
    <cfRule type="expression" dxfId="55" priority="3" stopIfTrue="1">
      <formula>$I10&gt;0</formula>
    </cfRule>
    <cfRule type="expression" dxfId="54" priority="4" stopIfTrue="1">
      <formula>$K10=100%</formula>
    </cfRule>
  </conditionalFormatting>
  <conditionalFormatting sqref="D10:K135">
    <cfRule type="expression" dxfId="53" priority="1" stopIfTrue="1">
      <formula>$K10=""</formula>
    </cfRule>
    <cfRule type="expression" dxfId="52" priority="2" stopIfTrue="1">
      <formula>$K10&gt;100%</formula>
    </cfRule>
  </conditionalFormatting>
  <pageMargins left="0.7" right="0.7" top="0.75" bottom="0.75" header="0.3" footer="0.3"/>
  <pageSetup scale="78" orientation="portrait" verticalDpi="1200" r:id="rId1"/>
  <colBreaks count="1" manualBreakCount="1">
    <brk id="11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48"/>
  <sheetViews>
    <sheetView showGridLines="0" zoomScale="90" zoomScaleNormal="90" zoomScaleSheetLayoutView="92" workbookViewId="0">
      <selection activeCell="F24" sqref="F24"/>
    </sheetView>
  </sheetViews>
  <sheetFormatPr defaultColWidth="6.59765625" defaultRowHeight="15.75"/>
  <cols>
    <col min="1" max="1" width="4.8984375" style="1" customWidth="1"/>
    <col min="2" max="2" width="5.69921875" style="1" customWidth="1"/>
    <col min="3" max="3" width="15.19921875" style="1" customWidth="1"/>
    <col min="4" max="5" width="10.59765625" style="1" customWidth="1"/>
    <col min="6" max="9" width="10.69921875" style="1" customWidth="1"/>
    <col min="10" max="10" width="10.59765625" style="1" customWidth="1"/>
    <col min="11" max="11" width="5.09765625" style="18" customWidth="1"/>
    <col min="12" max="13" width="4.69921875" style="1" customWidth="1"/>
    <col min="14" max="16384" width="6.59765625" style="1"/>
  </cols>
  <sheetData>
    <row r="1" spans="1:13">
      <c r="A1" s="171" t="s">
        <v>18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</row>
    <row r="2" spans="1:13">
      <c r="A2" s="174"/>
      <c r="B2" s="153"/>
      <c r="C2" s="153"/>
      <c r="D2" s="153"/>
      <c r="E2" s="153"/>
      <c r="F2" s="153"/>
      <c r="G2" s="153"/>
      <c r="H2" s="153"/>
      <c r="I2" s="153"/>
      <c r="J2" s="153"/>
      <c r="K2" s="175"/>
    </row>
    <row r="3" spans="1:13">
      <c r="A3" s="74"/>
      <c r="B3" s="13" t="s">
        <v>7</v>
      </c>
      <c r="C3" s="35" t="str">
        <f>'SCHEDULE OF VALUE WORKSHEET'!$B$3</f>
        <v>Angeleno Investments</v>
      </c>
      <c r="F3" s="6"/>
      <c r="G3" s="28"/>
      <c r="H3" s="55"/>
      <c r="I3" s="41" t="s">
        <v>5</v>
      </c>
      <c r="J3" s="38">
        <f>SUM(J137)</f>
        <v>0</v>
      </c>
      <c r="K3" s="80" t="e">
        <f>SUM(J3)/J7</f>
        <v>#REF!</v>
      </c>
    </row>
    <row r="4" spans="1:13" ht="16.350000000000001" customHeight="1">
      <c r="A4" s="74"/>
      <c r="B4" s="34" t="s">
        <v>0</v>
      </c>
      <c r="C4" s="36">
        <f ca="1">TODAY()</f>
        <v>45978</v>
      </c>
      <c r="D4" s="36"/>
      <c r="E4" s="36"/>
      <c r="F4" s="15"/>
      <c r="G4" s="3"/>
      <c r="H4" s="75"/>
      <c r="I4" s="41" t="s">
        <v>13</v>
      </c>
      <c r="J4" s="38" t="e">
        <f>SUM(H137)</f>
        <v>#REF!</v>
      </c>
      <c r="K4" s="80"/>
    </row>
    <row r="5" spans="1:13">
      <c r="A5" s="74"/>
      <c r="B5" s="34" t="s">
        <v>6</v>
      </c>
      <c r="C5" s="37" t="str">
        <f>'SCHEDULE OF VALUE WORKSHEET'!B5</f>
        <v>10910 Huston Street</v>
      </c>
      <c r="F5" s="56"/>
      <c r="G5" s="57"/>
      <c r="H5" s="75"/>
      <c r="I5" s="41" t="s">
        <v>14</v>
      </c>
      <c r="J5" s="38" t="e">
        <f>SUM(D137)</f>
        <v>#REF!</v>
      </c>
      <c r="K5" s="80"/>
    </row>
    <row r="6" spans="1:13">
      <c r="A6" s="74"/>
      <c r="B6" s="34" t="s">
        <v>20</v>
      </c>
      <c r="C6" s="48">
        <f>SUM(I137)</f>
        <v>0</v>
      </c>
      <c r="D6" s="6"/>
      <c r="E6" s="6"/>
      <c r="F6" s="6"/>
      <c r="G6" s="57"/>
      <c r="H6" s="75"/>
      <c r="I6" s="42" t="s">
        <v>17</v>
      </c>
      <c r="J6" s="38">
        <f>SUM(F137)</f>
        <v>0</v>
      </c>
      <c r="K6" s="80"/>
    </row>
    <row r="7" spans="1:13">
      <c r="A7" s="78"/>
      <c r="G7" s="28"/>
      <c r="H7" s="20"/>
      <c r="I7" s="34" t="s">
        <v>15</v>
      </c>
      <c r="J7" s="29" t="e">
        <f>SUM(G137)</f>
        <v>#REF!</v>
      </c>
      <c r="K7" s="80"/>
    </row>
    <row r="8" spans="1:13">
      <c r="A8" s="19"/>
      <c r="B8" s="169" t="s">
        <v>1</v>
      </c>
      <c r="C8" s="170"/>
      <c r="D8" s="177" t="s">
        <v>8</v>
      </c>
      <c r="E8" s="102" t="s">
        <v>24</v>
      </c>
      <c r="F8" s="176" t="s">
        <v>26</v>
      </c>
      <c r="G8" s="177" t="s">
        <v>9</v>
      </c>
      <c r="H8" s="30" t="s">
        <v>10</v>
      </c>
      <c r="I8" s="31" t="s">
        <v>12</v>
      </c>
      <c r="J8" s="178" t="s">
        <v>3</v>
      </c>
      <c r="K8" s="179"/>
      <c r="L8" s="12"/>
      <c r="M8" s="12"/>
    </row>
    <row r="9" spans="1:13" ht="14.1" customHeight="1">
      <c r="A9" s="19"/>
      <c r="B9" s="146"/>
      <c r="C9" s="147"/>
      <c r="D9" s="162"/>
      <c r="E9" s="103" t="s">
        <v>25</v>
      </c>
      <c r="F9" s="164"/>
      <c r="G9" s="162"/>
      <c r="H9" s="32" t="s">
        <v>22</v>
      </c>
      <c r="I9" s="33">
        <v>8</v>
      </c>
      <c r="J9" s="180" t="s">
        <v>4</v>
      </c>
      <c r="K9" s="181"/>
      <c r="L9" s="12"/>
      <c r="M9" s="12"/>
    </row>
    <row r="10" spans="1:13" ht="14.1" customHeight="1">
      <c r="A10" s="4">
        <f>'SCHEDULE OF VALUE WORKSHEET'!A7</f>
        <v>1</v>
      </c>
      <c r="B10" s="142" t="str">
        <f>'SCHEDULE OF VALUE WORKSHEET'!B7</f>
        <v>SOFT COSTS</v>
      </c>
      <c r="C10" s="143"/>
      <c r="D10" s="104">
        <f>SUM('SCHEDULE OF VALUE WORKSHEET'!E7)</f>
        <v>0</v>
      </c>
      <c r="E10" s="104">
        <f>SUM('Draw #7'!E10:F10)</f>
        <v>0</v>
      </c>
      <c r="F10" s="105">
        <v>0</v>
      </c>
      <c r="G10" s="104">
        <f>SUM('Draw #7'!G10)+F10</f>
        <v>0</v>
      </c>
      <c r="H10" s="109">
        <f t="shared" ref="H10" si="0">SUM(G10-J10)</f>
        <v>0</v>
      </c>
      <c r="I10" s="110">
        <v>0</v>
      </c>
      <c r="J10" s="109">
        <f>SUM(I10+'Draw #7'!J10)</f>
        <v>0</v>
      </c>
      <c r="K10" s="101" t="str">
        <f t="shared" ref="K10" si="1">IF(J10=0,"",J10/G10)</f>
        <v/>
      </c>
      <c r="L10" s="9"/>
      <c r="M10" s="9"/>
    </row>
    <row r="11" spans="1:13" ht="14.1" customHeight="1">
      <c r="A11" s="4">
        <f>'SCHEDULE OF VALUE WORKSHEET'!A8</f>
        <v>2</v>
      </c>
      <c r="B11" s="142" t="str">
        <f>'SCHEDULE OF VALUE WORKSHEET'!B8</f>
        <v>Site Security</v>
      </c>
      <c r="C11" s="143"/>
      <c r="D11" s="104">
        <f>SUM('SCHEDULE OF VALUE WORKSHEET'!E8)</f>
        <v>10580.63</v>
      </c>
      <c r="E11" s="104">
        <f>SUM('Draw #7'!E11:F11)</f>
        <v>0</v>
      </c>
      <c r="F11" s="105">
        <v>0</v>
      </c>
      <c r="G11" s="104">
        <f>SUM('Draw #7'!G11)+F11</f>
        <v>10580.63</v>
      </c>
      <c r="H11" s="109">
        <f t="shared" ref="H11:H74" si="2">SUM(G11-J11)</f>
        <v>10580.63</v>
      </c>
      <c r="I11" s="110">
        <v>0</v>
      </c>
      <c r="J11" s="109">
        <f>SUM(I11+'Draw #7'!J11)</f>
        <v>0</v>
      </c>
      <c r="K11" s="101" t="str">
        <f t="shared" ref="K11:K74" si="3">IF(J11=0,"",J11/G11)</f>
        <v/>
      </c>
      <c r="L11" s="9"/>
      <c r="M11" s="9"/>
    </row>
    <row r="12" spans="1:13" ht="14.1" customHeight="1">
      <c r="A12" s="4">
        <f>'SCHEDULE OF VALUE WORKSHEET'!A9</f>
        <v>3</v>
      </c>
      <c r="B12" s="142" t="str">
        <f>'SCHEDULE OF VALUE WORKSHEET'!B9</f>
        <v>Soils Inspection</v>
      </c>
      <c r="C12" s="143"/>
      <c r="D12" s="104">
        <f>SUM('SCHEDULE OF VALUE WORKSHEET'!E9)</f>
        <v>0</v>
      </c>
      <c r="E12" s="104">
        <f>SUM('Draw #7'!E12:F12)</f>
        <v>0</v>
      </c>
      <c r="F12" s="105">
        <v>0</v>
      </c>
      <c r="G12" s="104">
        <f>SUM('Draw #7'!G12)+F12</f>
        <v>0</v>
      </c>
      <c r="H12" s="109">
        <f t="shared" si="2"/>
        <v>0</v>
      </c>
      <c r="I12" s="110">
        <v>0</v>
      </c>
      <c r="J12" s="109">
        <f>SUM(I12+'Draw #7'!J12)</f>
        <v>0</v>
      </c>
      <c r="K12" s="101" t="str">
        <f t="shared" si="3"/>
        <v/>
      </c>
      <c r="L12" s="9"/>
      <c r="M12" s="9"/>
    </row>
    <row r="13" spans="1:13" ht="14.1" customHeight="1">
      <c r="A13" s="4">
        <f>'SCHEDULE OF VALUE WORKSHEET'!A10</f>
        <v>4</v>
      </c>
      <c r="B13" s="142" t="str">
        <f>'SCHEDULE OF VALUE WORKSHEET'!B10</f>
        <v>Offsites (Transformer)</v>
      </c>
      <c r="C13" s="143"/>
      <c r="D13" s="104">
        <f>SUM('SCHEDULE OF VALUE WORKSHEET'!E10)</f>
        <v>20000</v>
      </c>
      <c r="E13" s="104">
        <f>SUM('Draw #7'!E13:F13)</f>
        <v>0</v>
      </c>
      <c r="F13" s="105">
        <v>0</v>
      </c>
      <c r="G13" s="104">
        <f>SUM('Draw #7'!G13)+F13</f>
        <v>20000</v>
      </c>
      <c r="H13" s="109">
        <f t="shared" si="2"/>
        <v>20000</v>
      </c>
      <c r="I13" s="110">
        <v>0</v>
      </c>
      <c r="J13" s="109">
        <f>SUM(I13+'Draw #7'!J13)</f>
        <v>0</v>
      </c>
      <c r="K13" s="101" t="str">
        <f t="shared" si="3"/>
        <v/>
      </c>
      <c r="L13" s="9"/>
      <c r="M13" s="9"/>
    </row>
    <row r="14" spans="1:13" ht="14.1" customHeight="1">
      <c r="A14" s="4">
        <f>'SCHEDULE OF VALUE WORKSHEET'!A11</f>
        <v>5</v>
      </c>
      <c r="B14" s="142" t="str">
        <f>'SCHEDULE OF VALUE WORKSHEET'!B11</f>
        <v>Plan Check Fees</v>
      </c>
      <c r="C14" s="143"/>
      <c r="D14" s="104">
        <f>SUM('SCHEDULE OF VALUE WORKSHEET'!E11)</f>
        <v>0</v>
      </c>
      <c r="E14" s="104">
        <f>SUM('Draw #7'!E14:F14)</f>
        <v>0</v>
      </c>
      <c r="F14" s="105">
        <v>0</v>
      </c>
      <c r="G14" s="104">
        <f>SUM('Draw #7'!G14)+F14</f>
        <v>0</v>
      </c>
      <c r="H14" s="109">
        <f t="shared" si="2"/>
        <v>0</v>
      </c>
      <c r="I14" s="110">
        <v>0</v>
      </c>
      <c r="J14" s="109">
        <f>SUM(I14+'Draw #7'!J14)</f>
        <v>0</v>
      </c>
      <c r="K14" s="101" t="str">
        <f t="shared" si="3"/>
        <v/>
      </c>
      <c r="L14" s="9"/>
      <c r="M14" s="9"/>
    </row>
    <row r="15" spans="1:13" ht="14.1" customHeight="1">
      <c r="A15" s="4">
        <f>'SCHEDULE OF VALUE WORKSHEET'!A12</f>
        <v>6</v>
      </c>
      <c r="B15" s="142" t="str">
        <f>'SCHEDULE OF VALUE WORKSHEET'!B12</f>
        <v>Permits</v>
      </c>
      <c r="C15" s="143"/>
      <c r="D15" s="104">
        <f>SUM('SCHEDULE OF VALUE WORKSHEET'!E12)</f>
        <v>0</v>
      </c>
      <c r="E15" s="104">
        <f>SUM('Draw #7'!E15:F15)</f>
        <v>0</v>
      </c>
      <c r="F15" s="105">
        <v>0</v>
      </c>
      <c r="G15" s="104">
        <f>SUM('Draw #7'!G15)+F15</f>
        <v>0</v>
      </c>
      <c r="H15" s="109">
        <f t="shared" si="2"/>
        <v>0</v>
      </c>
      <c r="I15" s="110">
        <v>0</v>
      </c>
      <c r="J15" s="109">
        <f>SUM(I15+'Draw #7'!J15)</f>
        <v>0</v>
      </c>
      <c r="K15" s="101" t="str">
        <f t="shared" si="3"/>
        <v/>
      </c>
      <c r="L15" s="9"/>
      <c r="M15" s="9"/>
    </row>
    <row r="16" spans="1:13" ht="14.1" customHeight="1">
      <c r="A16" s="4">
        <f>'SCHEDULE OF VALUE WORKSHEET'!A13</f>
        <v>7</v>
      </c>
      <c r="B16" s="142" t="str">
        <f>'SCHEDULE OF VALUE WORKSHEET'!B13</f>
        <v>Survey</v>
      </c>
      <c r="C16" s="143"/>
      <c r="D16" s="104">
        <f>SUM('SCHEDULE OF VALUE WORKSHEET'!E13)</f>
        <v>0</v>
      </c>
      <c r="E16" s="104">
        <f>SUM('Draw #7'!E16:F16)</f>
        <v>0</v>
      </c>
      <c r="F16" s="105">
        <v>0</v>
      </c>
      <c r="G16" s="104">
        <f>SUM('Draw #7'!G16)+F16</f>
        <v>0</v>
      </c>
      <c r="H16" s="109">
        <f t="shared" si="2"/>
        <v>0</v>
      </c>
      <c r="I16" s="110">
        <v>0</v>
      </c>
      <c r="J16" s="109">
        <f>SUM(I16+'Draw #7'!J16)</f>
        <v>0</v>
      </c>
      <c r="K16" s="101" t="str">
        <f t="shared" si="3"/>
        <v/>
      </c>
      <c r="L16" s="9"/>
      <c r="M16" s="9"/>
    </row>
    <row r="17" spans="1:13" ht="14.1" customHeight="1">
      <c r="A17" s="4">
        <f>'SCHEDULE OF VALUE WORKSHEET'!A14</f>
        <v>8</v>
      </c>
      <c r="B17" s="142" t="str">
        <f>'SCHEDULE OF VALUE WORKSHEET'!B14</f>
        <v>Soils Engineer</v>
      </c>
      <c r="C17" s="143"/>
      <c r="D17" s="104">
        <f>SUM('SCHEDULE OF VALUE WORKSHEET'!E14)</f>
        <v>0</v>
      </c>
      <c r="E17" s="104">
        <f>SUM('Draw #7'!E17:F17)</f>
        <v>0</v>
      </c>
      <c r="F17" s="105">
        <v>0</v>
      </c>
      <c r="G17" s="104">
        <f>SUM('Draw #7'!G17)+F17</f>
        <v>0</v>
      </c>
      <c r="H17" s="109">
        <f t="shared" si="2"/>
        <v>0</v>
      </c>
      <c r="I17" s="110">
        <v>0</v>
      </c>
      <c r="J17" s="109">
        <f>SUM(I17+'Draw #7'!J17)</f>
        <v>0</v>
      </c>
      <c r="K17" s="101" t="str">
        <f t="shared" si="3"/>
        <v/>
      </c>
      <c r="L17" s="9"/>
      <c r="M17" s="9"/>
    </row>
    <row r="18" spans="1:13" ht="14.1" customHeight="1">
      <c r="A18" s="4">
        <f>'SCHEDULE OF VALUE WORKSHEET'!A15</f>
        <v>9</v>
      </c>
      <c r="B18" s="142" t="str">
        <f>'SCHEDULE OF VALUE WORKSHEET'!B15</f>
        <v>Soils Permit + T24</v>
      </c>
      <c r="C18" s="143"/>
      <c r="D18" s="104">
        <f>SUM('SCHEDULE OF VALUE WORKSHEET'!E15)</f>
        <v>2500</v>
      </c>
      <c r="E18" s="104">
        <f>SUM('Draw #7'!E18:F18)</f>
        <v>0</v>
      </c>
      <c r="F18" s="105">
        <v>0</v>
      </c>
      <c r="G18" s="104">
        <f>SUM('Draw #7'!G18)+F18</f>
        <v>2500</v>
      </c>
      <c r="H18" s="109">
        <f t="shared" si="2"/>
        <v>2500</v>
      </c>
      <c r="I18" s="110">
        <v>0</v>
      </c>
      <c r="J18" s="109">
        <f>SUM(I18+'Draw #7'!J18)</f>
        <v>0</v>
      </c>
      <c r="K18" s="101" t="str">
        <f t="shared" si="3"/>
        <v/>
      </c>
      <c r="L18" s="9"/>
      <c r="M18" s="9"/>
    </row>
    <row r="19" spans="1:13" ht="14.1" customHeight="1">
      <c r="A19" s="4">
        <f>'SCHEDULE OF VALUE WORKSHEET'!A16</f>
        <v>10</v>
      </c>
      <c r="B19" s="142" t="str">
        <f>'SCHEDULE OF VALUE WORKSHEET'!B16</f>
        <v>Special Inspections - Deputy</v>
      </c>
      <c r="C19" s="143"/>
      <c r="D19" s="104">
        <f>SUM('SCHEDULE OF VALUE WORKSHEET'!E16)</f>
        <v>15000</v>
      </c>
      <c r="E19" s="104">
        <f>SUM('Draw #7'!E19:F19)</f>
        <v>0</v>
      </c>
      <c r="F19" s="105">
        <v>0</v>
      </c>
      <c r="G19" s="104">
        <f>SUM('Draw #7'!G19)+F19</f>
        <v>15000</v>
      </c>
      <c r="H19" s="109">
        <f t="shared" si="2"/>
        <v>15000</v>
      </c>
      <c r="I19" s="110">
        <v>0</v>
      </c>
      <c r="J19" s="109">
        <f>SUM(I19+'Draw #7'!J19)</f>
        <v>0</v>
      </c>
      <c r="K19" s="101" t="str">
        <f t="shared" si="3"/>
        <v/>
      </c>
      <c r="L19" s="9"/>
      <c r="M19" s="9"/>
    </row>
    <row r="20" spans="1:13" ht="14.1" customHeight="1">
      <c r="A20" s="4">
        <f>'SCHEDULE OF VALUE WORKSHEET'!A17</f>
        <v>11</v>
      </c>
      <c r="B20" s="142" t="str">
        <f>'SCHEDULE OF VALUE WORKSHEET'!B17</f>
        <v>Architect</v>
      </c>
      <c r="C20" s="143"/>
      <c r="D20" s="104">
        <f>SUM('SCHEDULE OF VALUE WORKSHEET'!E17)</f>
        <v>0</v>
      </c>
      <c r="E20" s="104">
        <f>SUM('Draw #7'!E20:F20)</f>
        <v>0</v>
      </c>
      <c r="F20" s="105">
        <v>0</v>
      </c>
      <c r="G20" s="104">
        <f>SUM('Draw #7'!G20)+F20</f>
        <v>0</v>
      </c>
      <c r="H20" s="109">
        <f t="shared" si="2"/>
        <v>0</v>
      </c>
      <c r="I20" s="110">
        <v>0</v>
      </c>
      <c r="J20" s="109">
        <f>SUM(I20+'Draw #7'!J20)</f>
        <v>0</v>
      </c>
      <c r="K20" s="101" t="str">
        <f t="shared" si="3"/>
        <v/>
      </c>
      <c r="L20" s="9"/>
      <c r="M20" s="9"/>
    </row>
    <row r="21" spans="1:13" ht="14.1" customHeight="1">
      <c r="A21" s="4">
        <f>'SCHEDULE OF VALUE WORKSHEET'!A18</f>
        <v>12</v>
      </c>
      <c r="B21" s="142" t="str">
        <f>'SCHEDULE OF VALUE WORKSHEET'!B18</f>
        <v>Structural Engineer</v>
      </c>
      <c r="C21" s="143"/>
      <c r="D21" s="104">
        <f>SUM('SCHEDULE OF VALUE WORKSHEET'!E18)</f>
        <v>0</v>
      </c>
      <c r="E21" s="104">
        <f>SUM('Draw #7'!E21:F21)</f>
        <v>0</v>
      </c>
      <c r="F21" s="105">
        <v>0</v>
      </c>
      <c r="G21" s="104">
        <f>SUM('Draw #7'!G21)+F21</f>
        <v>0</v>
      </c>
      <c r="H21" s="109">
        <f t="shared" si="2"/>
        <v>0</v>
      </c>
      <c r="I21" s="110">
        <v>0</v>
      </c>
      <c r="J21" s="109">
        <f>SUM(I21+'Draw #7'!J21)</f>
        <v>0</v>
      </c>
      <c r="K21" s="101" t="str">
        <f t="shared" si="3"/>
        <v/>
      </c>
      <c r="L21" s="9"/>
      <c r="M21" s="9"/>
    </row>
    <row r="22" spans="1:13" ht="14.1" customHeight="1">
      <c r="A22" s="4">
        <f>'SCHEDULE OF VALUE WORKSHEET'!A19</f>
        <v>13</v>
      </c>
      <c r="B22" s="142" t="str">
        <f>'SCHEDULE OF VALUE WORKSHEET'!B19</f>
        <v>Structural Observation</v>
      </c>
      <c r="C22" s="143"/>
      <c r="D22" s="104">
        <f>SUM('SCHEDULE OF VALUE WORKSHEET'!E19)</f>
        <v>8000</v>
      </c>
      <c r="E22" s="104">
        <f>SUM('Draw #7'!E22:F22)</f>
        <v>0</v>
      </c>
      <c r="F22" s="105">
        <v>0</v>
      </c>
      <c r="G22" s="104">
        <f>SUM('Draw #7'!G22)+F22</f>
        <v>8000</v>
      </c>
      <c r="H22" s="109">
        <f t="shared" si="2"/>
        <v>8000</v>
      </c>
      <c r="I22" s="110">
        <v>0</v>
      </c>
      <c r="J22" s="109">
        <f>SUM(I22+'Draw #7'!J22)</f>
        <v>0</v>
      </c>
      <c r="K22" s="101" t="str">
        <f t="shared" si="3"/>
        <v/>
      </c>
      <c r="L22" s="9"/>
      <c r="M22" s="9"/>
    </row>
    <row r="23" spans="1:13" ht="14.1" customHeight="1">
      <c r="A23" s="4">
        <f>'SCHEDULE OF VALUE WORKSHEET'!A20</f>
        <v>14</v>
      </c>
      <c r="B23" s="142" t="str">
        <f>'SCHEDULE OF VALUE WORKSHEET'!B20</f>
        <v>Civil Engineering</v>
      </c>
      <c r="C23" s="143"/>
      <c r="D23" s="104">
        <f>SUM('SCHEDULE OF VALUE WORKSHEET'!E20)</f>
        <v>0</v>
      </c>
      <c r="E23" s="104">
        <f>SUM('Draw #7'!E23:F23)</f>
        <v>0</v>
      </c>
      <c r="F23" s="105">
        <v>0</v>
      </c>
      <c r="G23" s="104">
        <f>SUM('Draw #7'!G23)+F23</f>
        <v>0</v>
      </c>
      <c r="H23" s="109">
        <f t="shared" si="2"/>
        <v>0</v>
      </c>
      <c r="I23" s="110">
        <v>0</v>
      </c>
      <c r="J23" s="109">
        <f>SUM(I23+'Draw #7'!J23)</f>
        <v>0</v>
      </c>
      <c r="K23" s="101" t="str">
        <f t="shared" si="3"/>
        <v/>
      </c>
      <c r="L23" s="9"/>
      <c r="M23" s="9"/>
    </row>
    <row r="24" spans="1:13" ht="14.1" customHeight="1">
      <c r="A24" s="4">
        <f>'SCHEDULE OF VALUE WORKSHEET'!A21</f>
        <v>15</v>
      </c>
      <c r="B24" s="142" t="str">
        <f>'SCHEDULE OF VALUE WORKSHEET'!B21</f>
        <v>Grading Permit</v>
      </c>
      <c r="C24" s="143"/>
      <c r="D24" s="104">
        <f>SUM('SCHEDULE OF VALUE WORKSHEET'!E21)</f>
        <v>0</v>
      </c>
      <c r="E24" s="104">
        <f>SUM('Draw #7'!E24:F24)</f>
        <v>0</v>
      </c>
      <c r="F24" s="105">
        <v>0</v>
      </c>
      <c r="G24" s="104">
        <f>SUM('Draw #7'!G24)+F24</f>
        <v>0</v>
      </c>
      <c r="H24" s="109">
        <f t="shared" si="2"/>
        <v>0</v>
      </c>
      <c r="I24" s="110">
        <v>0</v>
      </c>
      <c r="J24" s="109">
        <f>SUM(I24+'Draw #7'!J24)</f>
        <v>0</v>
      </c>
      <c r="K24" s="101" t="str">
        <f t="shared" si="3"/>
        <v/>
      </c>
      <c r="L24" s="9"/>
      <c r="M24" s="9"/>
    </row>
    <row r="25" spans="1:13" ht="14.1" customHeight="1">
      <c r="A25" s="4">
        <f>'SCHEDULE OF VALUE WORKSHEET'!A22</f>
        <v>16</v>
      </c>
      <c r="B25" s="142" t="str">
        <f>'SCHEDULE OF VALUE WORKSHEET'!B22</f>
        <v>Landscape Architect/Designer</v>
      </c>
      <c r="C25" s="143"/>
      <c r="D25" s="104">
        <f>SUM('SCHEDULE OF VALUE WORKSHEET'!E22)</f>
        <v>0</v>
      </c>
      <c r="E25" s="104">
        <f>SUM('Draw #7'!E25:F25)</f>
        <v>0</v>
      </c>
      <c r="F25" s="105">
        <v>0</v>
      </c>
      <c r="G25" s="104">
        <f>SUM('Draw #7'!G25)+F25</f>
        <v>0</v>
      </c>
      <c r="H25" s="109">
        <f t="shared" si="2"/>
        <v>0</v>
      </c>
      <c r="I25" s="110">
        <v>0</v>
      </c>
      <c r="J25" s="109">
        <f>SUM(I25+'Draw #7'!J25)</f>
        <v>0</v>
      </c>
      <c r="K25" s="101" t="str">
        <f t="shared" si="3"/>
        <v/>
      </c>
      <c r="L25" s="9"/>
      <c r="M25" s="9"/>
    </row>
    <row r="26" spans="1:13" ht="14.1" customHeight="1">
      <c r="A26" s="4">
        <f>'SCHEDULE OF VALUE WORKSHEET'!A23</f>
        <v>17</v>
      </c>
      <c r="B26" s="142" t="str">
        <f>'SCHEDULE OF VALUE WORKSHEET'!B23</f>
        <v>Driveway Apron Permit</v>
      </c>
      <c r="C26" s="143"/>
      <c r="D26" s="104">
        <f>SUM('SCHEDULE OF VALUE WORKSHEET'!E23)</f>
        <v>2500</v>
      </c>
      <c r="E26" s="104">
        <f>SUM('Draw #7'!E26:F26)</f>
        <v>0</v>
      </c>
      <c r="F26" s="105">
        <v>0</v>
      </c>
      <c r="G26" s="104">
        <f>SUM('Draw #7'!G26)+F26</f>
        <v>2500</v>
      </c>
      <c r="H26" s="109">
        <f t="shared" si="2"/>
        <v>2500</v>
      </c>
      <c r="I26" s="110">
        <v>0</v>
      </c>
      <c r="J26" s="109">
        <f>SUM(I26+'Draw #7'!J26)</f>
        <v>0</v>
      </c>
      <c r="K26" s="101" t="str">
        <f t="shared" si="3"/>
        <v/>
      </c>
      <c r="L26" s="9"/>
      <c r="M26" s="9"/>
    </row>
    <row r="27" spans="1:13" ht="14.1" customHeight="1">
      <c r="A27" s="4">
        <f>'SCHEDULE OF VALUE WORKSHEET'!A24</f>
        <v>18</v>
      </c>
      <c r="B27" s="142" t="str">
        <f>'SCHEDULE OF VALUE WORKSHEET'!B24</f>
        <v>Punch List - Misc.</v>
      </c>
      <c r="C27" s="143"/>
      <c r="D27" s="104">
        <f>SUM('SCHEDULE OF VALUE WORKSHEET'!E24)</f>
        <v>21962.77</v>
      </c>
      <c r="E27" s="104">
        <f>SUM('Draw #7'!E27:F27)</f>
        <v>0</v>
      </c>
      <c r="F27" s="105">
        <v>0</v>
      </c>
      <c r="G27" s="104">
        <f>SUM('Draw #7'!G27)+F27</f>
        <v>21962.77</v>
      </c>
      <c r="H27" s="109">
        <f t="shared" si="2"/>
        <v>21962.77</v>
      </c>
      <c r="I27" s="110">
        <v>0</v>
      </c>
      <c r="J27" s="109">
        <f>SUM(I27+'Draw #7'!J27)</f>
        <v>0</v>
      </c>
      <c r="K27" s="101" t="str">
        <f t="shared" si="3"/>
        <v/>
      </c>
      <c r="L27" s="9"/>
      <c r="M27" s="9"/>
    </row>
    <row r="28" spans="1:13" ht="14.1" customHeight="1">
      <c r="A28" s="4">
        <f>'SCHEDULE OF VALUE WORKSHEET'!A25</f>
        <v>19</v>
      </c>
      <c r="B28" s="142" t="str">
        <f>'SCHEDULE OF VALUE WORKSHEET'!B25</f>
        <v>EBM, Low Voltage, Landscape, Waterproofing CA</v>
      </c>
      <c r="C28" s="143"/>
      <c r="D28" s="104">
        <f>SUM('SCHEDULE OF VALUE WORKSHEET'!E25)</f>
        <v>0</v>
      </c>
      <c r="E28" s="104">
        <f>SUM('Draw #7'!E28:F28)</f>
        <v>0</v>
      </c>
      <c r="F28" s="105">
        <v>0</v>
      </c>
      <c r="G28" s="104">
        <f>SUM('Draw #7'!G28)+F28</f>
        <v>0</v>
      </c>
      <c r="H28" s="109">
        <f t="shared" si="2"/>
        <v>0</v>
      </c>
      <c r="I28" s="110">
        <v>0</v>
      </c>
      <c r="J28" s="109">
        <f>SUM(I28+'Draw #7'!J28)</f>
        <v>0</v>
      </c>
      <c r="K28" s="101" t="str">
        <f t="shared" si="3"/>
        <v/>
      </c>
      <c r="L28" s="9"/>
      <c r="M28" s="9"/>
    </row>
    <row r="29" spans="1:13" ht="14.1" customHeight="1">
      <c r="A29" s="4">
        <f>'SCHEDULE OF VALUE WORKSHEET'!A26</f>
        <v>20</v>
      </c>
      <c r="B29" s="142" t="str">
        <f>'SCHEDULE OF VALUE WORKSHEET'!B26</f>
        <v>Project Accounting/Tax Filing</v>
      </c>
      <c r="C29" s="143"/>
      <c r="D29" s="104">
        <f>SUM('SCHEDULE OF VALUE WORKSHEET'!E26)</f>
        <v>12994.01</v>
      </c>
      <c r="E29" s="104">
        <f>SUM('Draw #7'!E29:F29)</f>
        <v>0</v>
      </c>
      <c r="F29" s="105">
        <v>0</v>
      </c>
      <c r="G29" s="104">
        <f>SUM('Draw #7'!G29)+F29</f>
        <v>12994.01</v>
      </c>
      <c r="H29" s="109">
        <f t="shared" si="2"/>
        <v>12994.01</v>
      </c>
      <c r="I29" s="110">
        <v>0</v>
      </c>
      <c r="J29" s="109">
        <f>SUM(I29+'Draw #7'!J29)</f>
        <v>0</v>
      </c>
      <c r="K29" s="101" t="str">
        <f t="shared" si="3"/>
        <v/>
      </c>
      <c r="L29" s="9"/>
      <c r="M29" s="9"/>
    </row>
    <row r="30" spans="1:13" ht="14.1" customHeight="1">
      <c r="A30" s="4">
        <f>'SCHEDULE OF VALUE WORKSHEET'!A27</f>
        <v>21</v>
      </c>
      <c r="B30" s="142" t="str">
        <f>'SCHEDULE OF VALUE WORKSHEET'!B27</f>
        <v>Legal &amp; Professional Fees</v>
      </c>
      <c r="C30" s="143"/>
      <c r="D30" s="104">
        <f>SUM('SCHEDULE OF VALUE WORKSHEET'!E27)</f>
        <v>873.38999999999942</v>
      </c>
      <c r="E30" s="104">
        <f>SUM('Draw #7'!E30:F30)</f>
        <v>0</v>
      </c>
      <c r="F30" s="105">
        <v>0</v>
      </c>
      <c r="G30" s="104">
        <f>SUM('Draw #7'!G30)+F30</f>
        <v>873.38999999999942</v>
      </c>
      <c r="H30" s="109">
        <f t="shared" si="2"/>
        <v>873.38999999999942</v>
      </c>
      <c r="I30" s="110">
        <v>0</v>
      </c>
      <c r="J30" s="109">
        <f>SUM(I30+'Draw #7'!J30)</f>
        <v>0</v>
      </c>
      <c r="K30" s="101" t="str">
        <f t="shared" si="3"/>
        <v/>
      </c>
      <c r="L30" s="9"/>
      <c r="M30" s="9"/>
    </row>
    <row r="31" spans="1:13" ht="14.1" customHeight="1">
      <c r="A31" s="4">
        <f>'SCHEDULE OF VALUE WORKSHEET'!A28</f>
        <v>22</v>
      </c>
      <c r="B31" s="142" t="str">
        <f>'SCHEDULE OF VALUE WORKSHEET'!B28</f>
        <v>Sewer CCTV and inspection</v>
      </c>
      <c r="C31" s="143"/>
      <c r="D31" s="104">
        <f>SUM('SCHEDULE OF VALUE WORKSHEET'!E28)</f>
        <v>0</v>
      </c>
      <c r="E31" s="104">
        <f>SUM('Draw #7'!E31:F31)</f>
        <v>0</v>
      </c>
      <c r="F31" s="105">
        <v>0</v>
      </c>
      <c r="G31" s="104">
        <f>SUM('Draw #7'!G31)+F31</f>
        <v>0</v>
      </c>
      <c r="H31" s="109">
        <f t="shared" si="2"/>
        <v>0</v>
      </c>
      <c r="I31" s="110">
        <v>0</v>
      </c>
      <c r="J31" s="109">
        <f>SUM(I31+'Draw #7'!J31)</f>
        <v>0</v>
      </c>
      <c r="K31" s="101" t="str">
        <f t="shared" si="3"/>
        <v/>
      </c>
      <c r="L31" s="9"/>
      <c r="M31" s="9"/>
    </row>
    <row r="32" spans="1:13" ht="14.1" customHeight="1">
      <c r="A32" s="4">
        <f>'SCHEDULE OF VALUE WORKSHEET'!A29</f>
        <v>23</v>
      </c>
      <c r="B32" s="142" t="str">
        <f>'SCHEDULE OF VALUE WORKSHEET'!B29</f>
        <v>Environmental Phase I</v>
      </c>
      <c r="C32" s="143"/>
      <c r="D32" s="104">
        <f>SUM('SCHEDULE OF VALUE WORKSHEET'!E29)</f>
        <v>0</v>
      </c>
      <c r="E32" s="104">
        <f>SUM('Draw #7'!E32:F32)</f>
        <v>0</v>
      </c>
      <c r="F32" s="105">
        <v>0</v>
      </c>
      <c r="G32" s="104">
        <f>SUM('Draw #7'!G32)+F32</f>
        <v>0</v>
      </c>
      <c r="H32" s="109">
        <f t="shared" si="2"/>
        <v>0</v>
      </c>
      <c r="I32" s="110">
        <v>0</v>
      </c>
      <c r="J32" s="109">
        <f>SUM(I32+'Draw #7'!J32)</f>
        <v>0</v>
      </c>
      <c r="K32" s="101" t="str">
        <f t="shared" si="3"/>
        <v/>
      </c>
      <c r="L32" s="9"/>
      <c r="M32" s="9"/>
    </row>
    <row r="33" spans="1:13" ht="14.1" customHeight="1">
      <c r="A33" s="4">
        <f>'SCHEDULE OF VALUE WORKSHEET'!A30</f>
        <v>24</v>
      </c>
      <c r="B33" s="142" t="str">
        <f>'SCHEDULE OF VALUE WORKSHEET'!B30</f>
        <v>Dry Utility Consultant</v>
      </c>
      <c r="C33" s="143"/>
      <c r="D33" s="104">
        <f>SUM('SCHEDULE OF VALUE WORKSHEET'!E30)</f>
        <v>0</v>
      </c>
      <c r="E33" s="104">
        <f>SUM('Draw #7'!E33:F33)</f>
        <v>0</v>
      </c>
      <c r="F33" s="105">
        <v>0</v>
      </c>
      <c r="G33" s="104">
        <f>SUM('Draw #7'!G33)+F33</f>
        <v>0</v>
      </c>
      <c r="H33" s="109">
        <f t="shared" si="2"/>
        <v>0</v>
      </c>
      <c r="I33" s="110">
        <v>0</v>
      </c>
      <c r="J33" s="109">
        <f>SUM(I33+'Draw #7'!J33)</f>
        <v>0</v>
      </c>
      <c r="K33" s="101" t="str">
        <f t="shared" si="3"/>
        <v/>
      </c>
      <c r="L33" s="9"/>
      <c r="M33" s="9"/>
    </row>
    <row r="34" spans="1:13" ht="14.1" customHeight="1">
      <c r="A34" s="4">
        <f>'SCHEDULE OF VALUE WORKSHEET'!A31</f>
        <v>25</v>
      </c>
      <c r="B34" s="142" t="str">
        <f>'SCHEDULE OF VALUE WORKSHEET'!B31</f>
        <v>Dry Utility Survey</v>
      </c>
      <c r="C34" s="143"/>
      <c r="D34" s="104">
        <f>SUM('SCHEDULE OF VALUE WORKSHEET'!E31)</f>
        <v>5000</v>
      </c>
      <c r="E34" s="104">
        <f>SUM('Draw #7'!E34:F34)</f>
        <v>0</v>
      </c>
      <c r="F34" s="105">
        <v>0</v>
      </c>
      <c r="G34" s="104">
        <f>SUM('Draw #7'!G34)+F34</f>
        <v>5000</v>
      </c>
      <c r="H34" s="109">
        <f t="shared" si="2"/>
        <v>5000</v>
      </c>
      <c r="I34" s="110">
        <v>0</v>
      </c>
      <c r="J34" s="109">
        <f>SUM(I34+'Draw #7'!J34)</f>
        <v>0</v>
      </c>
      <c r="K34" s="101" t="str">
        <f t="shared" si="3"/>
        <v/>
      </c>
      <c r="L34" s="9"/>
      <c r="M34" s="9"/>
    </row>
    <row r="35" spans="1:13" ht="14.1" customHeight="1">
      <c r="A35" s="4">
        <f>'SCHEDULE OF VALUE WORKSHEET'!A32</f>
        <v>26</v>
      </c>
      <c r="B35" s="142" t="str">
        <f>'SCHEDULE OF VALUE WORKSHEET'!B32</f>
        <v>MEP</v>
      </c>
      <c r="C35" s="143"/>
      <c r="D35" s="104">
        <f>SUM('SCHEDULE OF VALUE WORKSHEET'!E32)</f>
        <v>0</v>
      </c>
      <c r="E35" s="104">
        <f>SUM('Draw #7'!E35:F35)</f>
        <v>0</v>
      </c>
      <c r="F35" s="105">
        <v>0</v>
      </c>
      <c r="G35" s="104">
        <f>SUM('Draw #7'!G35)+F35</f>
        <v>0</v>
      </c>
      <c r="H35" s="109">
        <f t="shared" si="2"/>
        <v>0</v>
      </c>
      <c r="I35" s="110">
        <v>0</v>
      </c>
      <c r="J35" s="109">
        <f>SUM(I35+'Draw #7'!J35)</f>
        <v>0</v>
      </c>
      <c r="K35" s="101" t="str">
        <f t="shared" si="3"/>
        <v/>
      </c>
      <c r="L35" s="9"/>
      <c r="M35" s="9"/>
    </row>
    <row r="36" spans="1:13" ht="14.1" customHeight="1">
      <c r="A36" s="4">
        <f>'SCHEDULE OF VALUE WORKSHEET'!A33</f>
        <v>27</v>
      </c>
      <c r="B36" s="142" t="str">
        <f>'SCHEDULE OF VALUE WORKSHEET'!B33</f>
        <v>Civil Construction Administration</v>
      </c>
      <c r="C36" s="143"/>
      <c r="D36" s="104">
        <f>SUM('SCHEDULE OF VALUE WORKSHEET'!E33)</f>
        <v>5000</v>
      </c>
      <c r="E36" s="104">
        <f>SUM('Draw #7'!E36:F36)</f>
        <v>0</v>
      </c>
      <c r="F36" s="105">
        <v>0</v>
      </c>
      <c r="G36" s="104">
        <f>SUM('Draw #7'!G36)+F36</f>
        <v>5000</v>
      </c>
      <c r="H36" s="109">
        <f t="shared" si="2"/>
        <v>5000</v>
      </c>
      <c r="I36" s="110">
        <v>0</v>
      </c>
      <c r="J36" s="109">
        <f>SUM(I36+'Draw #7'!J36)</f>
        <v>0</v>
      </c>
      <c r="K36" s="101" t="str">
        <f t="shared" si="3"/>
        <v/>
      </c>
      <c r="L36" s="9"/>
      <c r="M36" s="9"/>
    </row>
    <row r="37" spans="1:13" ht="14.1" customHeight="1">
      <c r="A37" s="4">
        <f>'SCHEDULE OF VALUE WORKSHEET'!A34</f>
        <v>28</v>
      </c>
      <c r="B37" s="142" t="str">
        <f>'SCHEDULE OF VALUE WORKSHEET'!B34</f>
        <v>Permit Clearances &amp; Agency Reviews</v>
      </c>
      <c r="C37" s="143"/>
      <c r="D37" s="104">
        <f>SUM('SCHEDULE OF VALUE WORKSHEET'!E34)</f>
        <v>0</v>
      </c>
      <c r="E37" s="104">
        <f>SUM('Draw #7'!E37:F37)</f>
        <v>0</v>
      </c>
      <c r="F37" s="105">
        <v>0</v>
      </c>
      <c r="G37" s="104">
        <f>SUM('Draw #7'!G37)+F37</f>
        <v>0</v>
      </c>
      <c r="H37" s="109">
        <f t="shared" si="2"/>
        <v>0</v>
      </c>
      <c r="I37" s="110">
        <v>0</v>
      </c>
      <c r="J37" s="109">
        <f>SUM(I37+'Draw #7'!J37)</f>
        <v>0</v>
      </c>
      <c r="K37" s="101" t="str">
        <f t="shared" si="3"/>
        <v/>
      </c>
      <c r="L37" s="9"/>
      <c r="M37" s="9"/>
    </row>
    <row r="38" spans="1:13" ht="14.1" customHeight="1">
      <c r="A38" s="4">
        <f>'SCHEDULE OF VALUE WORKSHEET'!A35</f>
        <v>29</v>
      </c>
      <c r="B38" s="142" t="str">
        <f>'SCHEDULE OF VALUE WORKSHEET'!B35</f>
        <v>Demo Permit Fees</v>
      </c>
      <c r="C38" s="143"/>
      <c r="D38" s="104">
        <f>SUM('SCHEDULE OF VALUE WORKSHEET'!E35)</f>
        <v>500</v>
      </c>
      <c r="E38" s="104">
        <f>SUM('Draw #7'!E38:F38)</f>
        <v>0</v>
      </c>
      <c r="F38" s="105">
        <v>0</v>
      </c>
      <c r="G38" s="104">
        <f>SUM('Draw #7'!G38)+F38</f>
        <v>500</v>
      </c>
      <c r="H38" s="109">
        <f t="shared" si="2"/>
        <v>500</v>
      </c>
      <c r="I38" s="110">
        <v>0</v>
      </c>
      <c r="J38" s="109">
        <f>SUM(I38+'Draw #7'!J38)</f>
        <v>0</v>
      </c>
      <c r="K38" s="101" t="str">
        <f t="shared" si="3"/>
        <v/>
      </c>
      <c r="L38" s="9"/>
      <c r="M38" s="9"/>
    </row>
    <row r="39" spans="1:13" ht="14.1" customHeight="1">
      <c r="A39" s="4">
        <f>'SCHEDULE OF VALUE WORKSHEET'!A36</f>
        <v>30</v>
      </c>
      <c r="B39" s="142" t="str">
        <f>'SCHEDULE OF VALUE WORKSHEET'!B36</f>
        <v>MEP Fees</v>
      </c>
      <c r="C39" s="143"/>
      <c r="D39" s="104">
        <f>SUM('SCHEDULE OF VALUE WORKSHEET'!E36)</f>
        <v>0</v>
      </c>
      <c r="E39" s="104">
        <f>SUM('Draw #7'!E39:F39)</f>
        <v>0</v>
      </c>
      <c r="F39" s="105">
        <v>0</v>
      </c>
      <c r="G39" s="104">
        <f>SUM('Draw #7'!G39)+F39</f>
        <v>0</v>
      </c>
      <c r="H39" s="109">
        <f t="shared" si="2"/>
        <v>0</v>
      </c>
      <c r="I39" s="110">
        <v>0</v>
      </c>
      <c r="J39" s="109">
        <f>SUM(I39+'Draw #7'!J39)</f>
        <v>0</v>
      </c>
      <c r="K39" s="101" t="str">
        <f t="shared" si="3"/>
        <v/>
      </c>
      <c r="L39" s="9"/>
      <c r="M39" s="9"/>
    </row>
    <row r="40" spans="1:13" ht="14.1" customHeight="1">
      <c r="A40" s="4">
        <f>'SCHEDULE OF VALUE WORKSHEET'!A37</f>
        <v>31</v>
      </c>
      <c r="B40" s="142" t="str">
        <f>'SCHEDULE OF VALUE WORKSHEET'!B37</f>
        <v>Agency Signoffs</v>
      </c>
      <c r="C40" s="143"/>
      <c r="D40" s="104">
        <f>SUM('SCHEDULE OF VALUE WORKSHEET'!E37)</f>
        <v>0</v>
      </c>
      <c r="E40" s="104">
        <f>SUM('Draw #7'!E40:F40)</f>
        <v>0</v>
      </c>
      <c r="F40" s="105">
        <v>0</v>
      </c>
      <c r="G40" s="104">
        <f>SUM('Draw #7'!G40)+F40</f>
        <v>0</v>
      </c>
      <c r="H40" s="109">
        <f t="shared" si="2"/>
        <v>0</v>
      </c>
      <c r="I40" s="110">
        <v>0</v>
      </c>
      <c r="J40" s="109">
        <f>SUM(I40+'Draw #7'!J40)</f>
        <v>0</v>
      </c>
      <c r="K40" s="101" t="str">
        <f t="shared" si="3"/>
        <v/>
      </c>
      <c r="L40" s="9"/>
      <c r="M40" s="9"/>
    </row>
    <row r="41" spans="1:13" ht="14.1" customHeight="1">
      <c r="A41" s="4">
        <f>'SCHEDULE OF VALUE WORKSHEET'!A38</f>
        <v>32</v>
      </c>
      <c r="B41" s="142" t="str">
        <f>'SCHEDULE OF VALUE WORKSHEET'!B38</f>
        <v>Specifications Writer Consultant</v>
      </c>
      <c r="C41" s="143"/>
      <c r="D41" s="104">
        <f>SUM('SCHEDULE OF VALUE WORKSHEET'!E38)</f>
        <v>2000</v>
      </c>
      <c r="E41" s="104">
        <f>SUM('Draw #7'!E41:F41)</f>
        <v>0</v>
      </c>
      <c r="F41" s="105">
        <v>0</v>
      </c>
      <c r="G41" s="104">
        <f>SUM('Draw #7'!G41)+F41</f>
        <v>2000</v>
      </c>
      <c r="H41" s="109">
        <f t="shared" si="2"/>
        <v>2000</v>
      </c>
      <c r="I41" s="110">
        <v>0</v>
      </c>
      <c r="J41" s="109">
        <f>SUM(I41+'Draw #7'!J41)</f>
        <v>0</v>
      </c>
      <c r="K41" s="101" t="str">
        <f t="shared" si="3"/>
        <v/>
      </c>
      <c r="L41" s="9"/>
      <c r="M41" s="9"/>
    </row>
    <row r="42" spans="1:13" ht="14.1" customHeight="1">
      <c r="A42" s="4">
        <f>'SCHEDULE OF VALUE WORKSHEET'!A39</f>
        <v>33</v>
      </c>
      <c r="B42" s="142" t="str">
        <f>'SCHEDULE OF VALUE WORKSHEET'!B39</f>
        <v>Construction Consultant</v>
      </c>
      <c r="C42" s="143"/>
      <c r="D42" s="104">
        <f>SUM('SCHEDULE OF VALUE WORKSHEET'!E39)</f>
        <v>0</v>
      </c>
      <c r="E42" s="104">
        <f>SUM('Draw #7'!E42:F42)</f>
        <v>0</v>
      </c>
      <c r="F42" s="105">
        <v>0</v>
      </c>
      <c r="G42" s="104">
        <f>SUM('Draw #7'!G42)+F42</f>
        <v>0</v>
      </c>
      <c r="H42" s="109">
        <f t="shared" si="2"/>
        <v>0</v>
      </c>
      <c r="I42" s="110">
        <v>0</v>
      </c>
      <c r="J42" s="109">
        <f>SUM(I42+'Draw #7'!J42)</f>
        <v>0</v>
      </c>
      <c r="K42" s="101" t="str">
        <f t="shared" si="3"/>
        <v/>
      </c>
      <c r="L42" s="9"/>
      <c r="M42" s="9"/>
    </row>
    <row r="43" spans="1:13" ht="14.1" customHeight="1">
      <c r="A43" s="4">
        <f>'SCHEDULE OF VALUE WORKSHEET'!A40</f>
        <v>34</v>
      </c>
      <c r="B43" s="142" t="str">
        <f>'SCHEDULE OF VALUE WORKSHEET'!B40</f>
        <v>Low Voltage Consultant</v>
      </c>
      <c r="C43" s="143"/>
      <c r="D43" s="104">
        <f>SUM('SCHEDULE OF VALUE WORKSHEET'!E40)</f>
        <v>15524</v>
      </c>
      <c r="E43" s="104">
        <f>SUM('Draw #7'!E43:F43)</f>
        <v>0</v>
      </c>
      <c r="F43" s="105">
        <v>0</v>
      </c>
      <c r="G43" s="104">
        <f>SUM('Draw #7'!G43)+F43</f>
        <v>15524</v>
      </c>
      <c r="H43" s="109">
        <f t="shared" si="2"/>
        <v>15524</v>
      </c>
      <c r="I43" s="110">
        <v>0</v>
      </c>
      <c r="J43" s="109">
        <f>SUM(I43+'Draw #7'!J43)</f>
        <v>0</v>
      </c>
      <c r="K43" s="101" t="str">
        <f t="shared" si="3"/>
        <v/>
      </c>
      <c r="L43" s="9"/>
      <c r="M43" s="9"/>
    </row>
    <row r="44" spans="1:13" ht="14.1" customHeight="1">
      <c r="A44" s="4">
        <f>'SCHEDULE OF VALUE WORKSHEET'!A41</f>
        <v>35</v>
      </c>
      <c r="B44" s="142" t="str">
        <f>'SCHEDULE OF VALUE WORKSHEET'!B41</f>
        <v>Photovoltaic Consultant</v>
      </c>
      <c r="C44" s="143"/>
      <c r="D44" s="104">
        <f>SUM('SCHEDULE OF VALUE WORKSHEET'!E41)</f>
        <v>5000</v>
      </c>
      <c r="E44" s="104">
        <f>SUM('Draw #7'!E44:F44)</f>
        <v>0</v>
      </c>
      <c r="F44" s="105">
        <v>0</v>
      </c>
      <c r="G44" s="104">
        <f>SUM('Draw #7'!G44)+F44</f>
        <v>5000</v>
      </c>
      <c r="H44" s="109">
        <f t="shared" si="2"/>
        <v>5000</v>
      </c>
      <c r="I44" s="110">
        <v>0</v>
      </c>
      <c r="J44" s="109">
        <f>SUM(I44+'Draw #7'!J44)</f>
        <v>0</v>
      </c>
      <c r="K44" s="101" t="str">
        <f t="shared" si="3"/>
        <v/>
      </c>
      <c r="L44" s="9"/>
      <c r="M44" s="9"/>
    </row>
    <row r="45" spans="1:13" ht="14.1" customHeight="1">
      <c r="A45" s="4">
        <f>'SCHEDULE OF VALUE WORKSHEET'!A42</f>
        <v>36</v>
      </c>
      <c r="B45" s="142" t="str">
        <f>'SCHEDULE OF VALUE WORKSHEET'!B42</f>
        <v>Construction Management / Observation (OO)</v>
      </c>
      <c r="C45" s="143"/>
      <c r="D45" s="104">
        <f>SUM('SCHEDULE OF VALUE WORKSHEET'!E42)</f>
        <v>49427.9</v>
      </c>
      <c r="E45" s="104">
        <f>SUM('Draw #7'!E45:F45)</f>
        <v>0</v>
      </c>
      <c r="F45" s="105">
        <v>0</v>
      </c>
      <c r="G45" s="104">
        <f>SUM('Draw #7'!G45)+F45</f>
        <v>49427.9</v>
      </c>
      <c r="H45" s="109">
        <f t="shared" si="2"/>
        <v>49427.9</v>
      </c>
      <c r="I45" s="110">
        <v>0</v>
      </c>
      <c r="J45" s="109">
        <f>SUM(I45+'Draw #7'!J45)</f>
        <v>0</v>
      </c>
      <c r="K45" s="101" t="str">
        <f t="shared" si="3"/>
        <v/>
      </c>
      <c r="L45" s="9"/>
      <c r="M45" s="9"/>
    </row>
    <row r="46" spans="1:13" ht="14.1" customHeight="1">
      <c r="A46" s="4" t="e">
        <f>'SCHEDULE OF VALUE WORKSHEET'!#REF!</f>
        <v>#REF!</v>
      </c>
      <c r="B46" s="142" t="e">
        <f>'SCHEDULE OF VALUE WORKSHEET'!#REF!</f>
        <v>#REF!</v>
      </c>
      <c r="C46" s="143"/>
      <c r="D46" s="104" t="e">
        <f>SUM('SCHEDULE OF VALUE WORKSHEET'!#REF!)</f>
        <v>#REF!</v>
      </c>
      <c r="E46" s="104">
        <f>SUM('Draw #7'!E46:F46)</f>
        <v>0</v>
      </c>
      <c r="F46" s="105">
        <v>0</v>
      </c>
      <c r="G46" s="104" t="e">
        <f>SUM('Draw #7'!G46)+F46</f>
        <v>#REF!</v>
      </c>
      <c r="H46" s="109" t="e">
        <f t="shared" si="2"/>
        <v>#REF!</v>
      </c>
      <c r="I46" s="110">
        <v>0</v>
      </c>
      <c r="J46" s="109">
        <f>SUM(I46+'Draw #7'!J46)</f>
        <v>0</v>
      </c>
      <c r="K46" s="101" t="str">
        <f t="shared" si="3"/>
        <v/>
      </c>
      <c r="L46" s="9"/>
      <c r="M46" s="9"/>
    </row>
    <row r="47" spans="1:13" ht="14.1" customHeight="1">
      <c r="A47" s="4">
        <f>'SCHEDULE OF VALUE WORKSHEET'!A43</f>
        <v>37</v>
      </c>
      <c r="B47" s="142" t="str">
        <f>'SCHEDULE OF VALUE WORKSHEET'!B43</f>
        <v>CMFA Startup Fee</v>
      </c>
      <c r="C47" s="143"/>
      <c r="D47" s="104">
        <f>SUM('SCHEDULE OF VALUE WORKSHEET'!E43)</f>
        <v>22800</v>
      </c>
      <c r="E47" s="104">
        <f>SUM('Draw #7'!E47:F47)</f>
        <v>0</v>
      </c>
      <c r="F47" s="105">
        <v>0</v>
      </c>
      <c r="G47" s="104">
        <f>SUM('Draw #7'!G47)+F47</f>
        <v>22800</v>
      </c>
      <c r="H47" s="109">
        <f t="shared" si="2"/>
        <v>22800</v>
      </c>
      <c r="I47" s="110">
        <v>0</v>
      </c>
      <c r="J47" s="109">
        <f>SUM(I47+'Draw #7'!J47)</f>
        <v>0</v>
      </c>
      <c r="K47" s="101" t="str">
        <f t="shared" si="3"/>
        <v/>
      </c>
      <c r="L47" s="9"/>
      <c r="M47" s="9"/>
    </row>
    <row r="48" spans="1:13" ht="14.1" customHeight="1">
      <c r="A48" s="4">
        <f>'SCHEDULE OF VALUE WORKSHEET'!A44</f>
        <v>38</v>
      </c>
      <c r="B48" s="142" t="str">
        <f>'SCHEDULE OF VALUE WORKSHEET'!B44</f>
        <v>Non-Profit Start Up Fee</v>
      </c>
      <c r="C48" s="143"/>
      <c r="D48" s="104">
        <f>SUM('SCHEDULE OF VALUE WORKSHEET'!E44)</f>
        <v>25000</v>
      </c>
      <c r="E48" s="104">
        <f>SUM('Draw #7'!E48:F48)</f>
        <v>0</v>
      </c>
      <c r="F48" s="105">
        <v>0</v>
      </c>
      <c r="G48" s="104">
        <f>SUM('Draw #7'!G48)+F48</f>
        <v>25000</v>
      </c>
      <c r="H48" s="109">
        <f t="shared" si="2"/>
        <v>25000</v>
      </c>
      <c r="I48" s="110">
        <v>0</v>
      </c>
      <c r="J48" s="109">
        <f>SUM(I48+'Draw #7'!J48)</f>
        <v>0</v>
      </c>
      <c r="K48" s="101" t="str">
        <f t="shared" si="3"/>
        <v/>
      </c>
      <c r="L48" s="9"/>
      <c r="M48" s="9"/>
    </row>
    <row r="49" spans="1:13" ht="14.1" customHeight="1">
      <c r="A49" s="4">
        <f>'SCHEDULE OF VALUE WORKSHEET'!A45</f>
        <v>39</v>
      </c>
      <c r="B49" s="142" t="str">
        <f>'SCHEDULE OF VALUE WORKSHEET'!B45</f>
        <v>CMFA Construction Fee</v>
      </c>
      <c r="C49" s="143"/>
      <c r="D49" s="104">
        <f>SUM('SCHEDULE OF VALUE WORKSHEET'!E45)</f>
        <v>12000</v>
      </c>
      <c r="E49" s="104">
        <f>SUM('Draw #7'!E49:F49)</f>
        <v>0</v>
      </c>
      <c r="F49" s="105">
        <v>0</v>
      </c>
      <c r="G49" s="104">
        <f>SUM('Draw #7'!G49)+F49</f>
        <v>12000</v>
      </c>
      <c r="H49" s="109">
        <f t="shared" si="2"/>
        <v>12000</v>
      </c>
      <c r="I49" s="110">
        <v>0</v>
      </c>
      <c r="J49" s="109">
        <f>SUM(I49+'Draw #7'!J49)</f>
        <v>0</v>
      </c>
      <c r="K49" s="101" t="str">
        <f t="shared" si="3"/>
        <v/>
      </c>
      <c r="L49" s="9"/>
      <c r="M49" s="9"/>
    </row>
    <row r="50" spans="1:13" ht="14.1" customHeight="1">
      <c r="A50" s="4">
        <f>'SCHEDULE OF VALUE WORKSHEET'!A46</f>
        <v>40</v>
      </c>
      <c r="B50" s="142" t="str">
        <f>'SCHEDULE OF VALUE WORKSHEET'!B46</f>
        <v>Non-Profit Construction Fee</v>
      </c>
      <c r="C50" s="143"/>
      <c r="D50" s="104">
        <f>SUM('SCHEDULE OF VALUE WORKSHEET'!E46)</f>
        <v>10000</v>
      </c>
      <c r="E50" s="104">
        <f>SUM('Draw #7'!E50:F50)</f>
        <v>0</v>
      </c>
      <c r="F50" s="105">
        <v>0</v>
      </c>
      <c r="G50" s="104">
        <f>SUM('Draw #7'!G50)+F50</f>
        <v>10000</v>
      </c>
      <c r="H50" s="109">
        <f t="shared" si="2"/>
        <v>10000</v>
      </c>
      <c r="I50" s="110">
        <v>0</v>
      </c>
      <c r="J50" s="109">
        <f>SUM(I50+'Draw #7'!J50)</f>
        <v>0</v>
      </c>
      <c r="K50" s="101" t="str">
        <f t="shared" si="3"/>
        <v/>
      </c>
      <c r="L50" s="9"/>
      <c r="M50" s="9"/>
    </row>
    <row r="51" spans="1:13" ht="14.1" customHeight="1">
      <c r="A51" s="4">
        <f>'SCHEDULE OF VALUE WORKSHEET'!A47</f>
        <v>41</v>
      </c>
      <c r="B51" s="142" t="str">
        <f>'SCHEDULE OF VALUE WORKSHEET'!B47</f>
        <v>WTE Legal Costs for CMFA &amp; Non-Profit Partner</v>
      </c>
      <c r="C51" s="143"/>
      <c r="D51" s="104">
        <f>SUM('SCHEDULE OF VALUE WORKSHEET'!E47)</f>
        <v>20000</v>
      </c>
      <c r="E51" s="104">
        <f>SUM('Draw #7'!E51:F51)</f>
        <v>0</v>
      </c>
      <c r="F51" s="105">
        <v>0</v>
      </c>
      <c r="G51" s="104">
        <f>SUM('Draw #7'!G51)+F51</f>
        <v>20000</v>
      </c>
      <c r="H51" s="109">
        <f t="shared" si="2"/>
        <v>20000</v>
      </c>
      <c r="I51" s="110">
        <v>0</v>
      </c>
      <c r="J51" s="109">
        <f>SUM(I51+'Draw #7'!J51)</f>
        <v>0</v>
      </c>
      <c r="K51" s="101" t="str">
        <f t="shared" si="3"/>
        <v/>
      </c>
      <c r="L51" s="9"/>
      <c r="M51" s="9"/>
    </row>
    <row r="52" spans="1:13" ht="14.1" customHeight="1">
      <c r="A52" s="4" t="e">
        <f>'SCHEDULE OF VALUE WORKSHEET'!#REF!</f>
        <v>#REF!</v>
      </c>
      <c r="B52" s="142" t="e">
        <f>'SCHEDULE OF VALUE WORKSHEET'!#REF!</f>
        <v>#REF!</v>
      </c>
      <c r="C52" s="143"/>
      <c r="D52" s="104" t="e">
        <f>SUM('SCHEDULE OF VALUE WORKSHEET'!#REF!)</f>
        <v>#REF!</v>
      </c>
      <c r="E52" s="104">
        <f>SUM('Draw #7'!E52:F52)</f>
        <v>0</v>
      </c>
      <c r="F52" s="105">
        <v>0</v>
      </c>
      <c r="G52" s="104" t="e">
        <f>SUM('Draw #7'!G52)+F52</f>
        <v>#REF!</v>
      </c>
      <c r="H52" s="109" t="e">
        <f t="shared" si="2"/>
        <v>#REF!</v>
      </c>
      <c r="I52" s="110">
        <v>0</v>
      </c>
      <c r="J52" s="109">
        <f>SUM(I52+'Draw #7'!J52)</f>
        <v>0</v>
      </c>
      <c r="K52" s="101" t="str">
        <f t="shared" si="3"/>
        <v/>
      </c>
      <c r="L52" s="9"/>
      <c r="M52" s="9"/>
    </row>
    <row r="53" spans="1:13" ht="14.1" customHeight="1">
      <c r="A53" s="4">
        <f>'SCHEDULE OF VALUE WORKSHEET'!A49</f>
        <v>43</v>
      </c>
      <c r="B53" s="142" t="str">
        <f>'SCHEDULE OF VALUE WORKSHEET'!B49</f>
        <v>GENERAL CONDITIONS</v>
      </c>
      <c r="C53" s="143"/>
      <c r="D53" s="104">
        <f>SUM('SCHEDULE OF VALUE WORKSHEET'!E49)</f>
        <v>362115.24</v>
      </c>
      <c r="E53" s="104">
        <f>SUM('Draw #7'!E53:F53)</f>
        <v>0</v>
      </c>
      <c r="F53" s="105">
        <v>0</v>
      </c>
      <c r="G53" s="104">
        <f>SUM('Draw #7'!G53)+F53</f>
        <v>362115.24</v>
      </c>
      <c r="H53" s="109">
        <f t="shared" si="2"/>
        <v>362115.24</v>
      </c>
      <c r="I53" s="110">
        <v>0</v>
      </c>
      <c r="J53" s="109">
        <f>SUM(I53+'Draw #7'!J53)</f>
        <v>0</v>
      </c>
      <c r="K53" s="101" t="str">
        <f t="shared" si="3"/>
        <v/>
      </c>
      <c r="L53" s="9"/>
      <c r="M53" s="9"/>
    </row>
    <row r="54" spans="1:13" ht="14.1" customHeight="1">
      <c r="A54" s="4">
        <f>'SCHEDULE OF VALUE WORKSHEET'!A50</f>
        <v>44</v>
      </c>
      <c r="B54" s="142" t="str">
        <f>'SCHEDULE OF VALUE WORKSHEET'!B50</f>
        <v>GENERAL REQUIREMENT</v>
      </c>
      <c r="C54" s="143"/>
      <c r="D54" s="104">
        <f>SUM('SCHEDULE OF VALUE WORKSHEET'!E50)</f>
        <v>124657.88</v>
      </c>
      <c r="E54" s="104">
        <f>SUM('Draw #7'!E54:F54)</f>
        <v>0</v>
      </c>
      <c r="F54" s="105">
        <v>0</v>
      </c>
      <c r="G54" s="104">
        <f>SUM('Draw #7'!G54)+F54</f>
        <v>124657.88</v>
      </c>
      <c r="H54" s="109">
        <f t="shared" si="2"/>
        <v>124657.88</v>
      </c>
      <c r="I54" s="110">
        <v>0</v>
      </c>
      <c r="J54" s="109">
        <f>SUM(I54+'Draw #7'!J54)</f>
        <v>0</v>
      </c>
      <c r="K54" s="101" t="str">
        <f t="shared" si="3"/>
        <v/>
      </c>
      <c r="L54" s="9"/>
      <c r="M54" s="9"/>
    </row>
    <row r="55" spans="1:13" ht="14.1" customHeight="1">
      <c r="A55" s="4">
        <f>'SCHEDULE OF VALUE WORKSHEET'!A51</f>
        <v>45</v>
      </c>
      <c r="B55" s="142" t="str">
        <f>'SCHEDULE OF VALUE WORKSHEET'!B51</f>
        <v>SITE WORK</v>
      </c>
      <c r="C55" s="143"/>
      <c r="D55" s="104">
        <f>SUM('SCHEDULE OF VALUE WORKSHEET'!E51)</f>
        <v>139049.51</v>
      </c>
      <c r="E55" s="104">
        <f>SUM('Draw #7'!E55:F55)</f>
        <v>0</v>
      </c>
      <c r="F55" s="105">
        <v>0</v>
      </c>
      <c r="G55" s="104">
        <f>SUM('Draw #7'!G55)+F55</f>
        <v>139049.51</v>
      </c>
      <c r="H55" s="109">
        <f t="shared" si="2"/>
        <v>139049.51</v>
      </c>
      <c r="I55" s="110">
        <v>0</v>
      </c>
      <c r="J55" s="109">
        <f>SUM(I55+'Draw #7'!J55)</f>
        <v>0</v>
      </c>
      <c r="K55" s="101" t="str">
        <f t="shared" si="3"/>
        <v/>
      </c>
      <c r="L55" s="9"/>
      <c r="M55" s="9"/>
    </row>
    <row r="56" spans="1:13" ht="14.1" customHeight="1">
      <c r="A56" s="4">
        <f>'SCHEDULE OF VALUE WORKSHEET'!A52</f>
        <v>46</v>
      </c>
      <c r="B56" s="142" t="str">
        <f>'SCHEDULE OF VALUE WORKSHEET'!B52</f>
        <v>CONCRETE</v>
      </c>
      <c r="C56" s="143"/>
      <c r="D56" s="104">
        <f>SUM('SCHEDULE OF VALUE WORKSHEET'!E52)</f>
        <v>253182</v>
      </c>
      <c r="E56" s="104">
        <f>SUM('Draw #7'!E56:F56)</f>
        <v>0</v>
      </c>
      <c r="F56" s="105">
        <v>0</v>
      </c>
      <c r="G56" s="104">
        <f>SUM('Draw #7'!G56)+F56</f>
        <v>253182</v>
      </c>
      <c r="H56" s="109">
        <f t="shared" si="2"/>
        <v>253182</v>
      </c>
      <c r="I56" s="110">
        <v>0</v>
      </c>
      <c r="J56" s="109">
        <f>SUM(I56+'Draw #7'!J56)</f>
        <v>0</v>
      </c>
      <c r="K56" s="101" t="str">
        <f t="shared" si="3"/>
        <v/>
      </c>
      <c r="L56" s="9"/>
      <c r="M56" s="9"/>
    </row>
    <row r="57" spans="1:13" ht="14.1" customHeight="1">
      <c r="A57" s="4">
        <f>'SCHEDULE OF VALUE WORKSHEET'!A53</f>
        <v>47</v>
      </c>
      <c r="B57" s="142" t="str">
        <f>'SCHEDULE OF VALUE WORKSHEET'!B53</f>
        <v>MASONRY</v>
      </c>
      <c r="C57" s="143"/>
      <c r="D57" s="104">
        <f>SUM('SCHEDULE OF VALUE WORKSHEET'!E53)</f>
        <v>3562.64</v>
      </c>
      <c r="E57" s="104">
        <f>SUM('Draw #7'!E57:F57)</f>
        <v>0</v>
      </c>
      <c r="F57" s="105">
        <v>0</v>
      </c>
      <c r="G57" s="104">
        <f>SUM('Draw #7'!G57)+F57</f>
        <v>3562.64</v>
      </c>
      <c r="H57" s="109">
        <f t="shared" si="2"/>
        <v>3562.64</v>
      </c>
      <c r="I57" s="110">
        <v>0</v>
      </c>
      <c r="J57" s="109">
        <f>SUM(I57+'Draw #7'!J57)</f>
        <v>0</v>
      </c>
      <c r="K57" s="101" t="str">
        <f t="shared" si="3"/>
        <v/>
      </c>
      <c r="L57" s="9"/>
      <c r="M57" s="9"/>
    </row>
    <row r="58" spans="1:13" ht="14.1" customHeight="1">
      <c r="A58" s="4">
        <f>'SCHEDULE OF VALUE WORKSHEET'!A54</f>
        <v>48</v>
      </c>
      <c r="B58" s="142" t="str">
        <f>'SCHEDULE OF VALUE WORKSHEET'!B54</f>
        <v>METALS</v>
      </c>
      <c r="C58" s="143"/>
      <c r="D58" s="104">
        <f>SUM('SCHEDULE OF VALUE WORKSHEET'!E54)</f>
        <v>324100</v>
      </c>
      <c r="E58" s="104">
        <f>SUM('Draw #7'!E58:F58)</f>
        <v>0</v>
      </c>
      <c r="F58" s="105">
        <v>0</v>
      </c>
      <c r="G58" s="104">
        <f>SUM('Draw #7'!G58)+F58</f>
        <v>324100</v>
      </c>
      <c r="H58" s="109">
        <f t="shared" si="2"/>
        <v>324100</v>
      </c>
      <c r="I58" s="110">
        <v>0</v>
      </c>
      <c r="J58" s="109">
        <f>SUM(I58+'Draw #7'!J58)</f>
        <v>0</v>
      </c>
      <c r="K58" s="101" t="str">
        <f t="shared" si="3"/>
        <v/>
      </c>
      <c r="L58" s="9"/>
      <c r="M58" s="9"/>
    </row>
    <row r="59" spans="1:13" ht="14.1" customHeight="1">
      <c r="A59" s="4">
        <f>'SCHEDULE OF VALUE WORKSHEET'!A55</f>
        <v>49</v>
      </c>
      <c r="B59" s="142" t="str">
        <f>'SCHEDULE OF VALUE WORKSHEET'!B55</f>
        <v>FRAMING</v>
      </c>
      <c r="C59" s="143"/>
      <c r="D59" s="104">
        <f>SUM('SCHEDULE OF VALUE WORKSHEET'!E55)</f>
        <v>818554</v>
      </c>
      <c r="E59" s="104">
        <f>SUM('Draw #7'!E59:F59)</f>
        <v>0</v>
      </c>
      <c r="F59" s="105">
        <v>0</v>
      </c>
      <c r="G59" s="104">
        <f>SUM('Draw #7'!G59)+F59</f>
        <v>818554</v>
      </c>
      <c r="H59" s="109">
        <f t="shared" si="2"/>
        <v>818554</v>
      </c>
      <c r="I59" s="110">
        <v>0</v>
      </c>
      <c r="J59" s="109">
        <f>SUM(I59+'Draw #7'!J59)</f>
        <v>0</v>
      </c>
      <c r="K59" s="101" t="str">
        <f t="shared" si="3"/>
        <v/>
      </c>
      <c r="L59" s="9"/>
      <c r="M59" s="9"/>
    </row>
    <row r="60" spans="1:13" ht="14.1" customHeight="1">
      <c r="A60" s="4">
        <f>'SCHEDULE OF VALUE WORKSHEET'!A56</f>
        <v>50</v>
      </c>
      <c r="B60" s="142" t="str">
        <f>'SCHEDULE OF VALUE WORKSHEET'!B56</f>
        <v>COUNTERTOPS</v>
      </c>
      <c r="C60" s="143"/>
      <c r="D60" s="104">
        <f>SUM('SCHEDULE OF VALUE WORKSHEET'!E56)</f>
        <v>56930</v>
      </c>
      <c r="E60" s="104">
        <f>SUM('Draw #7'!E60:F60)</f>
        <v>0</v>
      </c>
      <c r="F60" s="105">
        <v>0</v>
      </c>
      <c r="G60" s="104">
        <f>SUM('Draw #7'!G60)+F60</f>
        <v>56930</v>
      </c>
      <c r="H60" s="109">
        <f t="shared" si="2"/>
        <v>56930</v>
      </c>
      <c r="I60" s="110">
        <v>0</v>
      </c>
      <c r="J60" s="109">
        <f>SUM(I60+'Draw #7'!J60)</f>
        <v>0</v>
      </c>
      <c r="K60" s="101" t="str">
        <f t="shared" si="3"/>
        <v/>
      </c>
      <c r="L60" s="9"/>
      <c r="M60" s="9"/>
    </row>
    <row r="61" spans="1:13" ht="14.1" customHeight="1">
      <c r="A61" s="4">
        <f>'SCHEDULE OF VALUE WORKSHEET'!A57</f>
        <v>51</v>
      </c>
      <c r="B61" s="142" t="str">
        <f>'SCHEDULE OF VALUE WORKSHEET'!B57</f>
        <v>CABINETS</v>
      </c>
      <c r="C61" s="143"/>
      <c r="D61" s="104">
        <f>SUM('SCHEDULE OF VALUE WORKSHEET'!E57)</f>
        <v>56930</v>
      </c>
      <c r="E61" s="104">
        <f>SUM('Draw #7'!E61:F61)</f>
        <v>0</v>
      </c>
      <c r="F61" s="105">
        <v>0</v>
      </c>
      <c r="G61" s="104">
        <f>SUM('Draw #7'!G61)+F61</f>
        <v>56930</v>
      </c>
      <c r="H61" s="109">
        <f t="shared" si="2"/>
        <v>56930</v>
      </c>
      <c r="I61" s="110">
        <v>0</v>
      </c>
      <c r="J61" s="109">
        <f>SUM(I61+'Draw #7'!J61)</f>
        <v>0</v>
      </c>
      <c r="K61" s="101" t="str">
        <f t="shared" si="3"/>
        <v/>
      </c>
      <c r="L61" s="9"/>
      <c r="M61" s="9"/>
    </row>
    <row r="62" spans="1:13" ht="14.1" customHeight="1">
      <c r="A62" s="4">
        <f>'SCHEDULE OF VALUE WORKSHEET'!A58</f>
        <v>52</v>
      </c>
      <c r="B62" s="142" t="str">
        <f>'SCHEDULE OF VALUE WORKSHEET'!B58</f>
        <v>THERMAL MOISTURE PROTECTION</v>
      </c>
      <c r="C62" s="143"/>
      <c r="D62" s="104">
        <f>SUM('SCHEDULE OF VALUE WORKSHEET'!E58)</f>
        <v>173148</v>
      </c>
      <c r="E62" s="104">
        <f>SUM('Draw #7'!E62:F62)</f>
        <v>0</v>
      </c>
      <c r="F62" s="105">
        <v>0</v>
      </c>
      <c r="G62" s="104">
        <f>SUM('Draw #7'!G62)+F62</f>
        <v>173148</v>
      </c>
      <c r="H62" s="109">
        <f t="shared" si="2"/>
        <v>173148</v>
      </c>
      <c r="I62" s="110">
        <v>0</v>
      </c>
      <c r="J62" s="109">
        <f>SUM(I62+'Draw #7'!J62)</f>
        <v>0</v>
      </c>
      <c r="K62" s="101" t="str">
        <f t="shared" si="3"/>
        <v/>
      </c>
      <c r="L62" s="9"/>
      <c r="M62" s="9"/>
    </row>
    <row r="63" spans="1:13" ht="14.1" customHeight="1">
      <c r="A63" s="4">
        <f>'SCHEDULE OF VALUE WORKSHEET'!A59</f>
        <v>53</v>
      </c>
      <c r="B63" s="142" t="str">
        <f>'SCHEDULE OF VALUE WORKSHEET'!B59</f>
        <v>DOORS</v>
      </c>
      <c r="C63" s="143"/>
      <c r="D63" s="104">
        <f>SUM('SCHEDULE OF VALUE WORKSHEET'!E59)</f>
        <v>204087.33</v>
      </c>
      <c r="E63" s="104">
        <f>SUM('Draw #7'!E63:F63)</f>
        <v>0</v>
      </c>
      <c r="F63" s="105">
        <v>0</v>
      </c>
      <c r="G63" s="104">
        <f>SUM('Draw #7'!G63)+F63</f>
        <v>204087.33</v>
      </c>
      <c r="H63" s="109">
        <f t="shared" si="2"/>
        <v>204087.33</v>
      </c>
      <c r="I63" s="110">
        <v>0</v>
      </c>
      <c r="J63" s="109">
        <f>SUM(I63+'Draw #7'!J63)</f>
        <v>0</v>
      </c>
      <c r="K63" s="101" t="str">
        <f t="shared" si="3"/>
        <v/>
      </c>
      <c r="L63" s="9"/>
      <c r="M63" s="9"/>
    </row>
    <row r="64" spans="1:13" ht="14.1" customHeight="1">
      <c r="A64" s="4">
        <f>'SCHEDULE OF VALUE WORKSHEET'!A60</f>
        <v>54</v>
      </c>
      <c r="B64" s="142" t="str">
        <f>'SCHEDULE OF VALUE WORKSHEET'!B60</f>
        <v>WINDOWS</v>
      </c>
      <c r="C64" s="143"/>
      <c r="D64" s="104">
        <f>SUM('SCHEDULE OF VALUE WORKSHEET'!E60)</f>
        <v>106274.25</v>
      </c>
      <c r="E64" s="104">
        <f>SUM('Draw #7'!E64:F64)</f>
        <v>0</v>
      </c>
      <c r="F64" s="105">
        <v>0</v>
      </c>
      <c r="G64" s="104">
        <f>SUM('Draw #7'!G64)+F64</f>
        <v>106274.25</v>
      </c>
      <c r="H64" s="109">
        <f t="shared" si="2"/>
        <v>106274.25</v>
      </c>
      <c r="I64" s="110">
        <v>0</v>
      </c>
      <c r="J64" s="109">
        <f>SUM(I64+'Draw #7'!J64)</f>
        <v>0</v>
      </c>
      <c r="K64" s="101" t="str">
        <f t="shared" si="3"/>
        <v/>
      </c>
      <c r="L64" s="9"/>
      <c r="M64" s="9"/>
    </row>
    <row r="65" spans="1:13" ht="14.1" customHeight="1">
      <c r="A65" s="4">
        <f>'SCHEDULE OF VALUE WORKSHEET'!A61</f>
        <v>55</v>
      </c>
      <c r="B65" s="142" t="str">
        <f>'SCHEDULE OF VALUE WORKSHEET'!B61</f>
        <v>STUCCO</v>
      </c>
      <c r="C65" s="143"/>
      <c r="D65" s="104">
        <f>SUM('SCHEDULE OF VALUE WORKSHEET'!E61)</f>
        <v>208002</v>
      </c>
      <c r="E65" s="104">
        <f>SUM('Draw #7'!E65:F65)</f>
        <v>0</v>
      </c>
      <c r="F65" s="105">
        <v>0</v>
      </c>
      <c r="G65" s="104">
        <f>SUM('Draw #7'!G65)+F65</f>
        <v>208002</v>
      </c>
      <c r="H65" s="109">
        <f t="shared" si="2"/>
        <v>208002</v>
      </c>
      <c r="I65" s="110">
        <v>0</v>
      </c>
      <c r="J65" s="109">
        <f>SUM(I65+'Draw #7'!J65)</f>
        <v>0</v>
      </c>
      <c r="K65" s="101" t="str">
        <f t="shared" si="3"/>
        <v/>
      </c>
      <c r="L65" s="9"/>
      <c r="M65" s="9"/>
    </row>
    <row r="66" spans="1:13" ht="14.1" customHeight="1">
      <c r="A66" s="4">
        <f>'SCHEDULE OF VALUE WORKSHEET'!A62</f>
        <v>56</v>
      </c>
      <c r="B66" s="142" t="str">
        <f>'SCHEDULE OF VALUE WORKSHEET'!B62</f>
        <v>DRYWALL</v>
      </c>
      <c r="C66" s="143"/>
      <c r="D66" s="104">
        <f>SUM('SCHEDULE OF VALUE WORKSHEET'!E62)</f>
        <v>416355</v>
      </c>
      <c r="E66" s="104">
        <f>SUM('Draw #7'!E66:F66)</f>
        <v>0</v>
      </c>
      <c r="F66" s="105">
        <v>0</v>
      </c>
      <c r="G66" s="104">
        <f>SUM('Draw #7'!G66)+F66</f>
        <v>416355</v>
      </c>
      <c r="H66" s="109">
        <f t="shared" si="2"/>
        <v>416355</v>
      </c>
      <c r="I66" s="110">
        <v>0</v>
      </c>
      <c r="J66" s="109">
        <f>SUM(I66+'Draw #7'!J66)</f>
        <v>0</v>
      </c>
      <c r="K66" s="101" t="str">
        <f t="shared" si="3"/>
        <v/>
      </c>
      <c r="L66" s="9"/>
      <c r="M66" s="9"/>
    </row>
    <row r="67" spans="1:13" ht="14.1" customHeight="1">
      <c r="A67" s="4">
        <f>'SCHEDULE OF VALUE WORKSHEET'!A63</f>
        <v>57</v>
      </c>
      <c r="B67" s="142" t="str">
        <f>'SCHEDULE OF VALUE WORKSHEET'!B63</f>
        <v>PAINTING</v>
      </c>
      <c r="C67" s="143"/>
      <c r="D67" s="104">
        <f>SUM('SCHEDULE OF VALUE WORKSHEET'!E63)</f>
        <v>120700</v>
      </c>
      <c r="E67" s="104">
        <f>SUM('Draw #7'!E67:F67)</f>
        <v>0</v>
      </c>
      <c r="F67" s="105">
        <v>0</v>
      </c>
      <c r="G67" s="104">
        <f>SUM('Draw #7'!G67)+F67</f>
        <v>120700</v>
      </c>
      <c r="H67" s="109">
        <f t="shared" si="2"/>
        <v>120700</v>
      </c>
      <c r="I67" s="110">
        <v>0</v>
      </c>
      <c r="J67" s="109">
        <f>SUM(I67+'Draw #7'!J67)</f>
        <v>0</v>
      </c>
      <c r="K67" s="101" t="str">
        <f t="shared" si="3"/>
        <v/>
      </c>
      <c r="L67" s="9"/>
      <c r="M67" s="9"/>
    </row>
    <row r="68" spans="1:13" ht="14.1" customHeight="1">
      <c r="A68" s="4">
        <f>'SCHEDULE OF VALUE WORKSHEET'!A64</f>
        <v>58</v>
      </c>
      <c r="B68" s="142" t="str">
        <f>'SCHEDULE OF VALUE WORKSHEET'!B64</f>
        <v>FLOORING - common areas</v>
      </c>
      <c r="C68" s="143"/>
      <c r="D68" s="104">
        <f>SUM('SCHEDULE OF VALUE WORKSHEET'!E64)</f>
        <v>45150</v>
      </c>
      <c r="E68" s="104">
        <f>SUM('Draw #7'!E68:F68)</f>
        <v>0</v>
      </c>
      <c r="F68" s="105">
        <v>0</v>
      </c>
      <c r="G68" s="104">
        <f>SUM('Draw #7'!G68)+F68</f>
        <v>45150</v>
      </c>
      <c r="H68" s="109">
        <f t="shared" si="2"/>
        <v>45150</v>
      </c>
      <c r="I68" s="110">
        <v>0</v>
      </c>
      <c r="J68" s="109">
        <f>SUM(I68+'Draw #7'!J68)</f>
        <v>0</v>
      </c>
      <c r="K68" s="101" t="str">
        <f t="shared" si="3"/>
        <v/>
      </c>
      <c r="L68" s="9"/>
      <c r="M68" s="9"/>
    </row>
    <row r="69" spans="1:13" ht="14.1" customHeight="1">
      <c r="A69" s="4">
        <f>'SCHEDULE OF VALUE WORKSHEET'!A65</f>
        <v>59</v>
      </c>
      <c r="B69" s="142" t="str">
        <f>'SCHEDULE OF VALUE WORKSHEET'!B65</f>
        <v>FLOORING - Units with baseboards</v>
      </c>
      <c r="C69" s="143"/>
      <c r="D69" s="104">
        <f>SUM('SCHEDULE OF VALUE WORKSHEET'!E65)</f>
        <v>93335</v>
      </c>
      <c r="E69" s="104">
        <f>SUM('Draw #7'!E69:F69)</f>
        <v>0</v>
      </c>
      <c r="F69" s="105">
        <v>0</v>
      </c>
      <c r="G69" s="104">
        <f>SUM('Draw #7'!G69)+F69</f>
        <v>93335</v>
      </c>
      <c r="H69" s="109">
        <f t="shared" si="2"/>
        <v>93335</v>
      </c>
      <c r="I69" s="110">
        <v>0</v>
      </c>
      <c r="J69" s="109">
        <f>SUM(I69+'Draw #7'!J69)</f>
        <v>0</v>
      </c>
      <c r="K69" s="101" t="str">
        <f t="shared" si="3"/>
        <v/>
      </c>
      <c r="L69" s="9"/>
      <c r="M69" s="9"/>
    </row>
    <row r="70" spans="1:13" ht="14.1" customHeight="1">
      <c r="A70" s="4">
        <f>'SCHEDULE OF VALUE WORKSHEET'!A66</f>
        <v>60</v>
      </c>
      <c r="B70" s="142" t="str">
        <f>'SCHEDULE OF VALUE WORKSHEET'!B66</f>
        <v>SPECIALTIES</v>
      </c>
      <c r="C70" s="143"/>
      <c r="D70" s="104">
        <f>SUM('SCHEDULE OF VALUE WORKSHEET'!E66)</f>
        <v>25109.21</v>
      </c>
      <c r="E70" s="104">
        <f>SUM('Draw #7'!E70:F70)</f>
        <v>0</v>
      </c>
      <c r="F70" s="105">
        <v>0</v>
      </c>
      <c r="G70" s="104">
        <f>SUM('Draw #7'!G70)+F70</f>
        <v>25109.21</v>
      </c>
      <c r="H70" s="109">
        <f t="shared" si="2"/>
        <v>25109.21</v>
      </c>
      <c r="I70" s="110">
        <v>0</v>
      </c>
      <c r="J70" s="109">
        <f>SUM(I70+'Draw #7'!J70)</f>
        <v>0</v>
      </c>
      <c r="K70" s="101" t="str">
        <f t="shared" si="3"/>
        <v/>
      </c>
      <c r="L70" s="9"/>
      <c r="M70" s="9"/>
    </row>
    <row r="71" spans="1:13" ht="14.1" customHeight="1">
      <c r="A71" s="4">
        <f>'SCHEDULE OF VALUE WORKSHEET'!A67</f>
        <v>61</v>
      </c>
      <c r="B71" s="142" t="str">
        <f>'SCHEDULE OF VALUE WORKSHEET'!B67</f>
        <v>EQUIPMENT</v>
      </c>
      <c r="C71" s="143"/>
      <c r="D71" s="104">
        <f>SUM('SCHEDULE OF VALUE WORKSHEET'!E67)</f>
        <v>153636</v>
      </c>
      <c r="E71" s="104">
        <f>SUM('Draw #7'!E71:F71)</f>
        <v>0</v>
      </c>
      <c r="F71" s="105">
        <v>0</v>
      </c>
      <c r="G71" s="104">
        <f>SUM('Draw #7'!G71)+F71</f>
        <v>153636</v>
      </c>
      <c r="H71" s="109">
        <f t="shared" si="2"/>
        <v>153636</v>
      </c>
      <c r="I71" s="110">
        <v>0</v>
      </c>
      <c r="J71" s="109">
        <f>SUM(I71+'Draw #7'!J71)</f>
        <v>0</v>
      </c>
      <c r="K71" s="101" t="str">
        <f t="shared" si="3"/>
        <v/>
      </c>
      <c r="L71" s="9"/>
      <c r="M71" s="9"/>
    </row>
    <row r="72" spans="1:13" ht="14.1" customHeight="1">
      <c r="A72" s="4">
        <f>'SCHEDULE OF VALUE WORKSHEET'!A68</f>
        <v>62</v>
      </c>
      <c r="B72" s="142" t="str">
        <f>'SCHEDULE OF VALUE WORKSHEET'!B68</f>
        <v>FURNISHING</v>
      </c>
      <c r="C72" s="143"/>
      <c r="D72" s="104">
        <f>SUM('SCHEDULE OF VALUE WORKSHEET'!E68)</f>
        <v>0</v>
      </c>
      <c r="E72" s="104">
        <f>SUM('Draw #7'!E72:F72)</f>
        <v>0</v>
      </c>
      <c r="F72" s="105">
        <v>0</v>
      </c>
      <c r="G72" s="104">
        <f>SUM('Draw #7'!G72)+F72</f>
        <v>0</v>
      </c>
      <c r="H72" s="109">
        <f t="shared" si="2"/>
        <v>0</v>
      </c>
      <c r="I72" s="110">
        <v>0</v>
      </c>
      <c r="J72" s="109">
        <f>SUM(I72+'Draw #7'!J72)</f>
        <v>0</v>
      </c>
      <c r="K72" s="101" t="str">
        <f t="shared" si="3"/>
        <v/>
      </c>
      <c r="L72" s="9"/>
      <c r="M72" s="9"/>
    </row>
    <row r="73" spans="1:13" ht="14.1" customHeight="1">
      <c r="A73" s="4">
        <f>'SCHEDULE OF VALUE WORKSHEET'!A69</f>
        <v>63</v>
      </c>
      <c r="B73" s="142" t="str">
        <f>'SCHEDULE OF VALUE WORKSHEET'!B69</f>
        <v>FIRE SPRINKLERS</v>
      </c>
      <c r="C73" s="143"/>
      <c r="D73" s="104">
        <f>SUM('SCHEDULE OF VALUE WORKSHEET'!E69)</f>
        <v>108500</v>
      </c>
      <c r="E73" s="104">
        <f>SUM('Draw #7'!E73:F73)</f>
        <v>0</v>
      </c>
      <c r="F73" s="105">
        <v>0</v>
      </c>
      <c r="G73" s="104">
        <f>SUM('Draw #7'!G73)+F73</f>
        <v>108500</v>
      </c>
      <c r="H73" s="109">
        <f t="shared" si="2"/>
        <v>108500</v>
      </c>
      <c r="I73" s="110">
        <v>0</v>
      </c>
      <c r="J73" s="109">
        <f>SUM(I73+'Draw #7'!J73)</f>
        <v>0</v>
      </c>
      <c r="K73" s="101" t="str">
        <f t="shared" si="3"/>
        <v/>
      </c>
      <c r="L73" s="9"/>
      <c r="M73" s="9"/>
    </row>
    <row r="74" spans="1:13" ht="14.1" customHeight="1">
      <c r="A74" s="4">
        <f>'SCHEDULE OF VALUE WORKSHEET'!A70</f>
        <v>64</v>
      </c>
      <c r="B74" s="142" t="str">
        <f>'SCHEDULE OF VALUE WORKSHEET'!B70</f>
        <v>FIRE ALARM</v>
      </c>
      <c r="C74" s="143"/>
      <c r="D74" s="104">
        <f>SUM('SCHEDULE OF VALUE WORKSHEET'!E70)</f>
        <v>68401</v>
      </c>
      <c r="E74" s="104">
        <f>SUM('Draw #7'!E74:F74)</f>
        <v>0</v>
      </c>
      <c r="F74" s="105">
        <v>0</v>
      </c>
      <c r="G74" s="104">
        <f>SUM('Draw #7'!G74)+F74</f>
        <v>68401</v>
      </c>
      <c r="H74" s="109">
        <f t="shared" si="2"/>
        <v>68401</v>
      </c>
      <c r="I74" s="110">
        <v>0</v>
      </c>
      <c r="J74" s="109">
        <f>SUM(I74+'Draw #7'!J74)</f>
        <v>0</v>
      </c>
      <c r="K74" s="101" t="str">
        <f t="shared" si="3"/>
        <v/>
      </c>
      <c r="L74" s="9"/>
      <c r="M74" s="9"/>
    </row>
    <row r="75" spans="1:13" ht="14.1" customHeight="1">
      <c r="A75" s="4">
        <f>'SCHEDULE OF VALUE WORKSHEET'!A71</f>
        <v>65</v>
      </c>
      <c r="B75" s="142" t="str">
        <f>'SCHEDULE OF VALUE WORKSHEET'!B71</f>
        <v>SOLAR PANELS</v>
      </c>
      <c r="C75" s="143"/>
      <c r="D75" s="104">
        <f>SUM('SCHEDULE OF VALUE WORKSHEET'!E71)</f>
        <v>97000</v>
      </c>
      <c r="E75" s="104">
        <f>SUM('Draw #7'!E75:F75)</f>
        <v>0</v>
      </c>
      <c r="F75" s="105">
        <v>0</v>
      </c>
      <c r="G75" s="104">
        <f>SUM('Draw #7'!G75)+F75</f>
        <v>97000</v>
      </c>
      <c r="H75" s="109">
        <f t="shared" ref="H75:H135" si="4">SUM(G75-J75)</f>
        <v>97000</v>
      </c>
      <c r="I75" s="110">
        <v>0</v>
      </c>
      <c r="J75" s="109">
        <f>SUM(I75+'Draw #7'!J75)</f>
        <v>0</v>
      </c>
      <c r="K75" s="101" t="str">
        <f t="shared" ref="K75:K135" si="5">IF(J75=0,"",J75/G75)</f>
        <v/>
      </c>
      <c r="L75" s="9"/>
      <c r="M75" s="9"/>
    </row>
    <row r="76" spans="1:13" ht="14.1" customHeight="1">
      <c r="A76" s="4">
        <f>'SCHEDULE OF VALUE WORKSHEET'!A72</f>
        <v>66</v>
      </c>
      <c r="B76" s="142" t="str">
        <f>'SCHEDULE OF VALUE WORKSHEET'!B72</f>
        <v>SECURITY ACCESS &amp; SURVEILLANCE</v>
      </c>
      <c r="C76" s="143"/>
      <c r="D76" s="104">
        <f>SUM('SCHEDULE OF VALUE WORKSHEET'!E72)</f>
        <v>136430</v>
      </c>
      <c r="E76" s="104">
        <f>SUM('Draw #7'!E76:F76)</f>
        <v>0</v>
      </c>
      <c r="F76" s="105">
        <v>0</v>
      </c>
      <c r="G76" s="104">
        <f>SUM('Draw #7'!G76)+F76</f>
        <v>136430</v>
      </c>
      <c r="H76" s="109">
        <f t="shared" si="4"/>
        <v>136430</v>
      </c>
      <c r="I76" s="110">
        <v>0</v>
      </c>
      <c r="J76" s="109">
        <f>SUM(I76+'Draw #7'!J76)</f>
        <v>0</v>
      </c>
      <c r="K76" s="101" t="str">
        <f t="shared" si="5"/>
        <v/>
      </c>
      <c r="L76" s="9"/>
      <c r="M76" s="9"/>
    </row>
    <row r="77" spans="1:13" ht="14.1" customHeight="1">
      <c r="A77" s="4">
        <f>'SCHEDULE OF VALUE WORKSHEET'!A73</f>
        <v>67</v>
      </c>
      <c r="B77" s="142" t="str">
        <f>'SCHEDULE OF VALUE WORKSHEET'!B73</f>
        <v>ELEVATORS &amp; LIFT</v>
      </c>
      <c r="C77" s="143"/>
      <c r="D77" s="104">
        <f>SUM('SCHEDULE OF VALUE WORKSHEET'!E73)</f>
        <v>174882</v>
      </c>
      <c r="E77" s="104">
        <f>SUM('Draw #7'!E77:F77)</f>
        <v>0</v>
      </c>
      <c r="F77" s="105">
        <v>0</v>
      </c>
      <c r="G77" s="104">
        <f>SUM('Draw #7'!G77)+F77</f>
        <v>174882</v>
      </c>
      <c r="H77" s="109">
        <f t="shared" si="4"/>
        <v>174882</v>
      </c>
      <c r="I77" s="110">
        <v>0</v>
      </c>
      <c r="J77" s="109">
        <f>SUM(I77+'Draw #7'!J77)</f>
        <v>0</v>
      </c>
      <c r="K77" s="101" t="str">
        <f t="shared" si="5"/>
        <v/>
      </c>
      <c r="L77" s="9"/>
      <c r="M77" s="9"/>
    </row>
    <row r="78" spans="1:13" ht="14.1" customHeight="1">
      <c r="A78" s="4">
        <f>'SCHEDULE OF VALUE WORKSHEET'!A74</f>
        <v>68</v>
      </c>
      <c r="B78" s="142" t="str">
        <f>'SCHEDULE OF VALUE WORKSHEET'!B74</f>
        <v>WATER SUBMETER (material)</v>
      </c>
      <c r="C78" s="143"/>
      <c r="D78" s="104">
        <f>SUM('SCHEDULE OF VALUE WORKSHEET'!E74)</f>
        <v>12273</v>
      </c>
      <c r="E78" s="104">
        <f>SUM('Draw #7'!E78:F78)</f>
        <v>0</v>
      </c>
      <c r="F78" s="105">
        <v>0</v>
      </c>
      <c r="G78" s="104">
        <f>SUM('Draw #7'!G78)+F78</f>
        <v>12273</v>
      </c>
      <c r="H78" s="109">
        <f t="shared" si="4"/>
        <v>12273</v>
      </c>
      <c r="I78" s="110">
        <v>0</v>
      </c>
      <c r="J78" s="109">
        <f>SUM(I78+'Draw #7'!J78)</f>
        <v>0</v>
      </c>
      <c r="K78" s="101" t="str">
        <f t="shared" si="5"/>
        <v/>
      </c>
      <c r="L78" s="9"/>
      <c r="M78" s="9"/>
    </row>
    <row r="79" spans="1:13" ht="14.1" customHeight="1">
      <c r="A79" s="4">
        <f>'SCHEDULE OF VALUE WORKSHEET'!A75</f>
        <v>69</v>
      </c>
      <c r="B79" s="142" t="str">
        <f>'SCHEDULE OF VALUE WORKSHEET'!B75</f>
        <v>WATER SUBMETER (labor)</v>
      </c>
      <c r="C79" s="143"/>
      <c r="D79" s="104">
        <f>SUM('SCHEDULE OF VALUE WORKSHEET'!E75)</f>
        <v>0</v>
      </c>
      <c r="E79" s="104">
        <f>SUM('Draw #7'!E79:F79)</f>
        <v>0</v>
      </c>
      <c r="F79" s="105">
        <v>0</v>
      </c>
      <c r="G79" s="104">
        <f>SUM('Draw #7'!G79)+F79</f>
        <v>0</v>
      </c>
      <c r="H79" s="109">
        <f t="shared" si="4"/>
        <v>0</v>
      </c>
      <c r="I79" s="110">
        <v>0</v>
      </c>
      <c r="J79" s="109">
        <f>SUM(I79+'Draw #7'!J79)</f>
        <v>0</v>
      </c>
      <c r="K79" s="101" t="str">
        <f t="shared" si="5"/>
        <v/>
      </c>
      <c r="L79" s="9"/>
      <c r="M79" s="9"/>
    </row>
    <row r="80" spans="1:13" ht="14.1" customHeight="1">
      <c r="A80" s="4">
        <f>'SCHEDULE OF VALUE WORKSHEET'!A76</f>
        <v>70</v>
      </c>
      <c r="B80" s="142" t="str">
        <f>'SCHEDULE OF VALUE WORKSHEET'!B76</f>
        <v>ROUGH PLUMBING</v>
      </c>
      <c r="C80" s="143"/>
      <c r="D80" s="104">
        <f>SUM('SCHEDULE OF VALUE WORKSHEET'!E76)</f>
        <v>751927</v>
      </c>
      <c r="E80" s="104">
        <f>SUM('Draw #7'!E80:F80)</f>
        <v>0</v>
      </c>
      <c r="F80" s="105">
        <v>0</v>
      </c>
      <c r="G80" s="104">
        <f>SUM('Draw #7'!G80)+F80</f>
        <v>751927</v>
      </c>
      <c r="H80" s="109">
        <f t="shared" si="4"/>
        <v>751927</v>
      </c>
      <c r="I80" s="110">
        <v>0</v>
      </c>
      <c r="J80" s="109">
        <f>SUM(I80+'Draw #7'!J80)</f>
        <v>0</v>
      </c>
      <c r="K80" s="101" t="str">
        <f t="shared" si="5"/>
        <v/>
      </c>
      <c r="L80" s="9"/>
      <c r="M80" s="9"/>
    </row>
    <row r="81" spans="1:13" ht="14.1" customHeight="1">
      <c r="A81" s="4">
        <f>'SCHEDULE OF VALUE WORKSHEET'!A77</f>
        <v>71</v>
      </c>
      <c r="B81" s="142" t="str">
        <f>'SCHEDULE OF VALUE WORKSHEET'!B77</f>
        <v>FINISH PLUMBING</v>
      </c>
      <c r="C81" s="143"/>
      <c r="D81" s="104">
        <f>SUM('SCHEDULE OF VALUE WORKSHEET'!E77)</f>
        <v>90000</v>
      </c>
      <c r="E81" s="104">
        <f>SUM('Draw #7'!E81:F81)</f>
        <v>0</v>
      </c>
      <c r="F81" s="105">
        <v>0</v>
      </c>
      <c r="G81" s="104">
        <f>SUM('Draw #7'!G81)+F81</f>
        <v>90000</v>
      </c>
      <c r="H81" s="109">
        <f t="shared" si="4"/>
        <v>90000</v>
      </c>
      <c r="I81" s="110">
        <v>0</v>
      </c>
      <c r="J81" s="109">
        <f>SUM(I81+'Draw #7'!J81)</f>
        <v>0</v>
      </c>
      <c r="K81" s="101" t="str">
        <f t="shared" si="5"/>
        <v/>
      </c>
      <c r="L81" s="9"/>
      <c r="M81" s="9"/>
    </row>
    <row r="82" spans="1:13" ht="14.1" customHeight="1">
      <c r="A82" s="4">
        <f>'SCHEDULE OF VALUE WORKSHEET'!A78</f>
        <v>72</v>
      </c>
      <c r="B82" s="142" t="str">
        <f>'SCHEDULE OF VALUE WORKSHEET'!B78</f>
        <v>HVAC</v>
      </c>
      <c r="C82" s="143"/>
      <c r="D82" s="104">
        <f>SUM('SCHEDULE OF VALUE WORKSHEET'!E78)</f>
        <v>259000</v>
      </c>
      <c r="E82" s="104">
        <f>SUM('Draw #7'!E82:F82)</f>
        <v>0</v>
      </c>
      <c r="F82" s="105">
        <v>0</v>
      </c>
      <c r="G82" s="104">
        <f>SUM('Draw #7'!G82)+F82</f>
        <v>259000</v>
      </c>
      <c r="H82" s="109">
        <f t="shared" si="4"/>
        <v>259000</v>
      </c>
      <c r="I82" s="110">
        <v>0</v>
      </c>
      <c r="J82" s="109">
        <f>SUM(I82+'Draw #7'!J82)</f>
        <v>0</v>
      </c>
      <c r="K82" s="101" t="str">
        <f t="shared" si="5"/>
        <v/>
      </c>
      <c r="L82" s="9"/>
      <c r="M82" s="9"/>
    </row>
    <row r="83" spans="1:13" ht="14.1" customHeight="1">
      <c r="A83" s="4">
        <f>'SCHEDULE OF VALUE WORKSHEET'!A79</f>
        <v>73</v>
      </c>
      <c r="B83" s="142" t="str">
        <f>'SCHEDULE OF VALUE WORKSHEET'!B79</f>
        <v>ELECTRICAL</v>
      </c>
      <c r="C83" s="143"/>
      <c r="D83" s="104">
        <f>SUM('SCHEDULE OF VALUE WORKSHEET'!E79)</f>
        <v>880486.32</v>
      </c>
      <c r="E83" s="104">
        <f>SUM('Draw #7'!E83:F83)</f>
        <v>0</v>
      </c>
      <c r="F83" s="105">
        <v>0</v>
      </c>
      <c r="G83" s="104">
        <f>SUM('Draw #7'!G83)+F83</f>
        <v>880486.32</v>
      </c>
      <c r="H83" s="109">
        <f t="shared" si="4"/>
        <v>880486.32</v>
      </c>
      <c r="I83" s="110">
        <v>0</v>
      </c>
      <c r="J83" s="109">
        <f>SUM(I83+'Draw #7'!J83)</f>
        <v>0</v>
      </c>
      <c r="K83" s="101" t="str">
        <f t="shared" si="5"/>
        <v/>
      </c>
      <c r="L83" s="9"/>
      <c r="M83" s="9"/>
    </row>
    <row r="84" spans="1:13" ht="14.1" customHeight="1">
      <c r="A84" s="4">
        <f>'SCHEDULE OF VALUE WORKSHEET'!A80</f>
        <v>74</v>
      </c>
      <c r="B84" s="142" t="str">
        <f>'SCHEDULE OF VALUE WORKSHEET'!B80</f>
        <v xml:space="preserve">CONTINGENCY </v>
      </c>
      <c r="C84" s="143"/>
      <c r="D84" s="104">
        <f>SUM('SCHEDULE OF VALUE WORKSHEET'!E80)</f>
        <v>529215.20000000007</v>
      </c>
      <c r="E84" s="104">
        <f>SUM('Draw #7'!E84:F84)</f>
        <v>0</v>
      </c>
      <c r="F84" s="105">
        <v>0</v>
      </c>
      <c r="G84" s="104">
        <f>SUM('Draw #7'!G84)+F84</f>
        <v>529215.20000000007</v>
      </c>
      <c r="H84" s="109">
        <f t="shared" si="4"/>
        <v>529215.20000000007</v>
      </c>
      <c r="I84" s="110">
        <v>0</v>
      </c>
      <c r="J84" s="109">
        <f>SUM(I84+'Draw #7'!J84)</f>
        <v>0</v>
      </c>
      <c r="K84" s="101" t="str">
        <f t="shared" si="5"/>
        <v/>
      </c>
      <c r="L84" s="9"/>
      <c r="M84" s="9"/>
    </row>
    <row r="85" spans="1:13" ht="14.1" customHeight="1">
      <c r="A85" s="4">
        <f>'SCHEDULE OF VALUE WORKSHEET'!A81</f>
        <v>75</v>
      </c>
      <c r="B85" s="142" t="str">
        <f>'SCHEDULE OF VALUE WORKSHEET'!B81</f>
        <v>INSURANCE (GL w/auto, workers compl)</v>
      </c>
      <c r="C85" s="143"/>
      <c r="D85" s="104">
        <f>SUM('SCHEDULE OF VALUE WORKSHEET'!E81)</f>
        <v>97177.07</v>
      </c>
      <c r="E85" s="104">
        <f>SUM('Draw #7'!E85:F85)</f>
        <v>0</v>
      </c>
      <c r="F85" s="105">
        <v>0</v>
      </c>
      <c r="G85" s="104">
        <f>SUM('Draw #7'!G85)+F85</f>
        <v>97177.07</v>
      </c>
      <c r="H85" s="109">
        <f t="shared" si="4"/>
        <v>97177.07</v>
      </c>
      <c r="I85" s="110">
        <v>0</v>
      </c>
      <c r="J85" s="109">
        <f>SUM(I85+'Draw #7'!J85)</f>
        <v>0</v>
      </c>
      <c r="K85" s="101" t="str">
        <f t="shared" si="5"/>
        <v/>
      </c>
      <c r="L85" s="9"/>
      <c r="M85" s="9"/>
    </row>
    <row r="86" spans="1:13" ht="14.1" customHeight="1">
      <c r="A86" s="4">
        <f>'SCHEDULE OF VALUE WORKSHEET'!A82</f>
        <v>76</v>
      </c>
      <c r="B86" s="142" t="str">
        <f>'SCHEDULE OF VALUE WORKSHEET'!B82</f>
        <v>GROSS RECEIPT TAX</v>
      </c>
      <c r="C86" s="143"/>
      <c r="D86" s="104">
        <f>SUM('SCHEDULE OF VALUE WORKSHEET'!E82)</f>
        <v>6543.26</v>
      </c>
      <c r="E86" s="104">
        <f>SUM('Draw #7'!E86:F86)</f>
        <v>0</v>
      </c>
      <c r="F86" s="105">
        <v>0</v>
      </c>
      <c r="G86" s="104">
        <f>SUM('Draw #7'!G86)+F86</f>
        <v>6543.26</v>
      </c>
      <c r="H86" s="109">
        <f t="shared" si="4"/>
        <v>6543.26</v>
      </c>
      <c r="I86" s="110">
        <v>0</v>
      </c>
      <c r="J86" s="109">
        <f>SUM(I86+'Draw #7'!J86)</f>
        <v>0</v>
      </c>
      <c r="K86" s="101" t="str">
        <f t="shared" si="5"/>
        <v/>
      </c>
      <c r="L86" s="9"/>
      <c r="M86" s="9"/>
    </row>
    <row r="87" spans="1:13" ht="14.1" customHeight="1">
      <c r="A87" s="4">
        <f>'SCHEDULE OF VALUE WORKSHEET'!A83</f>
        <v>77</v>
      </c>
      <c r="B87" s="142" t="str">
        <f>'SCHEDULE OF VALUE WORKSHEET'!B83</f>
        <v>GC FEE</v>
      </c>
      <c r="C87" s="143"/>
      <c r="D87" s="104">
        <f>SUM('SCHEDULE OF VALUE WORKSHEET'!E83)</f>
        <v>388708.28</v>
      </c>
      <c r="E87" s="104">
        <f>SUM('Draw #7'!E87:F87)</f>
        <v>0</v>
      </c>
      <c r="F87" s="105">
        <v>0</v>
      </c>
      <c r="G87" s="104">
        <f>SUM('Draw #7'!G87)+F87</f>
        <v>388708.28</v>
      </c>
      <c r="H87" s="109">
        <f t="shared" si="4"/>
        <v>388708.28</v>
      </c>
      <c r="I87" s="110">
        <v>0</v>
      </c>
      <c r="J87" s="109">
        <f>SUM(I87+'Draw #7'!J87)</f>
        <v>0</v>
      </c>
      <c r="K87" s="101" t="str">
        <f t="shared" si="5"/>
        <v/>
      </c>
      <c r="L87" s="9"/>
      <c r="M87" s="9"/>
    </row>
    <row r="88" spans="1:13" ht="14.1" customHeight="1">
      <c r="A88" s="4">
        <f>'SCHEDULE OF VALUE WORKSHEET'!A84</f>
        <v>78</v>
      </c>
      <c r="B88" s="142" t="str">
        <f>'SCHEDULE OF VALUE WORKSHEET'!B84</f>
        <v>DEVELOPMENT FEE</v>
      </c>
      <c r="C88" s="143"/>
      <c r="D88" s="104">
        <f>SUM('SCHEDULE OF VALUE WORKSHEET'!E84)</f>
        <v>180523.5</v>
      </c>
      <c r="E88" s="104">
        <f>SUM('Draw #7'!E88:F88)</f>
        <v>0</v>
      </c>
      <c r="F88" s="105">
        <v>0</v>
      </c>
      <c r="G88" s="104">
        <f>SUM('Draw #7'!G88)+F88</f>
        <v>180523.5</v>
      </c>
      <c r="H88" s="109">
        <f t="shared" si="4"/>
        <v>180523.5</v>
      </c>
      <c r="I88" s="110">
        <v>0</v>
      </c>
      <c r="J88" s="109">
        <f>SUM(I88+'Draw #7'!J88)</f>
        <v>0</v>
      </c>
      <c r="K88" s="101" t="str">
        <f t="shared" si="5"/>
        <v/>
      </c>
      <c r="L88" s="9"/>
      <c r="M88" s="9"/>
    </row>
    <row r="89" spans="1:13" ht="14.1" customHeight="1">
      <c r="A89" s="4">
        <f>'SCHEDULE OF VALUE WORKSHEET'!A85</f>
        <v>79</v>
      </c>
      <c r="B89" s="142" t="str">
        <f>'SCHEDULE OF VALUE WORKSHEET'!B85</f>
        <v>CARRYING COSTS</v>
      </c>
      <c r="C89" s="143"/>
      <c r="D89" s="104">
        <f>SUM('SCHEDULE OF VALUE WORKSHEET'!E85)</f>
        <v>92885.53</v>
      </c>
      <c r="E89" s="104">
        <f>SUM('Draw #7'!E89:F89)</f>
        <v>0</v>
      </c>
      <c r="F89" s="105">
        <v>0</v>
      </c>
      <c r="G89" s="104">
        <f>SUM('Draw #7'!G89)+F89</f>
        <v>92885.53</v>
      </c>
      <c r="H89" s="109">
        <f t="shared" si="4"/>
        <v>92885.53</v>
      </c>
      <c r="I89" s="110">
        <v>0</v>
      </c>
      <c r="J89" s="109">
        <f>SUM(I89+'Draw #7'!J89)</f>
        <v>0</v>
      </c>
      <c r="K89" s="101" t="str">
        <f t="shared" si="5"/>
        <v/>
      </c>
      <c r="L89" s="9"/>
      <c r="M89" s="9"/>
    </row>
    <row r="90" spans="1:13" ht="14.1" customHeight="1">
      <c r="A90" s="4">
        <f>'SCHEDULE OF VALUE WORKSHEET'!A86</f>
        <v>80</v>
      </c>
      <c r="B90" s="142" t="str">
        <f>'SCHEDULE OF VALUE WORKSHEET'!B86</f>
        <v>FINANCING COSTS</v>
      </c>
      <c r="C90" s="143"/>
      <c r="D90" s="104">
        <f>SUM('SCHEDULE OF VALUE WORKSHEET'!E86)</f>
        <v>0</v>
      </c>
      <c r="E90" s="104">
        <f>SUM('Draw #7'!E90:F90)</f>
        <v>0</v>
      </c>
      <c r="F90" s="105">
        <v>0</v>
      </c>
      <c r="G90" s="104">
        <f>SUM('Draw #7'!G90)+F90</f>
        <v>0</v>
      </c>
      <c r="H90" s="109">
        <f t="shared" si="4"/>
        <v>0</v>
      </c>
      <c r="I90" s="110">
        <v>0</v>
      </c>
      <c r="J90" s="109">
        <f>SUM(I90+'Draw #7'!J90)</f>
        <v>0</v>
      </c>
      <c r="K90" s="101" t="str">
        <f t="shared" si="5"/>
        <v/>
      </c>
      <c r="L90" s="9"/>
      <c r="M90" s="9"/>
    </row>
    <row r="91" spans="1:13" ht="14.1" customHeight="1">
      <c r="A91" s="4" t="e">
        <f>'SCHEDULE OF VALUE WORKSHEET'!#REF!</f>
        <v>#REF!</v>
      </c>
      <c r="B91" s="142" t="e">
        <f>'SCHEDULE OF VALUE WORKSHEET'!#REF!</f>
        <v>#REF!</v>
      </c>
      <c r="C91" s="143"/>
      <c r="D91" s="104" t="e">
        <f>SUM('SCHEDULE OF VALUE WORKSHEET'!#REF!)</f>
        <v>#REF!</v>
      </c>
      <c r="E91" s="104">
        <f>SUM('Draw #7'!E91:F91)</f>
        <v>0</v>
      </c>
      <c r="F91" s="105">
        <v>0</v>
      </c>
      <c r="G91" s="104" t="e">
        <f>SUM('Draw #7'!G91)+F91</f>
        <v>#REF!</v>
      </c>
      <c r="H91" s="109" t="e">
        <f t="shared" si="4"/>
        <v>#REF!</v>
      </c>
      <c r="I91" s="110">
        <v>0</v>
      </c>
      <c r="J91" s="109">
        <f>SUM(I91+'Draw #7'!J91)</f>
        <v>0</v>
      </c>
      <c r="K91" s="101" t="str">
        <f t="shared" si="5"/>
        <v/>
      </c>
      <c r="L91" s="9"/>
      <c r="M91" s="9"/>
    </row>
    <row r="92" spans="1:13" ht="14.1" customHeight="1">
      <c r="A92" s="4" t="e">
        <f>'SCHEDULE OF VALUE WORKSHEET'!#REF!</f>
        <v>#REF!</v>
      </c>
      <c r="B92" s="142" t="e">
        <f>'SCHEDULE OF VALUE WORKSHEET'!#REF!</f>
        <v>#REF!</v>
      </c>
      <c r="C92" s="143"/>
      <c r="D92" s="104" t="e">
        <f>SUM('SCHEDULE OF VALUE WORKSHEET'!#REF!)</f>
        <v>#REF!</v>
      </c>
      <c r="E92" s="104">
        <f>SUM('Draw #7'!E92:F92)</f>
        <v>0</v>
      </c>
      <c r="F92" s="105">
        <v>0</v>
      </c>
      <c r="G92" s="104" t="e">
        <f>SUM('Draw #7'!G92)+F92</f>
        <v>#REF!</v>
      </c>
      <c r="H92" s="109" t="e">
        <f t="shared" si="4"/>
        <v>#REF!</v>
      </c>
      <c r="I92" s="110">
        <v>0</v>
      </c>
      <c r="J92" s="109">
        <f>SUM(I92+'Draw #7'!J92)</f>
        <v>0</v>
      </c>
      <c r="K92" s="101" t="str">
        <f t="shared" si="5"/>
        <v/>
      </c>
      <c r="L92" s="9"/>
      <c r="M92" s="9"/>
    </row>
    <row r="93" spans="1:13" ht="14.1" customHeight="1">
      <c r="A93" s="4" t="e">
        <f>'SCHEDULE OF VALUE WORKSHEET'!#REF!</f>
        <v>#REF!</v>
      </c>
      <c r="B93" s="142" t="e">
        <f>'SCHEDULE OF VALUE WORKSHEET'!#REF!</f>
        <v>#REF!</v>
      </c>
      <c r="C93" s="143"/>
      <c r="D93" s="104" t="e">
        <f>SUM('SCHEDULE OF VALUE WORKSHEET'!#REF!)</f>
        <v>#REF!</v>
      </c>
      <c r="E93" s="104">
        <f>SUM('Draw #7'!E93:F93)</f>
        <v>0</v>
      </c>
      <c r="F93" s="105">
        <v>0</v>
      </c>
      <c r="G93" s="104" t="e">
        <f>SUM('Draw #7'!G93)+F93</f>
        <v>#REF!</v>
      </c>
      <c r="H93" s="109" t="e">
        <f t="shared" si="4"/>
        <v>#REF!</v>
      </c>
      <c r="I93" s="110">
        <v>0</v>
      </c>
      <c r="J93" s="109">
        <f>SUM(I93+'Draw #7'!J93)</f>
        <v>0</v>
      </c>
      <c r="K93" s="101" t="str">
        <f t="shared" si="5"/>
        <v/>
      </c>
      <c r="L93" s="9"/>
      <c r="M93" s="9"/>
    </row>
    <row r="94" spans="1:13" ht="14.1" customHeight="1">
      <c r="A94" s="4" t="e">
        <f>'SCHEDULE OF VALUE WORKSHEET'!#REF!</f>
        <v>#REF!</v>
      </c>
      <c r="B94" s="142" t="e">
        <f>'SCHEDULE OF VALUE WORKSHEET'!#REF!</f>
        <v>#REF!</v>
      </c>
      <c r="C94" s="143"/>
      <c r="D94" s="104" t="e">
        <f>SUM('SCHEDULE OF VALUE WORKSHEET'!#REF!)</f>
        <v>#REF!</v>
      </c>
      <c r="E94" s="104">
        <f>SUM('Draw #7'!E94:F94)</f>
        <v>0</v>
      </c>
      <c r="F94" s="105">
        <v>0</v>
      </c>
      <c r="G94" s="104" t="e">
        <f>SUM('Draw #7'!G94)+F94</f>
        <v>#REF!</v>
      </c>
      <c r="H94" s="109" t="e">
        <f t="shared" si="4"/>
        <v>#REF!</v>
      </c>
      <c r="I94" s="110">
        <v>0</v>
      </c>
      <c r="J94" s="109">
        <f>SUM(I94+'Draw #7'!J94)</f>
        <v>0</v>
      </c>
      <c r="K94" s="101" t="str">
        <f t="shared" si="5"/>
        <v/>
      </c>
      <c r="L94" s="9"/>
      <c r="M94" s="9"/>
    </row>
    <row r="95" spans="1:13" ht="14.1" customHeight="1">
      <c r="A95" s="4" t="e">
        <f>'SCHEDULE OF VALUE WORKSHEET'!#REF!</f>
        <v>#REF!</v>
      </c>
      <c r="B95" s="142" t="e">
        <f>'SCHEDULE OF VALUE WORKSHEET'!#REF!</f>
        <v>#REF!</v>
      </c>
      <c r="C95" s="143"/>
      <c r="D95" s="104" t="e">
        <f>SUM('SCHEDULE OF VALUE WORKSHEET'!#REF!)</f>
        <v>#REF!</v>
      </c>
      <c r="E95" s="104">
        <f>SUM('Draw #7'!E95:F95)</f>
        <v>0</v>
      </c>
      <c r="F95" s="105">
        <v>0</v>
      </c>
      <c r="G95" s="104" t="e">
        <f>SUM('Draw #7'!G95)+F95</f>
        <v>#REF!</v>
      </c>
      <c r="H95" s="109" t="e">
        <f t="shared" si="4"/>
        <v>#REF!</v>
      </c>
      <c r="I95" s="110">
        <v>0</v>
      </c>
      <c r="J95" s="109">
        <f>SUM(I95+'Draw #7'!J95)</f>
        <v>0</v>
      </c>
      <c r="K95" s="101" t="str">
        <f t="shared" si="5"/>
        <v/>
      </c>
      <c r="L95" s="9"/>
      <c r="M95" s="9"/>
    </row>
    <row r="96" spans="1:13" ht="14.1" customHeight="1">
      <c r="A96" s="4" t="e">
        <f>'SCHEDULE OF VALUE WORKSHEET'!#REF!</f>
        <v>#REF!</v>
      </c>
      <c r="B96" s="142" t="e">
        <f>'SCHEDULE OF VALUE WORKSHEET'!#REF!</f>
        <v>#REF!</v>
      </c>
      <c r="C96" s="143"/>
      <c r="D96" s="104" t="e">
        <f>SUM('SCHEDULE OF VALUE WORKSHEET'!#REF!)</f>
        <v>#REF!</v>
      </c>
      <c r="E96" s="104">
        <f>SUM('Draw #7'!E96:F96)</f>
        <v>0</v>
      </c>
      <c r="F96" s="105">
        <v>0</v>
      </c>
      <c r="G96" s="104" t="e">
        <f>SUM('Draw #7'!G96)+F96</f>
        <v>#REF!</v>
      </c>
      <c r="H96" s="109" t="e">
        <f t="shared" si="4"/>
        <v>#REF!</v>
      </c>
      <c r="I96" s="110">
        <v>0</v>
      </c>
      <c r="J96" s="109">
        <f>SUM(I96+'Draw #7'!J96)</f>
        <v>0</v>
      </c>
      <c r="K96" s="101" t="str">
        <f t="shared" si="5"/>
        <v/>
      </c>
      <c r="L96" s="9"/>
      <c r="M96" s="9"/>
    </row>
    <row r="97" spans="1:13" ht="14.1" customHeight="1">
      <c r="A97" s="4" t="e">
        <f>'SCHEDULE OF VALUE WORKSHEET'!#REF!</f>
        <v>#REF!</v>
      </c>
      <c r="B97" s="142" t="e">
        <f>'SCHEDULE OF VALUE WORKSHEET'!#REF!</f>
        <v>#REF!</v>
      </c>
      <c r="C97" s="143"/>
      <c r="D97" s="104" t="e">
        <f>SUM('SCHEDULE OF VALUE WORKSHEET'!#REF!)</f>
        <v>#REF!</v>
      </c>
      <c r="E97" s="104">
        <f>SUM('Draw #7'!E97:F97)</f>
        <v>0</v>
      </c>
      <c r="F97" s="105">
        <v>0</v>
      </c>
      <c r="G97" s="104" t="e">
        <f>SUM('Draw #7'!G97)+F97</f>
        <v>#REF!</v>
      </c>
      <c r="H97" s="109" t="e">
        <f t="shared" si="4"/>
        <v>#REF!</v>
      </c>
      <c r="I97" s="110">
        <v>0</v>
      </c>
      <c r="J97" s="109">
        <f>SUM(I97+'Draw #7'!J97)</f>
        <v>0</v>
      </c>
      <c r="K97" s="101" t="str">
        <f t="shared" si="5"/>
        <v/>
      </c>
      <c r="L97" s="9"/>
      <c r="M97" s="9"/>
    </row>
    <row r="98" spans="1:13" ht="14.1" customHeight="1">
      <c r="A98" s="4" t="e">
        <f>'SCHEDULE OF VALUE WORKSHEET'!#REF!</f>
        <v>#REF!</v>
      </c>
      <c r="B98" s="142" t="e">
        <f>'SCHEDULE OF VALUE WORKSHEET'!#REF!</f>
        <v>#REF!</v>
      </c>
      <c r="C98" s="143"/>
      <c r="D98" s="104" t="e">
        <f>SUM('SCHEDULE OF VALUE WORKSHEET'!#REF!)</f>
        <v>#REF!</v>
      </c>
      <c r="E98" s="104">
        <f>SUM('Draw #7'!E98:F98)</f>
        <v>0</v>
      </c>
      <c r="F98" s="105">
        <v>0</v>
      </c>
      <c r="G98" s="104" t="e">
        <f>SUM('Draw #7'!G98)+F98</f>
        <v>#REF!</v>
      </c>
      <c r="H98" s="109" t="e">
        <f t="shared" si="4"/>
        <v>#REF!</v>
      </c>
      <c r="I98" s="110">
        <v>0</v>
      </c>
      <c r="J98" s="109">
        <f>SUM(I98+'Draw #7'!J98)</f>
        <v>0</v>
      </c>
      <c r="K98" s="101" t="str">
        <f t="shared" si="5"/>
        <v/>
      </c>
      <c r="L98" s="9"/>
      <c r="M98" s="9"/>
    </row>
    <row r="99" spans="1:13" ht="14.1" customHeight="1">
      <c r="A99" s="4" t="e">
        <f>'SCHEDULE OF VALUE WORKSHEET'!#REF!</f>
        <v>#REF!</v>
      </c>
      <c r="B99" s="142" t="e">
        <f>'SCHEDULE OF VALUE WORKSHEET'!#REF!</f>
        <v>#REF!</v>
      </c>
      <c r="C99" s="143"/>
      <c r="D99" s="104" t="e">
        <f>SUM('SCHEDULE OF VALUE WORKSHEET'!#REF!)</f>
        <v>#REF!</v>
      </c>
      <c r="E99" s="104">
        <f>SUM('Draw #7'!E99:F99)</f>
        <v>0</v>
      </c>
      <c r="F99" s="105">
        <v>0</v>
      </c>
      <c r="G99" s="104" t="e">
        <f>SUM('Draw #7'!G99)+F99</f>
        <v>#REF!</v>
      </c>
      <c r="H99" s="109" t="e">
        <f t="shared" si="4"/>
        <v>#REF!</v>
      </c>
      <c r="I99" s="110">
        <v>0</v>
      </c>
      <c r="J99" s="109">
        <f>SUM(I99+'Draw #7'!J99)</f>
        <v>0</v>
      </c>
      <c r="K99" s="101" t="str">
        <f t="shared" si="5"/>
        <v/>
      </c>
      <c r="L99" s="9"/>
      <c r="M99" s="9"/>
    </row>
    <row r="100" spans="1:13" ht="14.1" customHeight="1">
      <c r="A100" s="4" t="e">
        <f>'SCHEDULE OF VALUE WORKSHEET'!#REF!</f>
        <v>#REF!</v>
      </c>
      <c r="B100" s="142" t="e">
        <f>'SCHEDULE OF VALUE WORKSHEET'!#REF!</f>
        <v>#REF!</v>
      </c>
      <c r="C100" s="143"/>
      <c r="D100" s="104" t="e">
        <f>SUM('SCHEDULE OF VALUE WORKSHEET'!#REF!)</f>
        <v>#REF!</v>
      </c>
      <c r="E100" s="104">
        <f>SUM('Draw #7'!E100:F100)</f>
        <v>0</v>
      </c>
      <c r="F100" s="105">
        <v>0</v>
      </c>
      <c r="G100" s="104" t="e">
        <f>SUM('Draw #7'!G100)+F100</f>
        <v>#REF!</v>
      </c>
      <c r="H100" s="109" t="e">
        <f t="shared" si="4"/>
        <v>#REF!</v>
      </c>
      <c r="I100" s="110">
        <v>0</v>
      </c>
      <c r="J100" s="109">
        <f>SUM(I100+'Draw #7'!J100)</f>
        <v>0</v>
      </c>
      <c r="K100" s="101" t="str">
        <f t="shared" si="5"/>
        <v/>
      </c>
      <c r="L100" s="9"/>
      <c r="M100" s="9"/>
    </row>
    <row r="101" spans="1:13" ht="14.1" customHeight="1">
      <c r="A101" s="4" t="e">
        <f>'SCHEDULE OF VALUE WORKSHEET'!#REF!</f>
        <v>#REF!</v>
      </c>
      <c r="B101" s="142" t="e">
        <f>'SCHEDULE OF VALUE WORKSHEET'!#REF!</f>
        <v>#REF!</v>
      </c>
      <c r="C101" s="143"/>
      <c r="D101" s="104" t="e">
        <f>SUM('SCHEDULE OF VALUE WORKSHEET'!#REF!)</f>
        <v>#REF!</v>
      </c>
      <c r="E101" s="104">
        <f>SUM('Draw #7'!E101:F101)</f>
        <v>0</v>
      </c>
      <c r="F101" s="105">
        <v>0</v>
      </c>
      <c r="G101" s="104" t="e">
        <f>SUM('Draw #7'!G101)+F101</f>
        <v>#REF!</v>
      </c>
      <c r="H101" s="109" t="e">
        <f t="shared" si="4"/>
        <v>#REF!</v>
      </c>
      <c r="I101" s="110">
        <v>0</v>
      </c>
      <c r="J101" s="109">
        <f>SUM(I101+'Draw #7'!J101)</f>
        <v>0</v>
      </c>
      <c r="K101" s="101" t="str">
        <f t="shared" si="5"/>
        <v/>
      </c>
      <c r="L101" s="9"/>
      <c r="M101" s="9"/>
    </row>
    <row r="102" spans="1:13" ht="14.1" customHeight="1">
      <c r="A102" s="4" t="e">
        <f>'SCHEDULE OF VALUE WORKSHEET'!#REF!</f>
        <v>#REF!</v>
      </c>
      <c r="B102" s="142" t="e">
        <f>'SCHEDULE OF VALUE WORKSHEET'!#REF!</f>
        <v>#REF!</v>
      </c>
      <c r="C102" s="143"/>
      <c r="D102" s="104" t="e">
        <f>SUM('SCHEDULE OF VALUE WORKSHEET'!#REF!)</f>
        <v>#REF!</v>
      </c>
      <c r="E102" s="104">
        <f>SUM('Draw #7'!E102:F102)</f>
        <v>0</v>
      </c>
      <c r="F102" s="105">
        <v>0</v>
      </c>
      <c r="G102" s="104" t="e">
        <f>SUM('Draw #7'!G102)+F102</f>
        <v>#REF!</v>
      </c>
      <c r="H102" s="109" t="e">
        <f t="shared" si="4"/>
        <v>#REF!</v>
      </c>
      <c r="I102" s="110">
        <v>0</v>
      </c>
      <c r="J102" s="109">
        <f>SUM(I102+'Draw #7'!J102)</f>
        <v>0</v>
      </c>
      <c r="K102" s="101" t="str">
        <f t="shared" si="5"/>
        <v/>
      </c>
      <c r="L102" s="9"/>
      <c r="M102" s="9"/>
    </row>
    <row r="103" spans="1:13" ht="14.1" customHeight="1">
      <c r="A103" s="4" t="e">
        <f>'SCHEDULE OF VALUE WORKSHEET'!#REF!</f>
        <v>#REF!</v>
      </c>
      <c r="B103" s="142" t="e">
        <f>'SCHEDULE OF VALUE WORKSHEET'!#REF!</f>
        <v>#REF!</v>
      </c>
      <c r="C103" s="143"/>
      <c r="D103" s="104" t="e">
        <f>SUM('SCHEDULE OF VALUE WORKSHEET'!#REF!)</f>
        <v>#REF!</v>
      </c>
      <c r="E103" s="104">
        <f>SUM('Draw #7'!E103:F103)</f>
        <v>0</v>
      </c>
      <c r="F103" s="105">
        <v>0</v>
      </c>
      <c r="G103" s="104" t="e">
        <f>SUM('Draw #7'!G103)+F103</f>
        <v>#REF!</v>
      </c>
      <c r="H103" s="109" t="e">
        <f t="shared" si="4"/>
        <v>#REF!</v>
      </c>
      <c r="I103" s="110">
        <v>0</v>
      </c>
      <c r="J103" s="109">
        <f>SUM(I103+'Draw #7'!J103)</f>
        <v>0</v>
      </c>
      <c r="K103" s="101" t="str">
        <f t="shared" si="5"/>
        <v/>
      </c>
      <c r="L103" s="9"/>
      <c r="M103" s="9"/>
    </row>
    <row r="104" spans="1:13" ht="14.1" customHeight="1">
      <c r="A104" s="4" t="e">
        <f>'SCHEDULE OF VALUE WORKSHEET'!#REF!</f>
        <v>#REF!</v>
      </c>
      <c r="B104" s="142" t="e">
        <f>'SCHEDULE OF VALUE WORKSHEET'!#REF!</f>
        <v>#REF!</v>
      </c>
      <c r="C104" s="143"/>
      <c r="D104" s="104" t="e">
        <f>SUM('SCHEDULE OF VALUE WORKSHEET'!#REF!)</f>
        <v>#REF!</v>
      </c>
      <c r="E104" s="104">
        <f>SUM('Draw #7'!E104:F104)</f>
        <v>0</v>
      </c>
      <c r="F104" s="105">
        <v>0</v>
      </c>
      <c r="G104" s="104" t="e">
        <f>SUM('Draw #7'!G104)+F104</f>
        <v>#REF!</v>
      </c>
      <c r="H104" s="109" t="e">
        <f t="shared" si="4"/>
        <v>#REF!</v>
      </c>
      <c r="I104" s="110">
        <v>0</v>
      </c>
      <c r="J104" s="109">
        <f>SUM(I104+'Draw #7'!J104)</f>
        <v>0</v>
      </c>
      <c r="K104" s="101" t="str">
        <f t="shared" si="5"/>
        <v/>
      </c>
      <c r="L104" s="9"/>
      <c r="M104" s="9"/>
    </row>
    <row r="105" spans="1:13" ht="14.1" customHeight="1">
      <c r="A105" s="4" t="e">
        <f>'SCHEDULE OF VALUE WORKSHEET'!#REF!</f>
        <v>#REF!</v>
      </c>
      <c r="B105" s="142" t="e">
        <f>'SCHEDULE OF VALUE WORKSHEET'!#REF!</f>
        <v>#REF!</v>
      </c>
      <c r="C105" s="143"/>
      <c r="D105" s="104" t="e">
        <f>SUM('SCHEDULE OF VALUE WORKSHEET'!#REF!)</f>
        <v>#REF!</v>
      </c>
      <c r="E105" s="104">
        <f>SUM('Draw #7'!E105:F105)</f>
        <v>0</v>
      </c>
      <c r="F105" s="105">
        <v>0</v>
      </c>
      <c r="G105" s="104" t="e">
        <f>SUM('Draw #7'!G105)+F105</f>
        <v>#REF!</v>
      </c>
      <c r="H105" s="109" t="e">
        <f t="shared" si="4"/>
        <v>#REF!</v>
      </c>
      <c r="I105" s="110">
        <v>0</v>
      </c>
      <c r="J105" s="109">
        <f>SUM(I105+'Draw #7'!J105)</f>
        <v>0</v>
      </c>
      <c r="K105" s="101" t="str">
        <f t="shared" si="5"/>
        <v/>
      </c>
      <c r="L105" s="9"/>
      <c r="M105" s="9"/>
    </row>
    <row r="106" spans="1:13" ht="14.1" customHeight="1">
      <c r="A106" s="4" t="e">
        <f>'SCHEDULE OF VALUE WORKSHEET'!#REF!</f>
        <v>#REF!</v>
      </c>
      <c r="B106" s="142" t="e">
        <f>'SCHEDULE OF VALUE WORKSHEET'!#REF!</f>
        <v>#REF!</v>
      </c>
      <c r="C106" s="143"/>
      <c r="D106" s="104" t="e">
        <f>SUM('SCHEDULE OF VALUE WORKSHEET'!#REF!)</f>
        <v>#REF!</v>
      </c>
      <c r="E106" s="104">
        <f>SUM('Draw #7'!E106:F106)</f>
        <v>0</v>
      </c>
      <c r="F106" s="105">
        <v>0</v>
      </c>
      <c r="G106" s="104" t="e">
        <f>SUM('Draw #7'!G106)+F106</f>
        <v>#REF!</v>
      </c>
      <c r="H106" s="109" t="e">
        <f t="shared" si="4"/>
        <v>#REF!</v>
      </c>
      <c r="I106" s="110">
        <v>0</v>
      </c>
      <c r="J106" s="109">
        <f>SUM(I106+'Draw #7'!J106)</f>
        <v>0</v>
      </c>
      <c r="K106" s="101" t="str">
        <f t="shared" si="5"/>
        <v/>
      </c>
      <c r="L106" s="9"/>
      <c r="M106" s="9"/>
    </row>
    <row r="107" spans="1:13" ht="14.1" customHeight="1">
      <c r="A107" s="4" t="e">
        <f>'SCHEDULE OF VALUE WORKSHEET'!#REF!</f>
        <v>#REF!</v>
      </c>
      <c r="B107" s="142" t="e">
        <f>'SCHEDULE OF VALUE WORKSHEET'!#REF!</f>
        <v>#REF!</v>
      </c>
      <c r="C107" s="143"/>
      <c r="D107" s="104" t="e">
        <f>SUM('SCHEDULE OF VALUE WORKSHEET'!#REF!)</f>
        <v>#REF!</v>
      </c>
      <c r="E107" s="104">
        <f>SUM('Draw #7'!E107:F107)</f>
        <v>0</v>
      </c>
      <c r="F107" s="105">
        <v>0</v>
      </c>
      <c r="G107" s="104" t="e">
        <f>SUM('Draw #7'!G107)+F107</f>
        <v>#REF!</v>
      </c>
      <c r="H107" s="109" t="e">
        <f t="shared" si="4"/>
        <v>#REF!</v>
      </c>
      <c r="I107" s="110">
        <v>0</v>
      </c>
      <c r="J107" s="109">
        <f>SUM(I107+'Draw #7'!J107)</f>
        <v>0</v>
      </c>
      <c r="K107" s="101" t="str">
        <f t="shared" si="5"/>
        <v/>
      </c>
      <c r="L107" s="9"/>
      <c r="M107" s="9"/>
    </row>
    <row r="108" spans="1:13" ht="14.1" customHeight="1">
      <c r="A108" s="4" t="e">
        <f>'SCHEDULE OF VALUE WORKSHEET'!#REF!</f>
        <v>#REF!</v>
      </c>
      <c r="B108" s="142" t="e">
        <f>'SCHEDULE OF VALUE WORKSHEET'!#REF!</f>
        <v>#REF!</v>
      </c>
      <c r="C108" s="143"/>
      <c r="D108" s="104" t="e">
        <f>SUM('SCHEDULE OF VALUE WORKSHEET'!#REF!)</f>
        <v>#REF!</v>
      </c>
      <c r="E108" s="104">
        <f>SUM('Draw #7'!E108:F108)</f>
        <v>0</v>
      </c>
      <c r="F108" s="105">
        <v>0</v>
      </c>
      <c r="G108" s="104" t="e">
        <f>SUM('Draw #7'!G108)+F108</f>
        <v>#REF!</v>
      </c>
      <c r="H108" s="109" t="e">
        <f t="shared" si="4"/>
        <v>#REF!</v>
      </c>
      <c r="I108" s="110">
        <v>0</v>
      </c>
      <c r="J108" s="109">
        <f>SUM(I108+'Draw #7'!J108)</f>
        <v>0</v>
      </c>
      <c r="K108" s="101" t="str">
        <f t="shared" si="5"/>
        <v/>
      </c>
      <c r="L108" s="9"/>
      <c r="M108" s="9"/>
    </row>
    <row r="109" spans="1:13" ht="14.1" customHeight="1">
      <c r="A109" s="4" t="e">
        <f>'SCHEDULE OF VALUE WORKSHEET'!#REF!</f>
        <v>#REF!</v>
      </c>
      <c r="B109" s="142" t="e">
        <f>'SCHEDULE OF VALUE WORKSHEET'!#REF!</f>
        <v>#REF!</v>
      </c>
      <c r="C109" s="143"/>
      <c r="D109" s="104" t="e">
        <f>SUM('SCHEDULE OF VALUE WORKSHEET'!#REF!)</f>
        <v>#REF!</v>
      </c>
      <c r="E109" s="104">
        <f>SUM('Draw #7'!E109:F109)</f>
        <v>0</v>
      </c>
      <c r="F109" s="105">
        <v>0</v>
      </c>
      <c r="G109" s="104" t="e">
        <f>SUM('Draw #7'!G109)+F109</f>
        <v>#REF!</v>
      </c>
      <c r="H109" s="109" t="e">
        <f t="shared" si="4"/>
        <v>#REF!</v>
      </c>
      <c r="I109" s="110">
        <v>0</v>
      </c>
      <c r="J109" s="109">
        <f>SUM(I109+'Draw #7'!J109)</f>
        <v>0</v>
      </c>
      <c r="K109" s="101" t="str">
        <f t="shared" si="5"/>
        <v/>
      </c>
      <c r="L109" s="9"/>
      <c r="M109" s="9"/>
    </row>
    <row r="110" spans="1:13" ht="14.1" customHeight="1">
      <c r="A110" s="4" t="e">
        <f>'SCHEDULE OF VALUE WORKSHEET'!#REF!</f>
        <v>#REF!</v>
      </c>
      <c r="B110" s="142" t="e">
        <f>'SCHEDULE OF VALUE WORKSHEET'!#REF!</f>
        <v>#REF!</v>
      </c>
      <c r="C110" s="143"/>
      <c r="D110" s="104" t="e">
        <f>SUM('SCHEDULE OF VALUE WORKSHEET'!#REF!)</f>
        <v>#REF!</v>
      </c>
      <c r="E110" s="104">
        <f>SUM('Draw #7'!E110:F110)</f>
        <v>0</v>
      </c>
      <c r="F110" s="105">
        <v>0</v>
      </c>
      <c r="G110" s="104" t="e">
        <f>SUM('Draw #7'!G110)+F110</f>
        <v>#REF!</v>
      </c>
      <c r="H110" s="109" t="e">
        <f t="shared" si="4"/>
        <v>#REF!</v>
      </c>
      <c r="I110" s="110">
        <v>0</v>
      </c>
      <c r="J110" s="109">
        <f>SUM(I110+'Draw #7'!J110)</f>
        <v>0</v>
      </c>
      <c r="K110" s="101" t="str">
        <f t="shared" si="5"/>
        <v/>
      </c>
      <c r="L110" s="9"/>
      <c r="M110" s="9"/>
    </row>
    <row r="111" spans="1:13" ht="14.1" customHeight="1">
      <c r="A111" s="4" t="e">
        <f>'SCHEDULE OF VALUE WORKSHEET'!#REF!</f>
        <v>#REF!</v>
      </c>
      <c r="B111" s="142" t="e">
        <f>'SCHEDULE OF VALUE WORKSHEET'!#REF!</f>
        <v>#REF!</v>
      </c>
      <c r="C111" s="143"/>
      <c r="D111" s="104" t="e">
        <f>SUM('SCHEDULE OF VALUE WORKSHEET'!#REF!)</f>
        <v>#REF!</v>
      </c>
      <c r="E111" s="104">
        <f>SUM('Draw #7'!E111:F111)</f>
        <v>0</v>
      </c>
      <c r="F111" s="105">
        <v>0</v>
      </c>
      <c r="G111" s="104" t="e">
        <f>SUM('Draw #7'!G111)+F111</f>
        <v>#REF!</v>
      </c>
      <c r="H111" s="109" t="e">
        <f t="shared" si="4"/>
        <v>#REF!</v>
      </c>
      <c r="I111" s="110">
        <v>0</v>
      </c>
      <c r="J111" s="109">
        <f>SUM(I111+'Draw #7'!J111)</f>
        <v>0</v>
      </c>
      <c r="K111" s="101" t="str">
        <f t="shared" si="5"/>
        <v/>
      </c>
      <c r="L111" s="9"/>
      <c r="M111" s="9"/>
    </row>
    <row r="112" spans="1:13" ht="14.1" customHeight="1">
      <c r="A112" s="4" t="e">
        <f>'SCHEDULE OF VALUE WORKSHEET'!#REF!</f>
        <v>#REF!</v>
      </c>
      <c r="B112" s="142" t="e">
        <f>'SCHEDULE OF VALUE WORKSHEET'!#REF!</f>
        <v>#REF!</v>
      </c>
      <c r="C112" s="143"/>
      <c r="D112" s="104" t="e">
        <f>SUM('SCHEDULE OF VALUE WORKSHEET'!#REF!)</f>
        <v>#REF!</v>
      </c>
      <c r="E112" s="104">
        <f>SUM('Draw #7'!E112:F112)</f>
        <v>0</v>
      </c>
      <c r="F112" s="105">
        <v>0</v>
      </c>
      <c r="G112" s="104" t="e">
        <f>SUM('Draw #7'!G112)+F112</f>
        <v>#REF!</v>
      </c>
      <c r="H112" s="109" t="e">
        <f t="shared" si="4"/>
        <v>#REF!</v>
      </c>
      <c r="I112" s="110">
        <v>0</v>
      </c>
      <c r="J112" s="109">
        <f>SUM(I112+'Draw #7'!J112)</f>
        <v>0</v>
      </c>
      <c r="K112" s="101" t="str">
        <f t="shared" si="5"/>
        <v/>
      </c>
      <c r="L112" s="9"/>
      <c r="M112" s="9"/>
    </row>
    <row r="113" spans="1:13" ht="14.1" customHeight="1">
      <c r="A113" s="4" t="e">
        <f>'SCHEDULE OF VALUE WORKSHEET'!#REF!</f>
        <v>#REF!</v>
      </c>
      <c r="B113" s="142" t="e">
        <f>'SCHEDULE OF VALUE WORKSHEET'!#REF!</f>
        <v>#REF!</v>
      </c>
      <c r="C113" s="143"/>
      <c r="D113" s="104" t="e">
        <f>SUM('SCHEDULE OF VALUE WORKSHEET'!#REF!)</f>
        <v>#REF!</v>
      </c>
      <c r="E113" s="104">
        <f>SUM('Draw #7'!E113:F113)</f>
        <v>0</v>
      </c>
      <c r="F113" s="105">
        <v>0</v>
      </c>
      <c r="G113" s="104" t="e">
        <f>SUM('Draw #7'!G113)+F113</f>
        <v>#REF!</v>
      </c>
      <c r="H113" s="109" t="e">
        <f t="shared" si="4"/>
        <v>#REF!</v>
      </c>
      <c r="I113" s="110">
        <v>0</v>
      </c>
      <c r="J113" s="109">
        <f>SUM(I113+'Draw #7'!J113)</f>
        <v>0</v>
      </c>
      <c r="K113" s="101" t="str">
        <f t="shared" si="5"/>
        <v/>
      </c>
      <c r="L113" s="9"/>
      <c r="M113" s="9"/>
    </row>
    <row r="114" spans="1:13" ht="14.1" customHeight="1">
      <c r="A114" s="4" t="e">
        <f>'SCHEDULE OF VALUE WORKSHEET'!#REF!</f>
        <v>#REF!</v>
      </c>
      <c r="B114" s="142" t="e">
        <f>'SCHEDULE OF VALUE WORKSHEET'!#REF!</f>
        <v>#REF!</v>
      </c>
      <c r="C114" s="143"/>
      <c r="D114" s="104" t="e">
        <f>SUM('SCHEDULE OF VALUE WORKSHEET'!#REF!)</f>
        <v>#REF!</v>
      </c>
      <c r="E114" s="104">
        <f>SUM('Draw #7'!E114:F114)</f>
        <v>0</v>
      </c>
      <c r="F114" s="105">
        <v>0</v>
      </c>
      <c r="G114" s="104" t="e">
        <f>SUM('Draw #7'!G114)+F114</f>
        <v>#REF!</v>
      </c>
      <c r="H114" s="109" t="e">
        <f t="shared" si="4"/>
        <v>#REF!</v>
      </c>
      <c r="I114" s="110">
        <v>0</v>
      </c>
      <c r="J114" s="109">
        <f>SUM(I114+'Draw #7'!J114)</f>
        <v>0</v>
      </c>
      <c r="K114" s="101" t="str">
        <f t="shared" si="5"/>
        <v/>
      </c>
      <c r="L114" s="9"/>
      <c r="M114" s="9"/>
    </row>
    <row r="115" spans="1:13" ht="14.1" customHeight="1">
      <c r="A115" s="4" t="e">
        <f>'SCHEDULE OF VALUE WORKSHEET'!#REF!</f>
        <v>#REF!</v>
      </c>
      <c r="B115" s="142" t="e">
        <f>'SCHEDULE OF VALUE WORKSHEET'!#REF!</f>
        <v>#REF!</v>
      </c>
      <c r="C115" s="143"/>
      <c r="D115" s="104" t="e">
        <f>SUM('SCHEDULE OF VALUE WORKSHEET'!#REF!)</f>
        <v>#REF!</v>
      </c>
      <c r="E115" s="104">
        <f>SUM('Draw #7'!E115:F115)</f>
        <v>0</v>
      </c>
      <c r="F115" s="105">
        <v>0</v>
      </c>
      <c r="G115" s="104" t="e">
        <f>SUM('Draw #7'!G115)+F115</f>
        <v>#REF!</v>
      </c>
      <c r="H115" s="109" t="e">
        <f t="shared" si="4"/>
        <v>#REF!</v>
      </c>
      <c r="I115" s="110">
        <v>0</v>
      </c>
      <c r="J115" s="109">
        <f>SUM(I115+'Draw #7'!J115)</f>
        <v>0</v>
      </c>
      <c r="K115" s="101" t="str">
        <f t="shared" si="5"/>
        <v/>
      </c>
      <c r="L115" s="9"/>
      <c r="M115" s="9"/>
    </row>
    <row r="116" spans="1:13" ht="14.1" customHeight="1">
      <c r="A116" s="4" t="e">
        <f>'SCHEDULE OF VALUE WORKSHEET'!#REF!</f>
        <v>#REF!</v>
      </c>
      <c r="B116" s="142" t="e">
        <f>'SCHEDULE OF VALUE WORKSHEET'!#REF!</f>
        <v>#REF!</v>
      </c>
      <c r="C116" s="143"/>
      <c r="D116" s="104" t="e">
        <f>SUM('SCHEDULE OF VALUE WORKSHEET'!#REF!)</f>
        <v>#REF!</v>
      </c>
      <c r="E116" s="104">
        <f>SUM('Draw #7'!E116:F116)</f>
        <v>0</v>
      </c>
      <c r="F116" s="105">
        <v>0</v>
      </c>
      <c r="G116" s="104" t="e">
        <f>SUM('Draw #7'!G116)+F116</f>
        <v>#REF!</v>
      </c>
      <c r="H116" s="109" t="e">
        <f t="shared" si="4"/>
        <v>#REF!</v>
      </c>
      <c r="I116" s="110">
        <v>0</v>
      </c>
      <c r="J116" s="109">
        <f>SUM(I116+'Draw #7'!J116)</f>
        <v>0</v>
      </c>
      <c r="K116" s="101" t="str">
        <f t="shared" si="5"/>
        <v/>
      </c>
      <c r="L116" s="9"/>
      <c r="M116" s="9"/>
    </row>
    <row r="117" spans="1:13" ht="14.1" customHeight="1">
      <c r="A117" s="4">
        <f>'SCHEDULE OF VALUE WORKSHEET'!A87</f>
        <v>82</v>
      </c>
      <c r="B117" s="142" t="str">
        <f>'SCHEDULE OF VALUE WORKSHEET'!B87</f>
        <v xml:space="preserve">Open Item </v>
      </c>
      <c r="C117" s="143"/>
      <c r="D117" s="104">
        <f>SUM('SCHEDULE OF VALUE WORKSHEET'!E87)</f>
        <v>0</v>
      </c>
      <c r="E117" s="104">
        <f>SUM('Draw #7'!E117:F117)</f>
        <v>0</v>
      </c>
      <c r="F117" s="105">
        <v>0</v>
      </c>
      <c r="G117" s="104">
        <f>SUM('Draw #7'!G117)+F117</f>
        <v>0</v>
      </c>
      <c r="H117" s="109">
        <f t="shared" si="4"/>
        <v>0</v>
      </c>
      <c r="I117" s="110">
        <v>0</v>
      </c>
      <c r="J117" s="109">
        <f>SUM(I117+'Draw #7'!J117)</f>
        <v>0</v>
      </c>
      <c r="K117" s="101" t="str">
        <f t="shared" si="5"/>
        <v/>
      </c>
      <c r="L117" s="9"/>
      <c r="M117" s="9"/>
    </row>
    <row r="118" spans="1:13" ht="14.1" customHeight="1">
      <c r="A118" s="4">
        <f>'SCHEDULE OF VALUE WORKSHEET'!A88</f>
        <v>83</v>
      </c>
      <c r="B118" s="142" t="str">
        <f>'SCHEDULE OF VALUE WORKSHEET'!B88</f>
        <v xml:space="preserve">Open Item </v>
      </c>
      <c r="C118" s="143"/>
      <c r="D118" s="104">
        <f>SUM('SCHEDULE OF VALUE WORKSHEET'!E88)</f>
        <v>0</v>
      </c>
      <c r="E118" s="104">
        <f>SUM('Draw #7'!E118:F118)</f>
        <v>0</v>
      </c>
      <c r="F118" s="105">
        <v>0</v>
      </c>
      <c r="G118" s="104">
        <f>SUM('Draw #7'!G118)+F118</f>
        <v>0</v>
      </c>
      <c r="H118" s="109">
        <f t="shared" si="4"/>
        <v>0</v>
      </c>
      <c r="I118" s="110">
        <v>0</v>
      </c>
      <c r="J118" s="109">
        <f>SUM(I118+'Draw #7'!J118)</f>
        <v>0</v>
      </c>
      <c r="K118" s="101" t="str">
        <f t="shared" si="5"/>
        <v/>
      </c>
      <c r="L118" s="9"/>
      <c r="M118" s="9"/>
    </row>
    <row r="119" spans="1:13" ht="14.1" customHeight="1">
      <c r="A119" s="4">
        <f>'SCHEDULE OF VALUE WORKSHEET'!A89</f>
        <v>84</v>
      </c>
      <c r="B119" s="142" t="str">
        <f>'SCHEDULE OF VALUE WORKSHEET'!B89</f>
        <v xml:space="preserve">Open Item </v>
      </c>
      <c r="C119" s="143"/>
      <c r="D119" s="104">
        <f>SUM('SCHEDULE OF VALUE WORKSHEET'!E89)</f>
        <v>0</v>
      </c>
      <c r="E119" s="104">
        <f>SUM('Draw #7'!E119:F119)</f>
        <v>0</v>
      </c>
      <c r="F119" s="105">
        <v>0</v>
      </c>
      <c r="G119" s="104">
        <f>SUM('Draw #7'!G119)+F119</f>
        <v>0</v>
      </c>
      <c r="H119" s="109">
        <f t="shared" si="4"/>
        <v>0</v>
      </c>
      <c r="I119" s="110">
        <v>0</v>
      </c>
      <c r="J119" s="109">
        <f>SUM(I119+'Draw #7'!J119)</f>
        <v>0</v>
      </c>
      <c r="K119" s="101" t="str">
        <f t="shared" si="5"/>
        <v/>
      </c>
      <c r="L119" s="9"/>
      <c r="M119" s="9"/>
    </row>
    <row r="120" spans="1:13" ht="14.1" customHeight="1">
      <c r="A120" s="4">
        <f>'SCHEDULE OF VALUE WORKSHEET'!A90</f>
        <v>85</v>
      </c>
      <c r="B120" s="142" t="str">
        <f>'SCHEDULE OF VALUE WORKSHEET'!B90</f>
        <v xml:space="preserve">Open Item </v>
      </c>
      <c r="C120" s="143"/>
      <c r="D120" s="104">
        <f>SUM('SCHEDULE OF VALUE WORKSHEET'!E90)</f>
        <v>0</v>
      </c>
      <c r="E120" s="104">
        <f>SUM('Draw #7'!E120:F120)</f>
        <v>0</v>
      </c>
      <c r="F120" s="105">
        <v>0</v>
      </c>
      <c r="G120" s="104">
        <f>SUM('Draw #7'!G120)+F120</f>
        <v>0</v>
      </c>
      <c r="H120" s="109">
        <f t="shared" si="4"/>
        <v>0</v>
      </c>
      <c r="I120" s="110">
        <v>0</v>
      </c>
      <c r="J120" s="109">
        <f>SUM(I120+'Draw #7'!J120)</f>
        <v>0</v>
      </c>
      <c r="K120" s="101" t="str">
        <f t="shared" si="5"/>
        <v/>
      </c>
      <c r="L120" s="9"/>
      <c r="M120" s="9"/>
    </row>
    <row r="121" spans="1:13" ht="14.1" customHeight="1">
      <c r="A121" s="4">
        <f>'SCHEDULE OF VALUE WORKSHEET'!A91</f>
        <v>86</v>
      </c>
      <c r="B121" s="142" t="str">
        <f>'SCHEDULE OF VALUE WORKSHEET'!B91</f>
        <v xml:space="preserve">Open Item </v>
      </c>
      <c r="C121" s="143"/>
      <c r="D121" s="104">
        <f>SUM('SCHEDULE OF VALUE WORKSHEET'!E91)</f>
        <v>0</v>
      </c>
      <c r="E121" s="104">
        <f>SUM('Draw #7'!E121:F121)</f>
        <v>0</v>
      </c>
      <c r="F121" s="105">
        <v>0</v>
      </c>
      <c r="G121" s="104">
        <f>SUM('Draw #7'!G121)+F121</f>
        <v>0</v>
      </c>
      <c r="H121" s="109">
        <f t="shared" si="4"/>
        <v>0</v>
      </c>
      <c r="I121" s="110">
        <v>0</v>
      </c>
      <c r="J121" s="109">
        <f>SUM(I121+'Draw #7'!J121)</f>
        <v>0</v>
      </c>
      <c r="K121" s="101" t="str">
        <f t="shared" si="5"/>
        <v/>
      </c>
      <c r="L121" s="9"/>
      <c r="M121" s="9"/>
    </row>
    <row r="122" spans="1:13" ht="14.1" customHeight="1">
      <c r="A122" s="4">
        <f>'SCHEDULE OF VALUE WORKSHEET'!A92</f>
        <v>87</v>
      </c>
      <c r="B122" s="142" t="str">
        <f>'SCHEDULE OF VALUE WORKSHEET'!B92</f>
        <v xml:space="preserve">Open Item </v>
      </c>
      <c r="C122" s="143"/>
      <c r="D122" s="104">
        <f>SUM('SCHEDULE OF VALUE WORKSHEET'!E92)</f>
        <v>0</v>
      </c>
      <c r="E122" s="104">
        <f>SUM('Draw #7'!E122:F122)</f>
        <v>0</v>
      </c>
      <c r="F122" s="105">
        <v>0</v>
      </c>
      <c r="G122" s="104">
        <f>SUM('Draw #7'!G122)+F122</f>
        <v>0</v>
      </c>
      <c r="H122" s="109">
        <f t="shared" si="4"/>
        <v>0</v>
      </c>
      <c r="I122" s="110">
        <v>0</v>
      </c>
      <c r="J122" s="109">
        <f>SUM(I122+'Draw #7'!J122)</f>
        <v>0</v>
      </c>
      <c r="K122" s="101" t="str">
        <f t="shared" si="5"/>
        <v/>
      </c>
      <c r="L122" s="9"/>
      <c r="M122" s="9"/>
    </row>
    <row r="123" spans="1:13" ht="14.1" customHeight="1">
      <c r="A123" s="4">
        <f>'SCHEDULE OF VALUE WORKSHEET'!A93</f>
        <v>88</v>
      </c>
      <c r="B123" s="142" t="str">
        <f>'SCHEDULE OF VALUE WORKSHEET'!B93</f>
        <v xml:space="preserve">Open Item </v>
      </c>
      <c r="C123" s="143"/>
      <c r="D123" s="104">
        <f>SUM('SCHEDULE OF VALUE WORKSHEET'!E93)</f>
        <v>0</v>
      </c>
      <c r="E123" s="104">
        <f>SUM('Draw #7'!E123:F123)</f>
        <v>0</v>
      </c>
      <c r="F123" s="105">
        <v>0</v>
      </c>
      <c r="G123" s="104">
        <f>SUM('Draw #7'!G123)+F123</f>
        <v>0</v>
      </c>
      <c r="H123" s="109">
        <f t="shared" si="4"/>
        <v>0</v>
      </c>
      <c r="I123" s="110">
        <v>0</v>
      </c>
      <c r="J123" s="109">
        <f>SUM(I123+'Draw #7'!J123)</f>
        <v>0</v>
      </c>
      <c r="K123" s="101" t="str">
        <f t="shared" si="5"/>
        <v/>
      </c>
      <c r="L123" s="9"/>
      <c r="M123" s="9"/>
    </row>
    <row r="124" spans="1:13" ht="14.1" customHeight="1">
      <c r="A124" s="4">
        <f>'SCHEDULE OF VALUE WORKSHEET'!A94</f>
        <v>89</v>
      </c>
      <c r="B124" s="142" t="str">
        <f>'SCHEDULE OF VALUE WORKSHEET'!B94</f>
        <v xml:space="preserve">Open Item </v>
      </c>
      <c r="C124" s="143"/>
      <c r="D124" s="104">
        <f>SUM('SCHEDULE OF VALUE WORKSHEET'!E94)</f>
        <v>0</v>
      </c>
      <c r="E124" s="104">
        <f>SUM('Draw #7'!E124:F124)</f>
        <v>0</v>
      </c>
      <c r="F124" s="105">
        <v>0</v>
      </c>
      <c r="G124" s="104">
        <f>SUM('Draw #7'!G124)+F124</f>
        <v>0</v>
      </c>
      <c r="H124" s="109">
        <f t="shared" si="4"/>
        <v>0</v>
      </c>
      <c r="I124" s="110">
        <v>0</v>
      </c>
      <c r="J124" s="109">
        <f>SUM(I124+'Draw #7'!J124)</f>
        <v>0</v>
      </c>
      <c r="K124" s="101" t="str">
        <f t="shared" si="5"/>
        <v/>
      </c>
      <c r="L124" s="9"/>
      <c r="M124" s="9"/>
    </row>
    <row r="125" spans="1:13" ht="14.1" customHeight="1">
      <c r="A125" s="4">
        <f>'SCHEDULE OF VALUE WORKSHEET'!A95</f>
        <v>90</v>
      </c>
      <c r="B125" s="142" t="str">
        <f>'SCHEDULE OF VALUE WORKSHEET'!B95</f>
        <v xml:space="preserve">Open Item </v>
      </c>
      <c r="C125" s="143"/>
      <c r="D125" s="104">
        <f>SUM('SCHEDULE OF VALUE WORKSHEET'!E95)</f>
        <v>0</v>
      </c>
      <c r="E125" s="104">
        <f>SUM('Draw #7'!E125:F125)</f>
        <v>0</v>
      </c>
      <c r="F125" s="105">
        <v>0</v>
      </c>
      <c r="G125" s="104">
        <f>SUM('Draw #7'!G125)+F125</f>
        <v>0</v>
      </c>
      <c r="H125" s="109">
        <f t="shared" si="4"/>
        <v>0</v>
      </c>
      <c r="I125" s="110">
        <v>0</v>
      </c>
      <c r="J125" s="109">
        <f>SUM(I125+'Draw #7'!J125)</f>
        <v>0</v>
      </c>
      <c r="K125" s="101" t="str">
        <f t="shared" si="5"/>
        <v/>
      </c>
      <c r="L125" s="9"/>
      <c r="M125" s="9"/>
    </row>
    <row r="126" spans="1:13" ht="14.1" customHeight="1">
      <c r="A126" s="4">
        <f>'SCHEDULE OF VALUE WORKSHEET'!A96</f>
        <v>91</v>
      </c>
      <c r="B126" s="142" t="str">
        <f>'SCHEDULE OF VALUE WORKSHEET'!B96</f>
        <v xml:space="preserve">Open Item </v>
      </c>
      <c r="C126" s="143"/>
      <c r="D126" s="104">
        <f>SUM('SCHEDULE OF VALUE WORKSHEET'!E96)</f>
        <v>0</v>
      </c>
      <c r="E126" s="104">
        <f>SUM('Draw #7'!E126:F126)</f>
        <v>0</v>
      </c>
      <c r="F126" s="105">
        <v>0</v>
      </c>
      <c r="G126" s="104">
        <f>SUM('Draw #7'!G126)+F126</f>
        <v>0</v>
      </c>
      <c r="H126" s="109">
        <f t="shared" si="4"/>
        <v>0</v>
      </c>
      <c r="I126" s="110">
        <v>0</v>
      </c>
      <c r="J126" s="109">
        <f>SUM(I126+'Draw #7'!J126)</f>
        <v>0</v>
      </c>
      <c r="K126" s="101" t="str">
        <f t="shared" si="5"/>
        <v/>
      </c>
      <c r="L126" s="9"/>
      <c r="M126" s="9"/>
    </row>
    <row r="127" spans="1:13" ht="14.1" customHeight="1">
      <c r="A127" s="4">
        <f>'SCHEDULE OF VALUE WORKSHEET'!A97</f>
        <v>92</v>
      </c>
      <c r="B127" s="142" t="str">
        <f>'SCHEDULE OF VALUE WORKSHEET'!B97</f>
        <v xml:space="preserve">Open Item </v>
      </c>
      <c r="C127" s="143"/>
      <c r="D127" s="104">
        <f>SUM('SCHEDULE OF VALUE WORKSHEET'!E97)</f>
        <v>0</v>
      </c>
      <c r="E127" s="104">
        <f>SUM('Draw #7'!E127:F127)</f>
        <v>0</v>
      </c>
      <c r="F127" s="105">
        <v>0</v>
      </c>
      <c r="G127" s="104">
        <f>SUM('Draw #7'!G127)+F127</f>
        <v>0</v>
      </c>
      <c r="H127" s="109">
        <f t="shared" si="4"/>
        <v>0</v>
      </c>
      <c r="I127" s="110">
        <v>0</v>
      </c>
      <c r="J127" s="109">
        <f>SUM(I127+'Draw #7'!J127)</f>
        <v>0</v>
      </c>
      <c r="K127" s="101" t="str">
        <f t="shared" si="5"/>
        <v/>
      </c>
      <c r="L127" s="9"/>
      <c r="M127" s="9"/>
    </row>
    <row r="128" spans="1:13" ht="14.1" customHeight="1">
      <c r="A128" s="4">
        <f>'SCHEDULE OF VALUE WORKSHEET'!A98</f>
        <v>93</v>
      </c>
      <c r="B128" s="142" t="str">
        <f>'SCHEDULE OF VALUE WORKSHEET'!B98</f>
        <v xml:space="preserve">Open Item </v>
      </c>
      <c r="C128" s="143"/>
      <c r="D128" s="104">
        <f>SUM('SCHEDULE OF VALUE WORKSHEET'!E98)</f>
        <v>0</v>
      </c>
      <c r="E128" s="104">
        <f>SUM('Draw #7'!E128:F128)</f>
        <v>0</v>
      </c>
      <c r="F128" s="105">
        <v>0</v>
      </c>
      <c r="G128" s="104">
        <f>SUM('Draw #7'!G128)+F128</f>
        <v>0</v>
      </c>
      <c r="H128" s="109">
        <f t="shared" si="4"/>
        <v>0</v>
      </c>
      <c r="I128" s="110">
        <v>0</v>
      </c>
      <c r="J128" s="109">
        <f>SUM(I128+'Draw #7'!J128)</f>
        <v>0</v>
      </c>
      <c r="K128" s="101" t="str">
        <f t="shared" si="5"/>
        <v/>
      </c>
      <c r="L128" s="9"/>
      <c r="M128" s="9"/>
    </row>
    <row r="129" spans="1:13" ht="14.1" customHeight="1">
      <c r="A129" s="4">
        <f>'SCHEDULE OF VALUE WORKSHEET'!A99</f>
        <v>94</v>
      </c>
      <c r="B129" s="142" t="str">
        <f>'SCHEDULE OF VALUE WORKSHEET'!B99</f>
        <v xml:space="preserve">Open Item </v>
      </c>
      <c r="C129" s="143"/>
      <c r="D129" s="104">
        <f>SUM('SCHEDULE OF VALUE WORKSHEET'!E99)</f>
        <v>0</v>
      </c>
      <c r="E129" s="104">
        <f>SUM('Draw #7'!E129:F129)</f>
        <v>0</v>
      </c>
      <c r="F129" s="105">
        <v>0</v>
      </c>
      <c r="G129" s="104">
        <f>SUM('Draw #7'!G129)+F129</f>
        <v>0</v>
      </c>
      <c r="H129" s="109">
        <f t="shared" si="4"/>
        <v>0</v>
      </c>
      <c r="I129" s="110">
        <v>0</v>
      </c>
      <c r="J129" s="109">
        <f>SUM(I129+'Draw #7'!J129)</f>
        <v>0</v>
      </c>
      <c r="K129" s="101" t="str">
        <f t="shared" si="5"/>
        <v/>
      </c>
      <c r="L129" s="9"/>
      <c r="M129" s="9"/>
    </row>
    <row r="130" spans="1:13" ht="14.1" customHeight="1">
      <c r="A130" s="4">
        <f>'SCHEDULE OF VALUE WORKSHEET'!A100</f>
        <v>95</v>
      </c>
      <c r="B130" s="142" t="str">
        <f>'SCHEDULE OF VALUE WORKSHEET'!B100</f>
        <v xml:space="preserve">Open Item </v>
      </c>
      <c r="C130" s="143"/>
      <c r="D130" s="104">
        <f>SUM('SCHEDULE OF VALUE WORKSHEET'!E100)</f>
        <v>0</v>
      </c>
      <c r="E130" s="104">
        <f>SUM('Draw #7'!E130:F130)</f>
        <v>0</v>
      </c>
      <c r="F130" s="105">
        <v>0</v>
      </c>
      <c r="G130" s="104">
        <f>SUM('Draw #7'!G130)+F130</f>
        <v>0</v>
      </c>
      <c r="H130" s="109">
        <f t="shared" si="4"/>
        <v>0</v>
      </c>
      <c r="I130" s="110">
        <v>0</v>
      </c>
      <c r="J130" s="109">
        <f>SUM(I130+'Draw #7'!J130)</f>
        <v>0</v>
      </c>
      <c r="K130" s="101" t="str">
        <f t="shared" si="5"/>
        <v/>
      </c>
      <c r="L130" s="9"/>
      <c r="M130" s="9"/>
    </row>
    <row r="131" spans="1:13" ht="14.1" customHeight="1">
      <c r="A131" s="4">
        <f>'SCHEDULE OF VALUE WORKSHEET'!A101</f>
        <v>96</v>
      </c>
      <c r="B131" s="142" t="str">
        <f>'SCHEDULE OF VALUE WORKSHEET'!B101</f>
        <v xml:space="preserve">Open Item </v>
      </c>
      <c r="C131" s="143"/>
      <c r="D131" s="104">
        <f>SUM('SCHEDULE OF VALUE WORKSHEET'!E101)</f>
        <v>0</v>
      </c>
      <c r="E131" s="104">
        <f>SUM('Draw #7'!E131:F131)</f>
        <v>0</v>
      </c>
      <c r="F131" s="105">
        <v>0</v>
      </c>
      <c r="G131" s="104">
        <f>SUM('Draw #7'!G131)+F131</f>
        <v>0</v>
      </c>
      <c r="H131" s="109">
        <f t="shared" si="4"/>
        <v>0</v>
      </c>
      <c r="I131" s="110">
        <v>0</v>
      </c>
      <c r="J131" s="109">
        <f>SUM(I131+'Draw #7'!J131)</f>
        <v>0</v>
      </c>
      <c r="K131" s="101" t="str">
        <f t="shared" si="5"/>
        <v/>
      </c>
      <c r="L131" s="9"/>
      <c r="M131" s="9"/>
    </row>
    <row r="132" spans="1:13" ht="14.1" customHeight="1">
      <c r="A132" s="4">
        <f>'SCHEDULE OF VALUE WORKSHEET'!A102</f>
        <v>97</v>
      </c>
      <c r="B132" s="142" t="str">
        <f>'SCHEDULE OF VALUE WORKSHEET'!B102</f>
        <v xml:space="preserve">Open Item </v>
      </c>
      <c r="C132" s="143"/>
      <c r="D132" s="104">
        <f>SUM('SCHEDULE OF VALUE WORKSHEET'!E102)</f>
        <v>0</v>
      </c>
      <c r="E132" s="104">
        <f>SUM('Draw #7'!E132:F132)</f>
        <v>0</v>
      </c>
      <c r="F132" s="105">
        <v>0</v>
      </c>
      <c r="G132" s="104">
        <f>SUM('Draw #7'!G132)+F132</f>
        <v>0</v>
      </c>
      <c r="H132" s="109">
        <f t="shared" si="4"/>
        <v>0</v>
      </c>
      <c r="I132" s="110">
        <v>0</v>
      </c>
      <c r="J132" s="109">
        <f>SUM(I132+'Draw #7'!J132)</f>
        <v>0</v>
      </c>
      <c r="K132" s="101" t="str">
        <f t="shared" si="5"/>
        <v/>
      </c>
      <c r="L132" s="9"/>
      <c r="M132" s="9"/>
    </row>
    <row r="133" spans="1:13" ht="14.1" customHeight="1">
      <c r="A133" s="4">
        <f>'SCHEDULE OF VALUE WORKSHEET'!A103</f>
        <v>98</v>
      </c>
      <c r="B133" s="142" t="str">
        <f>'SCHEDULE OF VALUE WORKSHEET'!B103</f>
        <v xml:space="preserve">Open Item </v>
      </c>
      <c r="C133" s="143"/>
      <c r="D133" s="104">
        <f>SUM('SCHEDULE OF VALUE WORKSHEET'!E103)</f>
        <v>0</v>
      </c>
      <c r="E133" s="104">
        <f>SUM('Draw #7'!E133:F133)</f>
        <v>0</v>
      </c>
      <c r="F133" s="105">
        <v>0</v>
      </c>
      <c r="G133" s="104">
        <f>SUM('Draw #7'!G133)+F133</f>
        <v>0</v>
      </c>
      <c r="H133" s="109">
        <f t="shared" si="4"/>
        <v>0</v>
      </c>
      <c r="I133" s="110">
        <v>0</v>
      </c>
      <c r="J133" s="109">
        <f>SUM(I133+'Draw #7'!J133)</f>
        <v>0</v>
      </c>
      <c r="K133" s="101" t="str">
        <f t="shared" si="5"/>
        <v/>
      </c>
      <c r="L133" s="9"/>
      <c r="M133" s="9"/>
    </row>
    <row r="134" spans="1:13" ht="14.1" customHeight="1">
      <c r="A134" s="4">
        <f>'SCHEDULE OF VALUE WORKSHEET'!A104</f>
        <v>99</v>
      </c>
      <c r="B134" s="142" t="str">
        <f>'SCHEDULE OF VALUE WORKSHEET'!B104</f>
        <v xml:space="preserve">Open Item </v>
      </c>
      <c r="C134" s="143"/>
      <c r="D134" s="104">
        <f>SUM('SCHEDULE OF VALUE WORKSHEET'!E104)</f>
        <v>0</v>
      </c>
      <c r="E134" s="104">
        <f>SUM('Draw #7'!E134:F134)</f>
        <v>0</v>
      </c>
      <c r="F134" s="105">
        <v>0</v>
      </c>
      <c r="G134" s="104">
        <f>SUM('Draw #7'!G134)+F134</f>
        <v>0</v>
      </c>
      <c r="H134" s="109">
        <f t="shared" si="4"/>
        <v>0</v>
      </c>
      <c r="I134" s="110">
        <v>0</v>
      </c>
      <c r="J134" s="109">
        <f>SUM(I134+'Draw #7'!J134)</f>
        <v>0</v>
      </c>
      <c r="K134" s="101" t="str">
        <f t="shared" si="5"/>
        <v/>
      </c>
      <c r="L134" s="9"/>
      <c r="M134" s="9"/>
    </row>
    <row r="135" spans="1:13" ht="14.1" customHeight="1">
      <c r="A135" s="4" t="e">
        <f>'SCHEDULE OF VALUE WORKSHEET'!#REF!</f>
        <v>#REF!</v>
      </c>
      <c r="B135" s="142" t="e">
        <f>'SCHEDULE OF VALUE WORKSHEET'!#REF!</f>
        <v>#REF!</v>
      </c>
      <c r="C135" s="143"/>
      <c r="D135" s="104" t="e">
        <f>SUM('SCHEDULE OF VALUE WORKSHEET'!#REF!)</f>
        <v>#REF!</v>
      </c>
      <c r="E135" s="104">
        <f>SUM('Draw #7'!E135:F135)</f>
        <v>0</v>
      </c>
      <c r="F135" s="105">
        <v>0</v>
      </c>
      <c r="G135" s="104" t="e">
        <f>SUM('Draw #7'!G135)+F135</f>
        <v>#REF!</v>
      </c>
      <c r="H135" s="109" t="e">
        <f t="shared" si="4"/>
        <v>#REF!</v>
      </c>
      <c r="I135" s="110">
        <v>0</v>
      </c>
      <c r="J135" s="109">
        <f>SUM(I135+'Draw #7'!J135)</f>
        <v>0</v>
      </c>
      <c r="K135" s="101" t="str">
        <f t="shared" si="5"/>
        <v/>
      </c>
      <c r="L135" s="9"/>
      <c r="M135" s="9"/>
    </row>
    <row r="136" spans="1:13" ht="14.1" customHeight="1">
      <c r="A136" s="165"/>
      <c r="B136" s="166"/>
      <c r="C136" s="166"/>
      <c r="D136" s="166"/>
      <c r="E136" s="166"/>
      <c r="F136" s="166"/>
      <c r="G136" s="166"/>
      <c r="H136" s="166"/>
      <c r="I136" s="166"/>
      <c r="J136" s="166"/>
      <c r="K136" s="167"/>
      <c r="L136" s="10"/>
      <c r="M136" s="10"/>
    </row>
    <row r="137" spans="1:13" ht="18.75" customHeight="1">
      <c r="A137" s="7"/>
      <c r="B137" s="168" t="s">
        <v>2</v>
      </c>
      <c r="C137" s="168"/>
      <c r="D137" s="25" t="e">
        <f t="shared" ref="D137:J137" si="6">SUM(D10:D135)</f>
        <v>#REF!</v>
      </c>
      <c r="E137" s="25">
        <f t="shared" si="6"/>
        <v>0</v>
      </c>
      <c r="F137" s="25">
        <f t="shared" si="6"/>
        <v>0</v>
      </c>
      <c r="G137" s="25" t="e">
        <f t="shared" si="6"/>
        <v>#REF!</v>
      </c>
      <c r="H137" s="25" t="e">
        <f t="shared" si="6"/>
        <v>#REF!</v>
      </c>
      <c r="I137" s="25">
        <f t="shared" si="6"/>
        <v>0</v>
      </c>
      <c r="J137" s="25">
        <f t="shared" si="6"/>
        <v>0</v>
      </c>
      <c r="K137" s="17"/>
      <c r="L137" s="11"/>
      <c r="M137" s="11"/>
    </row>
    <row r="138" spans="1:13" ht="14.1" customHeight="1">
      <c r="A138" s="2"/>
      <c r="B138" s="2"/>
      <c r="C138" s="2"/>
      <c r="D138" s="2"/>
      <c r="E138" s="2"/>
      <c r="F138" s="2"/>
      <c r="G138" s="2"/>
    </row>
    <row r="139" spans="1:13" ht="14.1" customHeight="1">
      <c r="G139" s="2"/>
      <c r="H139" s="140"/>
      <c r="I139" s="140"/>
      <c r="J139" s="140"/>
    </row>
    <row r="140" spans="1:13" ht="14.1" customHeight="1">
      <c r="G140" s="2"/>
    </row>
    <row r="141" spans="1:13" ht="14.1" customHeight="1">
      <c r="G141" s="2"/>
      <c r="H141" s="8"/>
    </row>
    <row r="142" spans="1:13" ht="14.1" customHeight="1">
      <c r="G142" s="2"/>
      <c r="H142" s="8"/>
    </row>
    <row r="143" spans="1:13" ht="14.1" customHeight="1">
      <c r="G143" s="2"/>
    </row>
    <row r="144" spans="1:13" ht="14.1" customHeight="1">
      <c r="G144" s="2"/>
    </row>
    <row r="145" spans="7:7" ht="14.1" customHeight="1">
      <c r="G145" s="2"/>
    </row>
    <row r="146" spans="7:7" ht="14.1" customHeight="1">
      <c r="G146" s="2"/>
    </row>
    <row r="147" spans="7:7" ht="14.1" customHeight="1">
      <c r="G147" s="2"/>
    </row>
    <row r="148" spans="7:7" ht="14.1" customHeight="1">
      <c r="G148" s="3"/>
    </row>
  </sheetData>
  <sheetProtection algorithmName="SHA-512" hashValue="MVTdj3kqLyUd30rsPB04r6lwJZgUvLVEaUYbtXKtlRNED71pMzG8YM/Ita0VGY8tbbaGHNKrygoUKd5PG0VR/g==" saltValue="WKv9wSP4Nu5UESYfZJlwNw==" spinCount="100000" sheet="1" selectLockedCells="1"/>
  <mergeCells count="136">
    <mergeCell ref="A1:K2"/>
    <mergeCell ref="B86:C86"/>
    <mergeCell ref="B87:C87"/>
    <mergeCell ref="B88:C88"/>
    <mergeCell ref="B89:C89"/>
    <mergeCell ref="B8:C9"/>
    <mergeCell ref="D8:D9"/>
    <mergeCell ref="G8:G9"/>
    <mergeCell ref="J8:K8"/>
    <mergeCell ref="J9:K9"/>
    <mergeCell ref="F8:F9"/>
    <mergeCell ref="B10:C10"/>
    <mergeCell ref="B11:C11"/>
    <mergeCell ref="B12:C12"/>
    <mergeCell ref="B13:C13"/>
    <mergeCell ref="B26:C26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4:C34"/>
    <mergeCell ref="B35:C35"/>
    <mergeCell ref="B32:C32"/>
    <mergeCell ref="B33:C33"/>
    <mergeCell ref="B27:C27"/>
    <mergeCell ref="B36:C36"/>
    <mergeCell ref="B37:C37"/>
    <mergeCell ref="B85:C85"/>
    <mergeCell ref="A136:K136"/>
    <mergeCell ref="B38:C38"/>
    <mergeCell ref="B39:C39"/>
    <mergeCell ref="B90:C90"/>
    <mergeCell ref="B91:C91"/>
    <mergeCell ref="B92:C92"/>
    <mergeCell ref="B93:C93"/>
    <mergeCell ref="B130:C130"/>
    <mergeCell ref="B116:C116"/>
    <mergeCell ref="B117:C117"/>
    <mergeCell ref="B118:C118"/>
    <mergeCell ref="B119:C119"/>
    <mergeCell ref="B120:C120"/>
    <mergeCell ref="B121:C121"/>
    <mergeCell ref="B123:C123"/>
    <mergeCell ref="B124:C124"/>
    <mergeCell ref="B131:C131"/>
    <mergeCell ref="B132:C132"/>
    <mergeCell ref="B133:C133"/>
    <mergeCell ref="B134:C134"/>
    <mergeCell ref="B135:C135"/>
    <mergeCell ref="B137:C137"/>
    <mergeCell ref="H139:J139"/>
    <mergeCell ref="B40:C40"/>
    <mergeCell ref="B41:C41"/>
    <mergeCell ref="B42:C42"/>
    <mergeCell ref="B43:C43"/>
    <mergeCell ref="B83:C83"/>
    <mergeCell ref="B84:C84"/>
    <mergeCell ref="B94:C94"/>
    <mergeCell ref="B95:C95"/>
    <mergeCell ref="B125:C125"/>
    <mergeCell ref="B126:C126"/>
    <mergeCell ref="B127:C127"/>
    <mergeCell ref="B128:C128"/>
    <mergeCell ref="B129:C129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2:C62"/>
    <mergeCell ref="B63:C63"/>
    <mergeCell ref="B64:C64"/>
    <mergeCell ref="B65:C65"/>
    <mergeCell ref="B66:C66"/>
    <mergeCell ref="B67:C67"/>
    <mergeCell ref="B56:C56"/>
    <mergeCell ref="B57:C57"/>
    <mergeCell ref="B58:C58"/>
    <mergeCell ref="B59:C59"/>
    <mergeCell ref="B60:C60"/>
    <mergeCell ref="B61:C61"/>
    <mergeCell ref="B74:C74"/>
    <mergeCell ref="B75:C75"/>
    <mergeCell ref="B76:C76"/>
    <mergeCell ref="B77:C77"/>
    <mergeCell ref="B78:C78"/>
    <mergeCell ref="B79:C79"/>
    <mergeCell ref="B68:C68"/>
    <mergeCell ref="B69:C69"/>
    <mergeCell ref="B70:C70"/>
    <mergeCell ref="B71:C71"/>
    <mergeCell ref="B72:C72"/>
    <mergeCell ref="B73:C73"/>
    <mergeCell ref="B99:C99"/>
    <mergeCell ref="B100:C100"/>
    <mergeCell ref="B101:C101"/>
    <mergeCell ref="B102:C102"/>
    <mergeCell ref="B103:C103"/>
    <mergeCell ref="B104:C104"/>
    <mergeCell ref="B80:C80"/>
    <mergeCell ref="B81:C81"/>
    <mergeCell ref="B82:C82"/>
    <mergeCell ref="B96:C96"/>
    <mergeCell ref="B97:C97"/>
    <mergeCell ref="B98:C98"/>
    <mergeCell ref="B111:C111"/>
    <mergeCell ref="B112:C112"/>
    <mergeCell ref="B113:C113"/>
    <mergeCell ref="B114:C114"/>
    <mergeCell ref="B115:C115"/>
    <mergeCell ref="B122:C122"/>
    <mergeCell ref="B105:C105"/>
    <mergeCell ref="B106:C106"/>
    <mergeCell ref="B107:C107"/>
    <mergeCell ref="B108:C108"/>
    <mergeCell ref="B109:C109"/>
    <mergeCell ref="B110:C110"/>
  </mergeCells>
  <conditionalFormatting sqref="B10:K135">
    <cfRule type="expression" dxfId="51" priority="3" stopIfTrue="1">
      <formula>$I10&gt;0</formula>
    </cfRule>
    <cfRule type="expression" dxfId="50" priority="4" stopIfTrue="1">
      <formula>$K10=100%</formula>
    </cfRule>
  </conditionalFormatting>
  <conditionalFormatting sqref="D10:K135">
    <cfRule type="expression" dxfId="49" priority="1" stopIfTrue="1">
      <formula>$K10=""</formula>
    </cfRule>
    <cfRule type="expression" dxfId="48" priority="2" stopIfTrue="1">
      <formula>$K10&gt;100%</formula>
    </cfRule>
  </conditionalFormatting>
  <pageMargins left="0.7" right="0.7" top="0.75" bottom="0.75" header="0.3" footer="0.3"/>
  <pageSetup scale="78" orientation="portrait" verticalDpi="1200" r:id="rId1"/>
  <colBreaks count="1" manualBreakCount="1">
    <brk id="11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48"/>
  <sheetViews>
    <sheetView showGridLines="0" zoomScale="90" zoomScaleNormal="90" workbookViewId="0">
      <selection activeCell="F16" sqref="F16"/>
    </sheetView>
  </sheetViews>
  <sheetFormatPr defaultColWidth="6.59765625" defaultRowHeight="15.75"/>
  <cols>
    <col min="1" max="1" width="4.8984375" style="1" customWidth="1"/>
    <col min="2" max="2" width="5.69921875" style="1" customWidth="1"/>
    <col min="3" max="3" width="15.19921875" style="1" customWidth="1"/>
    <col min="4" max="5" width="10.59765625" style="1" customWidth="1"/>
    <col min="6" max="9" width="10.69921875" style="1" customWidth="1"/>
    <col min="10" max="10" width="10.59765625" style="1" customWidth="1"/>
    <col min="11" max="11" width="5.09765625" style="18" customWidth="1"/>
    <col min="12" max="13" width="4.69921875" style="1" customWidth="1"/>
    <col min="14" max="16384" width="6.59765625" style="1"/>
  </cols>
  <sheetData>
    <row r="1" spans="1:13">
      <c r="A1" s="171" t="s">
        <v>18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</row>
    <row r="2" spans="1:13">
      <c r="A2" s="174"/>
      <c r="B2" s="153"/>
      <c r="C2" s="153"/>
      <c r="D2" s="153"/>
      <c r="E2" s="153"/>
      <c r="F2" s="153"/>
      <c r="G2" s="153"/>
      <c r="H2" s="153"/>
      <c r="I2" s="153"/>
      <c r="J2" s="153"/>
      <c r="K2" s="175"/>
    </row>
    <row r="3" spans="1:13">
      <c r="A3" s="74"/>
      <c r="B3" s="13" t="s">
        <v>7</v>
      </c>
      <c r="C3" s="35" t="str">
        <f>'SCHEDULE OF VALUE WORKSHEET'!$B$3</f>
        <v>Angeleno Investments</v>
      </c>
      <c r="F3" s="6"/>
      <c r="G3" s="28"/>
      <c r="H3" s="55"/>
      <c r="I3" s="41" t="s">
        <v>5</v>
      </c>
      <c r="J3" s="38">
        <f>SUM(J137)</f>
        <v>0</v>
      </c>
      <c r="K3" s="80" t="e">
        <f>SUM(J3)/J7</f>
        <v>#REF!</v>
      </c>
    </row>
    <row r="4" spans="1:13" ht="16.350000000000001" customHeight="1">
      <c r="A4" s="74"/>
      <c r="B4" s="34" t="s">
        <v>0</v>
      </c>
      <c r="C4" s="36">
        <f ca="1">TODAY()</f>
        <v>45978</v>
      </c>
      <c r="D4" s="36"/>
      <c r="E4" s="36"/>
      <c r="F4" s="15"/>
      <c r="G4" s="3"/>
      <c r="H4" s="75"/>
      <c r="I4" s="41" t="s">
        <v>13</v>
      </c>
      <c r="J4" s="38" t="e">
        <f>SUM(H137)</f>
        <v>#REF!</v>
      </c>
      <c r="K4" s="80"/>
    </row>
    <row r="5" spans="1:13">
      <c r="A5" s="74"/>
      <c r="B5" s="34" t="s">
        <v>6</v>
      </c>
      <c r="C5" s="37" t="str">
        <f>'SCHEDULE OF VALUE WORKSHEET'!B5</f>
        <v>10910 Huston Street</v>
      </c>
      <c r="F5" s="56"/>
      <c r="G5" s="57"/>
      <c r="H5" s="75"/>
      <c r="I5" s="41" t="s">
        <v>14</v>
      </c>
      <c r="J5" s="38" t="e">
        <f>SUM(D137)</f>
        <v>#REF!</v>
      </c>
      <c r="K5" s="80"/>
    </row>
    <row r="6" spans="1:13">
      <c r="A6" s="74"/>
      <c r="B6" s="34" t="s">
        <v>20</v>
      </c>
      <c r="C6" s="48">
        <f>SUM(I137)</f>
        <v>0</v>
      </c>
      <c r="D6" s="6"/>
      <c r="E6" s="6"/>
      <c r="F6" s="6"/>
      <c r="G6" s="57"/>
      <c r="H6" s="75"/>
      <c r="I6" s="42" t="s">
        <v>17</v>
      </c>
      <c r="J6" s="38">
        <f>SUM(F137)</f>
        <v>0</v>
      </c>
      <c r="K6" s="80"/>
    </row>
    <row r="7" spans="1:13">
      <c r="A7" s="78"/>
      <c r="G7" s="28"/>
      <c r="H7" s="20"/>
      <c r="I7" s="34" t="s">
        <v>15</v>
      </c>
      <c r="J7" s="29" t="e">
        <f>SUM(G137)</f>
        <v>#REF!</v>
      </c>
      <c r="K7" s="80"/>
    </row>
    <row r="8" spans="1:13">
      <c r="A8" s="19"/>
      <c r="B8" s="169" t="s">
        <v>1</v>
      </c>
      <c r="C8" s="170"/>
      <c r="D8" s="177" t="s">
        <v>8</v>
      </c>
      <c r="E8" s="102" t="s">
        <v>24</v>
      </c>
      <c r="F8" s="176" t="s">
        <v>26</v>
      </c>
      <c r="G8" s="177" t="s">
        <v>9</v>
      </c>
      <c r="H8" s="30" t="s">
        <v>10</v>
      </c>
      <c r="I8" s="31" t="s">
        <v>12</v>
      </c>
      <c r="J8" s="178" t="s">
        <v>3</v>
      </c>
      <c r="K8" s="179"/>
      <c r="L8" s="12"/>
      <c r="M8" s="12"/>
    </row>
    <row r="9" spans="1:13" ht="14.1" customHeight="1">
      <c r="A9" s="19"/>
      <c r="B9" s="146"/>
      <c r="C9" s="147"/>
      <c r="D9" s="162"/>
      <c r="E9" s="103" t="s">
        <v>25</v>
      </c>
      <c r="F9" s="164"/>
      <c r="G9" s="162"/>
      <c r="H9" s="32" t="s">
        <v>22</v>
      </c>
      <c r="I9" s="33">
        <v>9</v>
      </c>
      <c r="J9" s="180" t="s">
        <v>4</v>
      </c>
      <c r="K9" s="181"/>
      <c r="L9" s="12"/>
      <c r="M9" s="12"/>
    </row>
    <row r="10" spans="1:13" ht="14.1" customHeight="1">
      <c r="A10" s="4">
        <f>'SCHEDULE OF VALUE WORKSHEET'!A7</f>
        <v>1</v>
      </c>
      <c r="B10" s="142" t="str">
        <f>'SCHEDULE OF VALUE WORKSHEET'!B7</f>
        <v>SOFT COSTS</v>
      </c>
      <c r="C10" s="143"/>
      <c r="D10" s="104">
        <f>SUM('SCHEDULE OF VALUE WORKSHEET'!E7)</f>
        <v>0</v>
      </c>
      <c r="E10" s="104">
        <f>SUM('Draw #8'!E10:F10)</f>
        <v>0</v>
      </c>
      <c r="F10" s="105">
        <v>0</v>
      </c>
      <c r="G10" s="104">
        <f>SUM('Draw #8'!G10)+F10</f>
        <v>0</v>
      </c>
      <c r="H10" s="109">
        <f t="shared" ref="H10" si="0">SUM(G10-J10)</f>
        <v>0</v>
      </c>
      <c r="I10" s="110">
        <v>0</v>
      </c>
      <c r="J10" s="109">
        <f>SUM(I10+'Draw #8'!J10)</f>
        <v>0</v>
      </c>
      <c r="K10" s="101" t="str">
        <f t="shared" ref="K10" si="1">IF(J10=0,"",J10/G10)</f>
        <v/>
      </c>
      <c r="L10" s="9"/>
      <c r="M10" s="9"/>
    </row>
    <row r="11" spans="1:13" ht="14.1" customHeight="1">
      <c r="A11" s="4">
        <f>'SCHEDULE OF VALUE WORKSHEET'!A8</f>
        <v>2</v>
      </c>
      <c r="B11" s="142" t="str">
        <f>'SCHEDULE OF VALUE WORKSHEET'!B8</f>
        <v>Site Security</v>
      </c>
      <c r="C11" s="143"/>
      <c r="D11" s="104">
        <f>SUM('SCHEDULE OF VALUE WORKSHEET'!E8)</f>
        <v>10580.63</v>
      </c>
      <c r="E11" s="104">
        <f>SUM('Draw #8'!E11:F11)</f>
        <v>0</v>
      </c>
      <c r="F11" s="105">
        <v>0</v>
      </c>
      <c r="G11" s="104">
        <f>SUM('Draw #8'!G11)+F11</f>
        <v>10580.63</v>
      </c>
      <c r="H11" s="109">
        <f t="shared" ref="H11:H74" si="2">SUM(G11-J11)</f>
        <v>10580.63</v>
      </c>
      <c r="I11" s="110">
        <v>0</v>
      </c>
      <c r="J11" s="109">
        <f>SUM(I11+'Draw #8'!J11)</f>
        <v>0</v>
      </c>
      <c r="K11" s="101" t="str">
        <f t="shared" ref="K11:K74" si="3">IF(J11=0,"",J11/G11)</f>
        <v/>
      </c>
      <c r="L11" s="9"/>
      <c r="M11" s="9"/>
    </row>
    <row r="12" spans="1:13" ht="14.1" customHeight="1">
      <c r="A12" s="4">
        <f>'SCHEDULE OF VALUE WORKSHEET'!A9</f>
        <v>3</v>
      </c>
      <c r="B12" s="142" t="str">
        <f>'SCHEDULE OF VALUE WORKSHEET'!B9</f>
        <v>Soils Inspection</v>
      </c>
      <c r="C12" s="143"/>
      <c r="D12" s="104">
        <f>SUM('SCHEDULE OF VALUE WORKSHEET'!E9)</f>
        <v>0</v>
      </c>
      <c r="E12" s="104">
        <f>SUM('Draw #8'!E12:F12)</f>
        <v>0</v>
      </c>
      <c r="F12" s="105">
        <v>0</v>
      </c>
      <c r="G12" s="104">
        <f>SUM('Draw #8'!G12)+F12</f>
        <v>0</v>
      </c>
      <c r="H12" s="109">
        <f t="shared" si="2"/>
        <v>0</v>
      </c>
      <c r="I12" s="110">
        <v>0</v>
      </c>
      <c r="J12" s="109">
        <f>SUM(I12+'Draw #8'!J12)</f>
        <v>0</v>
      </c>
      <c r="K12" s="101" t="str">
        <f t="shared" si="3"/>
        <v/>
      </c>
      <c r="L12" s="9"/>
      <c r="M12" s="9"/>
    </row>
    <row r="13" spans="1:13" ht="14.1" customHeight="1">
      <c r="A13" s="4">
        <f>'SCHEDULE OF VALUE WORKSHEET'!A10</f>
        <v>4</v>
      </c>
      <c r="B13" s="142" t="str">
        <f>'SCHEDULE OF VALUE WORKSHEET'!B10</f>
        <v>Offsites (Transformer)</v>
      </c>
      <c r="C13" s="143"/>
      <c r="D13" s="104">
        <f>SUM('SCHEDULE OF VALUE WORKSHEET'!E10)</f>
        <v>20000</v>
      </c>
      <c r="E13" s="104">
        <f>SUM('Draw #8'!E13:F13)</f>
        <v>0</v>
      </c>
      <c r="F13" s="105">
        <v>0</v>
      </c>
      <c r="G13" s="104">
        <f>SUM('Draw #8'!G13)+F13</f>
        <v>20000</v>
      </c>
      <c r="H13" s="109">
        <f t="shared" si="2"/>
        <v>20000</v>
      </c>
      <c r="I13" s="110">
        <v>0</v>
      </c>
      <c r="J13" s="109">
        <f>SUM(I13+'Draw #8'!J13)</f>
        <v>0</v>
      </c>
      <c r="K13" s="101" t="str">
        <f t="shared" si="3"/>
        <v/>
      </c>
      <c r="L13" s="9"/>
      <c r="M13" s="9"/>
    </row>
    <row r="14" spans="1:13" ht="14.1" customHeight="1">
      <c r="A14" s="4">
        <f>'SCHEDULE OF VALUE WORKSHEET'!A11</f>
        <v>5</v>
      </c>
      <c r="B14" s="142" t="str">
        <f>'SCHEDULE OF VALUE WORKSHEET'!B11</f>
        <v>Plan Check Fees</v>
      </c>
      <c r="C14" s="143"/>
      <c r="D14" s="104">
        <f>SUM('SCHEDULE OF VALUE WORKSHEET'!E11)</f>
        <v>0</v>
      </c>
      <c r="E14" s="104">
        <f>SUM('Draw #8'!E14:F14)</f>
        <v>0</v>
      </c>
      <c r="F14" s="105">
        <v>0</v>
      </c>
      <c r="G14" s="104">
        <f>SUM('Draw #8'!G14)+F14</f>
        <v>0</v>
      </c>
      <c r="H14" s="109">
        <f t="shared" si="2"/>
        <v>0</v>
      </c>
      <c r="I14" s="110">
        <v>0</v>
      </c>
      <c r="J14" s="109">
        <f>SUM(I14+'Draw #8'!J14)</f>
        <v>0</v>
      </c>
      <c r="K14" s="101" t="str">
        <f t="shared" si="3"/>
        <v/>
      </c>
      <c r="L14" s="9"/>
      <c r="M14" s="9"/>
    </row>
    <row r="15" spans="1:13" ht="14.1" customHeight="1">
      <c r="A15" s="4">
        <f>'SCHEDULE OF VALUE WORKSHEET'!A12</f>
        <v>6</v>
      </c>
      <c r="B15" s="142" t="str">
        <f>'SCHEDULE OF VALUE WORKSHEET'!B12</f>
        <v>Permits</v>
      </c>
      <c r="C15" s="143"/>
      <c r="D15" s="104">
        <f>SUM('SCHEDULE OF VALUE WORKSHEET'!E12)</f>
        <v>0</v>
      </c>
      <c r="E15" s="104">
        <f>SUM('Draw #8'!E15:F15)</f>
        <v>0</v>
      </c>
      <c r="F15" s="105">
        <v>0</v>
      </c>
      <c r="G15" s="104">
        <f>SUM('Draw #8'!G15)+F15</f>
        <v>0</v>
      </c>
      <c r="H15" s="109">
        <f t="shared" si="2"/>
        <v>0</v>
      </c>
      <c r="I15" s="110">
        <v>0</v>
      </c>
      <c r="J15" s="109">
        <f>SUM(I15+'Draw #8'!J15)</f>
        <v>0</v>
      </c>
      <c r="K15" s="101" t="str">
        <f t="shared" si="3"/>
        <v/>
      </c>
      <c r="L15" s="9"/>
      <c r="M15" s="9"/>
    </row>
    <row r="16" spans="1:13" ht="14.1" customHeight="1">
      <c r="A16" s="4">
        <f>'SCHEDULE OF VALUE WORKSHEET'!A13</f>
        <v>7</v>
      </c>
      <c r="B16" s="142" t="str">
        <f>'SCHEDULE OF VALUE WORKSHEET'!B13</f>
        <v>Survey</v>
      </c>
      <c r="C16" s="143"/>
      <c r="D16" s="104">
        <f>SUM('SCHEDULE OF VALUE WORKSHEET'!E13)</f>
        <v>0</v>
      </c>
      <c r="E16" s="104">
        <f>SUM('Draw #8'!E16:F16)</f>
        <v>0</v>
      </c>
      <c r="F16" s="105">
        <v>0</v>
      </c>
      <c r="G16" s="104">
        <f>SUM('Draw #8'!G16)+F16</f>
        <v>0</v>
      </c>
      <c r="H16" s="109">
        <f t="shared" si="2"/>
        <v>0</v>
      </c>
      <c r="I16" s="110">
        <v>0</v>
      </c>
      <c r="J16" s="109">
        <f>SUM(I16+'Draw #8'!J16)</f>
        <v>0</v>
      </c>
      <c r="K16" s="101" t="str">
        <f t="shared" si="3"/>
        <v/>
      </c>
      <c r="L16" s="9"/>
      <c r="M16" s="9"/>
    </row>
    <row r="17" spans="1:13" ht="14.1" customHeight="1">
      <c r="A17" s="4">
        <f>'SCHEDULE OF VALUE WORKSHEET'!A14</f>
        <v>8</v>
      </c>
      <c r="B17" s="142" t="str">
        <f>'SCHEDULE OF VALUE WORKSHEET'!B14</f>
        <v>Soils Engineer</v>
      </c>
      <c r="C17" s="143"/>
      <c r="D17" s="104">
        <f>SUM('SCHEDULE OF VALUE WORKSHEET'!E14)</f>
        <v>0</v>
      </c>
      <c r="E17" s="104">
        <f>SUM('Draw #8'!E17:F17)</f>
        <v>0</v>
      </c>
      <c r="F17" s="105">
        <v>0</v>
      </c>
      <c r="G17" s="104">
        <f>SUM('Draw #8'!G17)+F17</f>
        <v>0</v>
      </c>
      <c r="H17" s="109">
        <f t="shared" si="2"/>
        <v>0</v>
      </c>
      <c r="I17" s="110">
        <v>0</v>
      </c>
      <c r="J17" s="109">
        <f>SUM(I17+'Draw #8'!J17)</f>
        <v>0</v>
      </c>
      <c r="K17" s="101" t="str">
        <f t="shared" si="3"/>
        <v/>
      </c>
      <c r="L17" s="9"/>
      <c r="M17" s="9"/>
    </row>
    <row r="18" spans="1:13" ht="14.1" customHeight="1">
      <c r="A18" s="4">
        <f>'SCHEDULE OF VALUE WORKSHEET'!A15</f>
        <v>9</v>
      </c>
      <c r="B18" s="142" t="str">
        <f>'SCHEDULE OF VALUE WORKSHEET'!B15</f>
        <v>Soils Permit + T24</v>
      </c>
      <c r="C18" s="143"/>
      <c r="D18" s="104">
        <f>SUM('SCHEDULE OF VALUE WORKSHEET'!E15)</f>
        <v>2500</v>
      </c>
      <c r="E18" s="104">
        <f>SUM('Draw #8'!E18:F18)</f>
        <v>0</v>
      </c>
      <c r="F18" s="105">
        <v>0</v>
      </c>
      <c r="G18" s="104">
        <f>SUM('Draw #8'!G18)+F18</f>
        <v>2500</v>
      </c>
      <c r="H18" s="109">
        <f t="shared" si="2"/>
        <v>2500</v>
      </c>
      <c r="I18" s="110">
        <v>0</v>
      </c>
      <c r="J18" s="109">
        <f>SUM(I18+'Draw #8'!J18)</f>
        <v>0</v>
      </c>
      <c r="K18" s="101" t="str">
        <f t="shared" si="3"/>
        <v/>
      </c>
      <c r="L18" s="9"/>
      <c r="M18" s="9"/>
    </row>
    <row r="19" spans="1:13" ht="14.1" customHeight="1">
      <c r="A19" s="4">
        <f>'SCHEDULE OF VALUE WORKSHEET'!A16</f>
        <v>10</v>
      </c>
      <c r="B19" s="142" t="str">
        <f>'SCHEDULE OF VALUE WORKSHEET'!B16</f>
        <v>Special Inspections - Deputy</v>
      </c>
      <c r="C19" s="143"/>
      <c r="D19" s="104">
        <f>SUM('SCHEDULE OF VALUE WORKSHEET'!E16)</f>
        <v>15000</v>
      </c>
      <c r="E19" s="104">
        <f>SUM('Draw #8'!E19:F19)</f>
        <v>0</v>
      </c>
      <c r="F19" s="105">
        <v>0</v>
      </c>
      <c r="G19" s="104">
        <f>SUM('Draw #8'!G19)+F19</f>
        <v>15000</v>
      </c>
      <c r="H19" s="109">
        <f t="shared" si="2"/>
        <v>15000</v>
      </c>
      <c r="I19" s="110">
        <v>0</v>
      </c>
      <c r="J19" s="109">
        <f>SUM(I19+'Draw #8'!J19)</f>
        <v>0</v>
      </c>
      <c r="K19" s="101" t="str">
        <f t="shared" si="3"/>
        <v/>
      </c>
      <c r="L19" s="9"/>
      <c r="M19" s="9"/>
    </row>
    <row r="20" spans="1:13" ht="14.1" customHeight="1">
      <c r="A20" s="4">
        <f>'SCHEDULE OF VALUE WORKSHEET'!A17</f>
        <v>11</v>
      </c>
      <c r="B20" s="142" t="str">
        <f>'SCHEDULE OF VALUE WORKSHEET'!B17</f>
        <v>Architect</v>
      </c>
      <c r="C20" s="143"/>
      <c r="D20" s="104">
        <f>SUM('SCHEDULE OF VALUE WORKSHEET'!E17)</f>
        <v>0</v>
      </c>
      <c r="E20" s="104">
        <f>SUM('Draw #8'!E20:F20)</f>
        <v>0</v>
      </c>
      <c r="F20" s="105">
        <v>0</v>
      </c>
      <c r="G20" s="104">
        <f>SUM('Draw #8'!G20)+F20</f>
        <v>0</v>
      </c>
      <c r="H20" s="109">
        <f t="shared" si="2"/>
        <v>0</v>
      </c>
      <c r="I20" s="110">
        <v>0</v>
      </c>
      <c r="J20" s="109">
        <f>SUM(I20+'Draw #8'!J20)</f>
        <v>0</v>
      </c>
      <c r="K20" s="101" t="str">
        <f t="shared" si="3"/>
        <v/>
      </c>
      <c r="L20" s="9"/>
      <c r="M20" s="9"/>
    </row>
    <row r="21" spans="1:13" ht="14.1" customHeight="1">
      <c r="A21" s="4">
        <f>'SCHEDULE OF VALUE WORKSHEET'!A18</f>
        <v>12</v>
      </c>
      <c r="B21" s="142" t="str">
        <f>'SCHEDULE OF VALUE WORKSHEET'!B18</f>
        <v>Structural Engineer</v>
      </c>
      <c r="C21" s="143"/>
      <c r="D21" s="104">
        <f>SUM('SCHEDULE OF VALUE WORKSHEET'!E18)</f>
        <v>0</v>
      </c>
      <c r="E21" s="104">
        <f>SUM('Draw #8'!E21:F21)</f>
        <v>0</v>
      </c>
      <c r="F21" s="105">
        <v>0</v>
      </c>
      <c r="G21" s="104">
        <f>SUM('Draw #8'!G21)+F21</f>
        <v>0</v>
      </c>
      <c r="H21" s="109">
        <f t="shared" si="2"/>
        <v>0</v>
      </c>
      <c r="I21" s="110">
        <v>0</v>
      </c>
      <c r="J21" s="109">
        <f>SUM(I21+'Draw #8'!J21)</f>
        <v>0</v>
      </c>
      <c r="K21" s="101" t="str">
        <f t="shared" si="3"/>
        <v/>
      </c>
      <c r="L21" s="9"/>
      <c r="M21" s="9"/>
    </row>
    <row r="22" spans="1:13" ht="14.1" customHeight="1">
      <c r="A22" s="4">
        <f>'SCHEDULE OF VALUE WORKSHEET'!A19</f>
        <v>13</v>
      </c>
      <c r="B22" s="142" t="str">
        <f>'SCHEDULE OF VALUE WORKSHEET'!B19</f>
        <v>Structural Observation</v>
      </c>
      <c r="C22" s="143"/>
      <c r="D22" s="104">
        <f>SUM('SCHEDULE OF VALUE WORKSHEET'!E19)</f>
        <v>8000</v>
      </c>
      <c r="E22" s="104">
        <f>SUM('Draw #8'!E22:F22)</f>
        <v>0</v>
      </c>
      <c r="F22" s="105">
        <v>0</v>
      </c>
      <c r="G22" s="104">
        <f>SUM('Draw #8'!G22)+F22</f>
        <v>8000</v>
      </c>
      <c r="H22" s="109">
        <f t="shared" si="2"/>
        <v>8000</v>
      </c>
      <c r="I22" s="110">
        <v>0</v>
      </c>
      <c r="J22" s="109">
        <f>SUM(I22+'Draw #8'!J22)</f>
        <v>0</v>
      </c>
      <c r="K22" s="101" t="str">
        <f t="shared" si="3"/>
        <v/>
      </c>
      <c r="L22" s="9"/>
      <c r="M22" s="9"/>
    </row>
    <row r="23" spans="1:13" ht="14.1" customHeight="1">
      <c r="A23" s="4">
        <f>'SCHEDULE OF VALUE WORKSHEET'!A20</f>
        <v>14</v>
      </c>
      <c r="B23" s="142" t="str">
        <f>'SCHEDULE OF VALUE WORKSHEET'!B20</f>
        <v>Civil Engineering</v>
      </c>
      <c r="C23" s="143"/>
      <c r="D23" s="104">
        <f>SUM('SCHEDULE OF VALUE WORKSHEET'!E20)</f>
        <v>0</v>
      </c>
      <c r="E23" s="104">
        <f>SUM('Draw #8'!E23:F23)</f>
        <v>0</v>
      </c>
      <c r="F23" s="105">
        <v>0</v>
      </c>
      <c r="G23" s="104">
        <f>SUM('Draw #8'!G23)+F23</f>
        <v>0</v>
      </c>
      <c r="H23" s="109">
        <f t="shared" si="2"/>
        <v>0</v>
      </c>
      <c r="I23" s="110">
        <v>0</v>
      </c>
      <c r="J23" s="109">
        <f>SUM(I23+'Draw #8'!J23)</f>
        <v>0</v>
      </c>
      <c r="K23" s="101" t="str">
        <f t="shared" si="3"/>
        <v/>
      </c>
      <c r="L23" s="9"/>
      <c r="M23" s="9"/>
    </row>
    <row r="24" spans="1:13" ht="14.1" customHeight="1">
      <c r="A24" s="4">
        <f>'SCHEDULE OF VALUE WORKSHEET'!A21</f>
        <v>15</v>
      </c>
      <c r="B24" s="142" t="str">
        <f>'SCHEDULE OF VALUE WORKSHEET'!B21</f>
        <v>Grading Permit</v>
      </c>
      <c r="C24" s="143"/>
      <c r="D24" s="104">
        <f>SUM('SCHEDULE OF VALUE WORKSHEET'!E21)</f>
        <v>0</v>
      </c>
      <c r="E24" s="104">
        <f>SUM('Draw #8'!E24:F24)</f>
        <v>0</v>
      </c>
      <c r="F24" s="105">
        <v>0</v>
      </c>
      <c r="G24" s="104">
        <f>SUM('Draw #8'!G24)+F24</f>
        <v>0</v>
      </c>
      <c r="H24" s="109">
        <f t="shared" si="2"/>
        <v>0</v>
      </c>
      <c r="I24" s="110">
        <v>0</v>
      </c>
      <c r="J24" s="109">
        <f>SUM(I24+'Draw #8'!J24)</f>
        <v>0</v>
      </c>
      <c r="K24" s="101" t="str">
        <f t="shared" si="3"/>
        <v/>
      </c>
      <c r="L24" s="9"/>
      <c r="M24" s="9"/>
    </row>
    <row r="25" spans="1:13" ht="14.1" customHeight="1">
      <c r="A25" s="4">
        <f>'SCHEDULE OF VALUE WORKSHEET'!A22</f>
        <v>16</v>
      </c>
      <c r="B25" s="142" t="str">
        <f>'SCHEDULE OF VALUE WORKSHEET'!B22</f>
        <v>Landscape Architect/Designer</v>
      </c>
      <c r="C25" s="143"/>
      <c r="D25" s="104">
        <f>SUM('SCHEDULE OF VALUE WORKSHEET'!E22)</f>
        <v>0</v>
      </c>
      <c r="E25" s="104">
        <f>SUM('Draw #8'!E25:F25)</f>
        <v>0</v>
      </c>
      <c r="F25" s="105">
        <v>0</v>
      </c>
      <c r="G25" s="104">
        <f>SUM('Draw #8'!G25)+F25</f>
        <v>0</v>
      </c>
      <c r="H25" s="109">
        <f t="shared" si="2"/>
        <v>0</v>
      </c>
      <c r="I25" s="110">
        <v>0</v>
      </c>
      <c r="J25" s="109">
        <f>SUM(I25+'Draw #8'!J25)</f>
        <v>0</v>
      </c>
      <c r="K25" s="101" t="str">
        <f t="shared" si="3"/>
        <v/>
      </c>
      <c r="L25" s="9"/>
      <c r="M25" s="9"/>
    </row>
    <row r="26" spans="1:13" ht="14.1" customHeight="1">
      <c r="A26" s="4">
        <f>'SCHEDULE OF VALUE WORKSHEET'!A23</f>
        <v>17</v>
      </c>
      <c r="B26" s="142" t="str">
        <f>'SCHEDULE OF VALUE WORKSHEET'!B23</f>
        <v>Driveway Apron Permit</v>
      </c>
      <c r="C26" s="143"/>
      <c r="D26" s="104">
        <f>SUM('SCHEDULE OF VALUE WORKSHEET'!E23)</f>
        <v>2500</v>
      </c>
      <c r="E26" s="104">
        <f>SUM('Draw #8'!E26:F26)</f>
        <v>0</v>
      </c>
      <c r="F26" s="105">
        <v>0</v>
      </c>
      <c r="G26" s="104">
        <f>SUM('Draw #8'!G26)+F26</f>
        <v>2500</v>
      </c>
      <c r="H26" s="109">
        <f t="shared" si="2"/>
        <v>2500</v>
      </c>
      <c r="I26" s="110">
        <v>0</v>
      </c>
      <c r="J26" s="109">
        <f>SUM(I26+'Draw #8'!J26)</f>
        <v>0</v>
      </c>
      <c r="K26" s="101" t="str">
        <f t="shared" si="3"/>
        <v/>
      </c>
      <c r="L26" s="9"/>
      <c r="M26" s="9"/>
    </row>
    <row r="27" spans="1:13" ht="14.1" customHeight="1">
      <c r="A27" s="4">
        <f>'SCHEDULE OF VALUE WORKSHEET'!A24</f>
        <v>18</v>
      </c>
      <c r="B27" s="142" t="str">
        <f>'SCHEDULE OF VALUE WORKSHEET'!B24</f>
        <v>Punch List - Misc.</v>
      </c>
      <c r="C27" s="143"/>
      <c r="D27" s="104">
        <f>SUM('SCHEDULE OF VALUE WORKSHEET'!E24)</f>
        <v>21962.77</v>
      </c>
      <c r="E27" s="104">
        <f>SUM('Draw #8'!E27:F27)</f>
        <v>0</v>
      </c>
      <c r="F27" s="105">
        <v>0</v>
      </c>
      <c r="G27" s="104">
        <f>SUM('Draw #8'!G27)+F27</f>
        <v>21962.77</v>
      </c>
      <c r="H27" s="109">
        <f t="shared" si="2"/>
        <v>21962.77</v>
      </c>
      <c r="I27" s="110">
        <v>0</v>
      </c>
      <c r="J27" s="109">
        <f>SUM(I27+'Draw #8'!J27)</f>
        <v>0</v>
      </c>
      <c r="K27" s="101" t="str">
        <f t="shared" si="3"/>
        <v/>
      </c>
      <c r="L27" s="9"/>
      <c r="M27" s="9"/>
    </row>
    <row r="28" spans="1:13" ht="14.1" customHeight="1">
      <c r="A28" s="4">
        <f>'SCHEDULE OF VALUE WORKSHEET'!A25</f>
        <v>19</v>
      </c>
      <c r="B28" s="142" t="str">
        <f>'SCHEDULE OF VALUE WORKSHEET'!B25</f>
        <v>EBM, Low Voltage, Landscape, Waterproofing CA</v>
      </c>
      <c r="C28" s="143"/>
      <c r="D28" s="104">
        <f>SUM('SCHEDULE OF VALUE WORKSHEET'!E25)</f>
        <v>0</v>
      </c>
      <c r="E28" s="104">
        <f>SUM('Draw #8'!E28:F28)</f>
        <v>0</v>
      </c>
      <c r="F28" s="105">
        <v>0</v>
      </c>
      <c r="G28" s="104">
        <f>SUM('Draw #8'!G28)+F28</f>
        <v>0</v>
      </c>
      <c r="H28" s="109">
        <f t="shared" si="2"/>
        <v>0</v>
      </c>
      <c r="I28" s="110">
        <v>0</v>
      </c>
      <c r="J28" s="109">
        <f>SUM(I28+'Draw #8'!J28)</f>
        <v>0</v>
      </c>
      <c r="K28" s="101" t="str">
        <f t="shared" si="3"/>
        <v/>
      </c>
      <c r="L28" s="9"/>
      <c r="M28" s="9"/>
    </row>
    <row r="29" spans="1:13" ht="14.1" customHeight="1">
      <c r="A29" s="4">
        <f>'SCHEDULE OF VALUE WORKSHEET'!A26</f>
        <v>20</v>
      </c>
      <c r="B29" s="142" t="str">
        <f>'SCHEDULE OF VALUE WORKSHEET'!B26</f>
        <v>Project Accounting/Tax Filing</v>
      </c>
      <c r="C29" s="143"/>
      <c r="D29" s="104">
        <f>SUM('SCHEDULE OF VALUE WORKSHEET'!E26)</f>
        <v>12994.01</v>
      </c>
      <c r="E29" s="104">
        <f>SUM('Draw #8'!E29:F29)</f>
        <v>0</v>
      </c>
      <c r="F29" s="105">
        <v>0</v>
      </c>
      <c r="G29" s="104">
        <f>SUM('Draw #8'!G29)+F29</f>
        <v>12994.01</v>
      </c>
      <c r="H29" s="109">
        <f t="shared" si="2"/>
        <v>12994.01</v>
      </c>
      <c r="I29" s="110">
        <v>0</v>
      </c>
      <c r="J29" s="109">
        <f>SUM(I29+'Draw #8'!J29)</f>
        <v>0</v>
      </c>
      <c r="K29" s="101" t="str">
        <f t="shared" si="3"/>
        <v/>
      </c>
      <c r="L29" s="9"/>
      <c r="M29" s="9"/>
    </row>
    <row r="30" spans="1:13" ht="14.1" customHeight="1">
      <c r="A30" s="4">
        <f>'SCHEDULE OF VALUE WORKSHEET'!A27</f>
        <v>21</v>
      </c>
      <c r="B30" s="142" t="str">
        <f>'SCHEDULE OF VALUE WORKSHEET'!B27</f>
        <v>Legal &amp; Professional Fees</v>
      </c>
      <c r="C30" s="143"/>
      <c r="D30" s="104">
        <f>SUM('SCHEDULE OF VALUE WORKSHEET'!E27)</f>
        <v>873.38999999999942</v>
      </c>
      <c r="E30" s="104">
        <f>SUM('Draw #8'!E30:F30)</f>
        <v>0</v>
      </c>
      <c r="F30" s="105">
        <v>0</v>
      </c>
      <c r="G30" s="104">
        <f>SUM('Draw #8'!G30)+F30</f>
        <v>873.38999999999942</v>
      </c>
      <c r="H30" s="109">
        <f t="shared" si="2"/>
        <v>873.38999999999942</v>
      </c>
      <c r="I30" s="110">
        <v>0</v>
      </c>
      <c r="J30" s="109">
        <f>SUM(I30+'Draw #8'!J30)</f>
        <v>0</v>
      </c>
      <c r="K30" s="101" t="str">
        <f t="shared" si="3"/>
        <v/>
      </c>
      <c r="L30" s="9"/>
      <c r="M30" s="9"/>
    </row>
    <row r="31" spans="1:13" ht="14.1" customHeight="1">
      <c r="A31" s="4">
        <f>'SCHEDULE OF VALUE WORKSHEET'!A28</f>
        <v>22</v>
      </c>
      <c r="B31" s="142" t="str">
        <f>'SCHEDULE OF VALUE WORKSHEET'!B28</f>
        <v>Sewer CCTV and inspection</v>
      </c>
      <c r="C31" s="143"/>
      <c r="D31" s="104">
        <f>SUM('SCHEDULE OF VALUE WORKSHEET'!E28)</f>
        <v>0</v>
      </c>
      <c r="E31" s="104">
        <f>SUM('Draw #8'!E31:F31)</f>
        <v>0</v>
      </c>
      <c r="F31" s="105">
        <v>0</v>
      </c>
      <c r="G31" s="104">
        <f>SUM('Draw #8'!G31)+F31</f>
        <v>0</v>
      </c>
      <c r="H31" s="109">
        <f t="shared" si="2"/>
        <v>0</v>
      </c>
      <c r="I31" s="110">
        <v>0</v>
      </c>
      <c r="J31" s="109">
        <f>SUM(I31+'Draw #8'!J31)</f>
        <v>0</v>
      </c>
      <c r="K31" s="101" t="str">
        <f t="shared" si="3"/>
        <v/>
      </c>
      <c r="L31" s="9"/>
      <c r="M31" s="9"/>
    </row>
    <row r="32" spans="1:13" ht="14.1" customHeight="1">
      <c r="A32" s="4">
        <f>'SCHEDULE OF VALUE WORKSHEET'!A29</f>
        <v>23</v>
      </c>
      <c r="B32" s="142" t="str">
        <f>'SCHEDULE OF VALUE WORKSHEET'!B29</f>
        <v>Environmental Phase I</v>
      </c>
      <c r="C32" s="143"/>
      <c r="D32" s="104">
        <f>SUM('SCHEDULE OF VALUE WORKSHEET'!E29)</f>
        <v>0</v>
      </c>
      <c r="E32" s="104">
        <f>SUM('Draw #8'!E32:F32)</f>
        <v>0</v>
      </c>
      <c r="F32" s="105">
        <v>0</v>
      </c>
      <c r="G32" s="104">
        <f>SUM('Draw #8'!G32)+F32</f>
        <v>0</v>
      </c>
      <c r="H32" s="109">
        <f t="shared" si="2"/>
        <v>0</v>
      </c>
      <c r="I32" s="110">
        <v>0</v>
      </c>
      <c r="J32" s="109">
        <f>SUM(I32+'Draw #8'!J32)</f>
        <v>0</v>
      </c>
      <c r="K32" s="101" t="str">
        <f t="shared" si="3"/>
        <v/>
      </c>
      <c r="L32" s="9"/>
      <c r="M32" s="9"/>
    </row>
    <row r="33" spans="1:13" ht="14.1" customHeight="1">
      <c r="A33" s="4">
        <f>'SCHEDULE OF VALUE WORKSHEET'!A30</f>
        <v>24</v>
      </c>
      <c r="B33" s="142" t="str">
        <f>'SCHEDULE OF VALUE WORKSHEET'!B30</f>
        <v>Dry Utility Consultant</v>
      </c>
      <c r="C33" s="143"/>
      <c r="D33" s="104">
        <f>SUM('SCHEDULE OF VALUE WORKSHEET'!E30)</f>
        <v>0</v>
      </c>
      <c r="E33" s="104">
        <f>SUM('Draw #8'!E33:F33)</f>
        <v>0</v>
      </c>
      <c r="F33" s="105">
        <v>0</v>
      </c>
      <c r="G33" s="104">
        <f>SUM('Draw #8'!G33)+F33</f>
        <v>0</v>
      </c>
      <c r="H33" s="109">
        <f t="shared" si="2"/>
        <v>0</v>
      </c>
      <c r="I33" s="110">
        <v>0</v>
      </c>
      <c r="J33" s="109">
        <f>SUM(I33+'Draw #8'!J33)</f>
        <v>0</v>
      </c>
      <c r="K33" s="101" t="str">
        <f t="shared" si="3"/>
        <v/>
      </c>
      <c r="L33" s="9"/>
      <c r="M33" s="9"/>
    </row>
    <row r="34" spans="1:13" ht="14.1" customHeight="1">
      <c r="A34" s="4">
        <f>'SCHEDULE OF VALUE WORKSHEET'!A31</f>
        <v>25</v>
      </c>
      <c r="B34" s="142" t="str">
        <f>'SCHEDULE OF VALUE WORKSHEET'!B31</f>
        <v>Dry Utility Survey</v>
      </c>
      <c r="C34" s="143"/>
      <c r="D34" s="104">
        <f>SUM('SCHEDULE OF VALUE WORKSHEET'!E31)</f>
        <v>5000</v>
      </c>
      <c r="E34" s="104">
        <f>SUM('Draw #8'!E34:F34)</f>
        <v>0</v>
      </c>
      <c r="F34" s="105">
        <v>0</v>
      </c>
      <c r="G34" s="104">
        <f>SUM('Draw #8'!G34)+F34</f>
        <v>5000</v>
      </c>
      <c r="H34" s="109">
        <f t="shared" si="2"/>
        <v>5000</v>
      </c>
      <c r="I34" s="110">
        <v>0</v>
      </c>
      <c r="J34" s="109">
        <f>SUM(I34+'Draw #8'!J34)</f>
        <v>0</v>
      </c>
      <c r="K34" s="101" t="str">
        <f t="shared" si="3"/>
        <v/>
      </c>
      <c r="L34" s="9"/>
      <c r="M34" s="9"/>
    </row>
    <row r="35" spans="1:13" ht="14.1" customHeight="1">
      <c r="A35" s="4">
        <f>'SCHEDULE OF VALUE WORKSHEET'!A32</f>
        <v>26</v>
      </c>
      <c r="B35" s="142" t="str">
        <f>'SCHEDULE OF VALUE WORKSHEET'!B32</f>
        <v>MEP</v>
      </c>
      <c r="C35" s="143"/>
      <c r="D35" s="104">
        <f>SUM('SCHEDULE OF VALUE WORKSHEET'!E32)</f>
        <v>0</v>
      </c>
      <c r="E35" s="104">
        <f>SUM('Draw #8'!E35:F35)</f>
        <v>0</v>
      </c>
      <c r="F35" s="105">
        <v>0</v>
      </c>
      <c r="G35" s="104">
        <f>SUM('Draw #8'!G35)+F35</f>
        <v>0</v>
      </c>
      <c r="H35" s="109">
        <f t="shared" si="2"/>
        <v>0</v>
      </c>
      <c r="I35" s="110">
        <v>0</v>
      </c>
      <c r="J35" s="109">
        <f>SUM(I35+'Draw #8'!J35)</f>
        <v>0</v>
      </c>
      <c r="K35" s="101" t="str">
        <f t="shared" si="3"/>
        <v/>
      </c>
      <c r="L35" s="9"/>
      <c r="M35" s="9"/>
    </row>
    <row r="36" spans="1:13" ht="14.1" customHeight="1">
      <c r="A36" s="4">
        <f>'SCHEDULE OF VALUE WORKSHEET'!A33</f>
        <v>27</v>
      </c>
      <c r="B36" s="142" t="str">
        <f>'SCHEDULE OF VALUE WORKSHEET'!B33</f>
        <v>Civil Construction Administration</v>
      </c>
      <c r="C36" s="143"/>
      <c r="D36" s="104">
        <f>SUM('SCHEDULE OF VALUE WORKSHEET'!E33)</f>
        <v>5000</v>
      </c>
      <c r="E36" s="104">
        <f>SUM('Draw #8'!E36:F36)</f>
        <v>0</v>
      </c>
      <c r="F36" s="105">
        <v>0</v>
      </c>
      <c r="G36" s="104">
        <f>SUM('Draw #8'!G36)+F36</f>
        <v>5000</v>
      </c>
      <c r="H36" s="109">
        <f t="shared" si="2"/>
        <v>5000</v>
      </c>
      <c r="I36" s="110">
        <v>0</v>
      </c>
      <c r="J36" s="109">
        <f>SUM(I36+'Draw #8'!J36)</f>
        <v>0</v>
      </c>
      <c r="K36" s="101" t="str">
        <f t="shared" si="3"/>
        <v/>
      </c>
      <c r="L36" s="9"/>
      <c r="M36" s="9"/>
    </row>
    <row r="37" spans="1:13" ht="14.1" customHeight="1">
      <c r="A37" s="4">
        <f>'SCHEDULE OF VALUE WORKSHEET'!A34</f>
        <v>28</v>
      </c>
      <c r="B37" s="142" t="str">
        <f>'SCHEDULE OF VALUE WORKSHEET'!B34</f>
        <v>Permit Clearances &amp; Agency Reviews</v>
      </c>
      <c r="C37" s="143"/>
      <c r="D37" s="104">
        <f>SUM('SCHEDULE OF VALUE WORKSHEET'!E34)</f>
        <v>0</v>
      </c>
      <c r="E37" s="104">
        <f>SUM('Draw #8'!E37:F37)</f>
        <v>0</v>
      </c>
      <c r="F37" s="105">
        <v>0</v>
      </c>
      <c r="G37" s="104">
        <f>SUM('Draw #8'!G37)+F37</f>
        <v>0</v>
      </c>
      <c r="H37" s="109">
        <f t="shared" si="2"/>
        <v>0</v>
      </c>
      <c r="I37" s="110">
        <v>0</v>
      </c>
      <c r="J37" s="109">
        <f>SUM(I37+'Draw #8'!J37)</f>
        <v>0</v>
      </c>
      <c r="K37" s="101" t="str">
        <f t="shared" si="3"/>
        <v/>
      </c>
      <c r="L37" s="9"/>
      <c r="M37" s="9"/>
    </row>
    <row r="38" spans="1:13" ht="14.1" customHeight="1">
      <c r="A38" s="4">
        <f>'SCHEDULE OF VALUE WORKSHEET'!A35</f>
        <v>29</v>
      </c>
      <c r="B38" s="142" t="str">
        <f>'SCHEDULE OF VALUE WORKSHEET'!B35</f>
        <v>Demo Permit Fees</v>
      </c>
      <c r="C38" s="143"/>
      <c r="D38" s="104">
        <f>SUM('SCHEDULE OF VALUE WORKSHEET'!E35)</f>
        <v>500</v>
      </c>
      <c r="E38" s="104">
        <f>SUM('Draw #8'!E38:F38)</f>
        <v>0</v>
      </c>
      <c r="F38" s="105">
        <v>0</v>
      </c>
      <c r="G38" s="104">
        <f>SUM('Draw #8'!G38)+F38</f>
        <v>500</v>
      </c>
      <c r="H38" s="109">
        <f t="shared" si="2"/>
        <v>500</v>
      </c>
      <c r="I38" s="110">
        <v>0</v>
      </c>
      <c r="J38" s="109">
        <f>SUM(I38+'Draw #8'!J38)</f>
        <v>0</v>
      </c>
      <c r="K38" s="101" t="str">
        <f t="shared" si="3"/>
        <v/>
      </c>
      <c r="L38" s="9"/>
      <c r="M38" s="9"/>
    </row>
    <row r="39" spans="1:13" ht="14.1" customHeight="1">
      <c r="A39" s="4">
        <f>'SCHEDULE OF VALUE WORKSHEET'!A36</f>
        <v>30</v>
      </c>
      <c r="B39" s="142" t="str">
        <f>'SCHEDULE OF VALUE WORKSHEET'!B36</f>
        <v>MEP Fees</v>
      </c>
      <c r="C39" s="143"/>
      <c r="D39" s="104">
        <f>SUM('SCHEDULE OF VALUE WORKSHEET'!E36)</f>
        <v>0</v>
      </c>
      <c r="E39" s="104">
        <f>SUM('Draw #8'!E39:F39)</f>
        <v>0</v>
      </c>
      <c r="F39" s="105">
        <v>0</v>
      </c>
      <c r="G39" s="104">
        <f>SUM('Draw #8'!G39)+F39</f>
        <v>0</v>
      </c>
      <c r="H39" s="109">
        <f t="shared" si="2"/>
        <v>0</v>
      </c>
      <c r="I39" s="110">
        <v>0</v>
      </c>
      <c r="J39" s="109">
        <f>SUM(I39+'Draw #8'!J39)</f>
        <v>0</v>
      </c>
      <c r="K39" s="101" t="str">
        <f t="shared" si="3"/>
        <v/>
      </c>
      <c r="L39" s="9"/>
      <c r="M39" s="9"/>
    </row>
    <row r="40" spans="1:13" ht="14.1" customHeight="1">
      <c r="A40" s="4">
        <f>'SCHEDULE OF VALUE WORKSHEET'!A37</f>
        <v>31</v>
      </c>
      <c r="B40" s="142" t="str">
        <f>'SCHEDULE OF VALUE WORKSHEET'!B37</f>
        <v>Agency Signoffs</v>
      </c>
      <c r="C40" s="143"/>
      <c r="D40" s="104">
        <f>SUM('SCHEDULE OF VALUE WORKSHEET'!E37)</f>
        <v>0</v>
      </c>
      <c r="E40" s="104">
        <f>SUM('Draw #8'!E40:F40)</f>
        <v>0</v>
      </c>
      <c r="F40" s="105">
        <v>0</v>
      </c>
      <c r="G40" s="104">
        <f>SUM('Draw #8'!G40)+F40</f>
        <v>0</v>
      </c>
      <c r="H40" s="109">
        <f t="shared" si="2"/>
        <v>0</v>
      </c>
      <c r="I40" s="110">
        <v>0</v>
      </c>
      <c r="J40" s="109">
        <f>SUM(I40+'Draw #8'!J40)</f>
        <v>0</v>
      </c>
      <c r="K40" s="101" t="str">
        <f t="shared" si="3"/>
        <v/>
      </c>
      <c r="L40" s="9"/>
      <c r="M40" s="9"/>
    </row>
    <row r="41" spans="1:13" ht="14.1" customHeight="1">
      <c r="A41" s="4">
        <f>'SCHEDULE OF VALUE WORKSHEET'!A38</f>
        <v>32</v>
      </c>
      <c r="B41" s="142" t="str">
        <f>'SCHEDULE OF VALUE WORKSHEET'!B38</f>
        <v>Specifications Writer Consultant</v>
      </c>
      <c r="C41" s="143"/>
      <c r="D41" s="104">
        <f>SUM('SCHEDULE OF VALUE WORKSHEET'!E38)</f>
        <v>2000</v>
      </c>
      <c r="E41" s="104">
        <f>SUM('Draw #8'!E41:F41)</f>
        <v>0</v>
      </c>
      <c r="F41" s="105">
        <v>0</v>
      </c>
      <c r="G41" s="104">
        <f>SUM('Draw #8'!G41)+F41</f>
        <v>2000</v>
      </c>
      <c r="H41" s="109">
        <f t="shared" si="2"/>
        <v>2000</v>
      </c>
      <c r="I41" s="110">
        <v>0</v>
      </c>
      <c r="J41" s="109">
        <f>SUM(I41+'Draw #8'!J41)</f>
        <v>0</v>
      </c>
      <c r="K41" s="101" t="str">
        <f t="shared" si="3"/>
        <v/>
      </c>
      <c r="L41" s="9"/>
      <c r="M41" s="9"/>
    </row>
    <row r="42" spans="1:13" ht="14.1" customHeight="1">
      <c r="A42" s="4">
        <f>'SCHEDULE OF VALUE WORKSHEET'!A39</f>
        <v>33</v>
      </c>
      <c r="B42" s="142" t="str">
        <f>'SCHEDULE OF VALUE WORKSHEET'!B39</f>
        <v>Construction Consultant</v>
      </c>
      <c r="C42" s="143"/>
      <c r="D42" s="104">
        <f>SUM('SCHEDULE OF VALUE WORKSHEET'!E39)</f>
        <v>0</v>
      </c>
      <c r="E42" s="104">
        <f>SUM('Draw #8'!E42:F42)</f>
        <v>0</v>
      </c>
      <c r="F42" s="105">
        <v>0</v>
      </c>
      <c r="G42" s="104">
        <f>SUM('Draw #8'!G42)+F42</f>
        <v>0</v>
      </c>
      <c r="H42" s="109">
        <f t="shared" si="2"/>
        <v>0</v>
      </c>
      <c r="I42" s="110">
        <v>0</v>
      </c>
      <c r="J42" s="109">
        <f>SUM(I42+'Draw #8'!J42)</f>
        <v>0</v>
      </c>
      <c r="K42" s="101" t="str">
        <f t="shared" si="3"/>
        <v/>
      </c>
      <c r="L42" s="9"/>
      <c r="M42" s="9"/>
    </row>
    <row r="43" spans="1:13" ht="14.1" customHeight="1">
      <c r="A43" s="4">
        <f>'SCHEDULE OF VALUE WORKSHEET'!A40</f>
        <v>34</v>
      </c>
      <c r="B43" s="142" t="str">
        <f>'SCHEDULE OF VALUE WORKSHEET'!B40</f>
        <v>Low Voltage Consultant</v>
      </c>
      <c r="C43" s="143"/>
      <c r="D43" s="104">
        <f>SUM('SCHEDULE OF VALUE WORKSHEET'!E40)</f>
        <v>15524</v>
      </c>
      <c r="E43" s="104">
        <f>SUM('Draw #8'!E43:F43)</f>
        <v>0</v>
      </c>
      <c r="F43" s="105">
        <v>0</v>
      </c>
      <c r="G43" s="104">
        <f>SUM('Draw #8'!G43)+F43</f>
        <v>15524</v>
      </c>
      <c r="H43" s="109">
        <f t="shared" si="2"/>
        <v>15524</v>
      </c>
      <c r="I43" s="110">
        <v>0</v>
      </c>
      <c r="J43" s="109">
        <f>SUM(I43+'Draw #8'!J43)</f>
        <v>0</v>
      </c>
      <c r="K43" s="101" t="str">
        <f t="shared" si="3"/>
        <v/>
      </c>
      <c r="L43" s="9"/>
      <c r="M43" s="9"/>
    </row>
    <row r="44" spans="1:13" ht="14.1" customHeight="1">
      <c r="A44" s="4">
        <f>'SCHEDULE OF VALUE WORKSHEET'!A41</f>
        <v>35</v>
      </c>
      <c r="B44" s="142" t="str">
        <f>'SCHEDULE OF VALUE WORKSHEET'!B41</f>
        <v>Photovoltaic Consultant</v>
      </c>
      <c r="C44" s="143"/>
      <c r="D44" s="104">
        <f>SUM('SCHEDULE OF VALUE WORKSHEET'!E41)</f>
        <v>5000</v>
      </c>
      <c r="E44" s="104">
        <f>SUM('Draw #8'!E44:F44)</f>
        <v>0</v>
      </c>
      <c r="F44" s="105">
        <v>0</v>
      </c>
      <c r="G44" s="104">
        <f>SUM('Draw #8'!G44)+F44</f>
        <v>5000</v>
      </c>
      <c r="H44" s="109">
        <f t="shared" si="2"/>
        <v>5000</v>
      </c>
      <c r="I44" s="110">
        <v>0</v>
      </c>
      <c r="J44" s="109">
        <f>SUM(I44+'Draw #8'!J44)</f>
        <v>0</v>
      </c>
      <c r="K44" s="101" t="str">
        <f t="shared" si="3"/>
        <v/>
      </c>
      <c r="L44" s="9"/>
      <c r="M44" s="9"/>
    </row>
    <row r="45" spans="1:13" ht="14.1" customHeight="1">
      <c r="A45" s="4">
        <f>'SCHEDULE OF VALUE WORKSHEET'!A42</f>
        <v>36</v>
      </c>
      <c r="B45" s="142" t="str">
        <f>'SCHEDULE OF VALUE WORKSHEET'!B42</f>
        <v>Construction Management / Observation (OO)</v>
      </c>
      <c r="C45" s="143"/>
      <c r="D45" s="104">
        <f>SUM('SCHEDULE OF VALUE WORKSHEET'!E42)</f>
        <v>49427.9</v>
      </c>
      <c r="E45" s="104">
        <f>SUM('Draw #8'!E45:F45)</f>
        <v>0</v>
      </c>
      <c r="F45" s="105">
        <v>0</v>
      </c>
      <c r="G45" s="104">
        <f>SUM('Draw #8'!G45)+F45</f>
        <v>49427.9</v>
      </c>
      <c r="H45" s="109">
        <f t="shared" si="2"/>
        <v>49427.9</v>
      </c>
      <c r="I45" s="110">
        <v>0</v>
      </c>
      <c r="J45" s="109">
        <f>SUM(I45+'Draw #8'!J45)</f>
        <v>0</v>
      </c>
      <c r="K45" s="101" t="str">
        <f t="shared" si="3"/>
        <v/>
      </c>
      <c r="L45" s="9"/>
      <c r="M45" s="9"/>
    </row>
    <row r="46" spans="1:13" ht="14.1" customHeight="1">
      <c r="A46" s="4" t="e">
        <f>'SCHEDULE OF VALUE WORKSHEET'!#REF!</f>
        <v>#REF!</v>
      </c>
      <c r="B46" s="142" t="e">
        <f>'SCHEDULE OF VALUE WORKSHEET'!#REF!</f>
        <v>#REF!</v>
      </c>
      <c r="C46" s="143"/>
      <c r="D46" s="104" t="e">
        <f>SUM('SCHEDULE OF VALUE WORKSHEET'!#REF!)</f>
        <v>#REF!</v>
      </c>
      <c r="E46" s="104">
        <f>SUM('Draw #8'!E46:F46)</f>
        <v>0</v>
      </c>
      <c r="F46" s="105">
        <v>0</v>
      </c>
      <c r="G46" s="104" t="e">
        <f>SUM('Draw #8'!G46)+F46</f>
        <v>#REF!</v>
      </c>
      <c r="H46" s="109" t="e">
        <f t="shared" si="2"/>
        <v>#REF!</v>
      </c>
      <c r="I46" s="110">
        <v>0</v>
      </c>
      <c r="J46" s="109">
        <f>SUM(I46+'Draw #8'!J46)</f>
        <v>0</v>
      </c>
      <c r="K46" s="101" t="str">
        <f t="shared" si="3"/>
        <v/>
      </c>
      <c r="L46" s="9"/>
      <c r="M46" s="9"/>
    </row>
    <row r="47" spans="1:13" ht="14.1" customHeight="1">
      <c r="A47" s="4">
        <f>'SCHEDULE OF VALUE WORKSHEET'!A43</f>
        <v>37</v>
      </c>
      <c r="B47" s="142" t="str">
        <f>'SCHEDULE OF VALUE WORKSHEET'!B43</f>
        <v>CMFA Startup Fee</v>
      </c>
      <c r="C47" s="143"/>
      <c r="D47" s="104">
        <f>SUM('SCHEDULE OF VALUE WORKSHEET'!E43)</f>
        <v>22800</v>
      </c>
      <c r="E47" s="104">
        <f>SUM('Draw #8'!E47:F47)</f>
        <v>0</v>
      </c>
      <c r="F47" s="105">
        <v>0</v>
      </c>
      <c r="G47" s="104">
        <f>SUM('Draw #8'!G47)+F47</f>
        <v>22800</v>
      </c>
      <c r="H47" s="109">
        <f t="shared" si="2"/>
        <v>22800</v>
      </c>
      <c r="I47" s="110">
        <v>0</v>
      </c>
      <c r="J47" s="109">
        <f>SUM(I47+'Draw #8'!J47)</f>
        <v>0</v>
      </c>
      <c r="K47" s="101" t="str">
        <f t="shared" si="3"/>
        <v/>
      </c>
      <c r="L47" s="9"/>
      <c r="M47" s="9"/>
    </row>
    <row r="48" spans="1:13" ht="14.1" customHeight="1">
      <c r="A48" s="4">
        <f>'SCHEDULE OF VALUE WORKSHEET'!A44</f>
        <v>38</v>
      </c>
      <c r="B48" s="142" t="str">
        <f>'SCHEDULE OF VALUE WORKSHEET'!B44</f>
        <v>Non-Profit Start Up Fee</v>
      </c>
      <c r="C48" s="143"/>
      <c r="D48" s="104">
        <f>SUM('SCHEDULE OF VALUE WORKSHEET'!E44)</f>
        <v>25000</v>
      </c>
      <c r="E48" s="104">
        <f>SUM('Draw #8'!E48:F48)</f>
        <v>0</v>
      </c>
      <c r="F48" s="105">
        <v>0</v>
      </c>
      <c r="G48" s="104">
        <f>SUM('Draw #8'!G48)+F48</f>
        <v>25000</v>
      </c>
      <c r="H48" s="109">
        <f t="shared" si="2"/>
        <v>25000</v>
      </c>
      <c r="I48" s="110">
        <v>0</v>
      </c>
      <c r="J48" s="109">
        <f>SUM(I48+'Draw #8'!J48)</f>
        <v>0</v>
      </c>
      <c r="K48" s="101" t="str">
        <f t="shared" si="3"/>
        <v/>
      </c>
      <c r="L48" s="9"/>
      <c r="M48" s="9"/>
    </row>
    <row r="49" spans="1:13" ht="14.1" customHeight="1">
      <c r="A49" s="4">
        <f>'SCHEDULE OF VALUE WORKSHEET'!A45</f>
        <v>39</v>
      </c>
      <c r="B49" s="142" t="str">
        <f>'SCHEDULE OF VALUE WORKSHEET'!B45</f>
        <v>CMFA Construction Fee</v>
      </c>
      <c r="C49" s="143"/>
      <c r="D49" s="104">
        <f>SUM('SCHEDULE OF VALUE WORKSHEET'!E45)</f>
        <v>12000</v>
      </c>
      <c r="E49" s="104">
        <f>SUM('Draw #8'!E49:F49)</f>
        <v>0</v>
      </c>
      <c r="F49" s="105">
        <v>0</v>
      </c>
      <c r="G49" s="104">
        <f>SUM('Draw #8'!G49)+F49</f>
        <v>12000</v>
      </c>
      <c r="H49" s="109">
        <f t="shared" si="2"/>
        <v>12000</v>
      </c>
      <c r="I49" s="110">
        <v>0</v>
      </c>
      <c r="J49" s="109">
        <f>SUM(I49+'Draw #8'!J49)</f>
        <v>0</v>
      </c>
      <c r="K49" s="101" t="str">
        <f t="shared" si="3"/>
        <v/>
      </c>
      <c r="L49" s="9"/>
      <c r="M49" s="9"/>
    </row>
    <row r="50" spans="1:13" ht="14.1" customHeight="1">
      <c r="A50" s="4">
        <f>'SCHEDULE OF VALUE WORKSHEET'!A46</f>
        <v>40</v>
      </c>
      <c r="B50" s="142" t="str">
        <f>'SCHEDULE OF VALUE WORKSHEET'!B46</f>
        <v>Non-Profit Construction Fee</v>
      </c>
      <c r="C50" s="143"/>
      <c r="D50" s="104">
        <f>SUM('SCHEDULE OF VALUE WORKSHEET'!E46)</f>
        <v>10000</v>
      </c>
      <c r="E50" s="104">
        <f>SUM('Draw #8'!E50:F50)</f>
        <v>0</v>
      </c>
      <c r="F50" s="105">
        <v>0</v>
      </c>
      <c r="G50" s="104">
        <f>SUM('Draw #8'!G50)+F50</f>
        <v>10000</v>
      </c>
      <c r="H50" s="109">
        <f t="shared" si="2"/>
        <v>10000</v>
      </c>
      <c r="I50" s="110">
        <v>0</v>
      </c>
      <c r="J50" s="109">
        <f>SUM(I50+'Draw #8'!J50)</f>
        <v>0</v>
      </c>
      <c r="K50" s="101" t="str">
        <f t="shared" si="3"/>
        <v/>
      </c>
      <c r="L50" s="9"/>
      <c r="M50" s="9"/>
    </row>
    <row r="51" spans="1:13" ht="14.1" customHeight="1">
      <c r="A51" s="4">
        <f>'SCHEDULE OF VALUE WORKSHEET'!A47</f>
        <v>41</v>
      </c>
      <c r="B51" s="142" t="str">
        <f>'SCHEDULE OF VALUE WORKSHEET'!B47</f>
        <v>WTE Legal Costs for CMFA &amp; Non-Profit Partner</v>
      </c>
      <c r="C51" s="143"/>
      <c r="D51" s="104">
        <f>SUM('SCHEDULE OF VALUE WORKSHEET'!E47)</f>
        <v>20000</v>
      </c>
      <c r="E51" s="104">
        <f>SUM('Draw #8'!E51:F51)</f>
        <v>0</v>
      </c>
      <c r="F51" s="105">
        <v>0</v>
      </c>
      <c r="G51" s="104">
        <f>SUM('Draw #8'!G51)+F51</f>
        <v>20000</v>
      </c>
      <c r="H51" s="109">
        <f t="shared" si="2"/>
        <v>20000</v>
      </c>
      <c r="I51" s="110">
        <v>0</v>
      </c>
      <c r="J51" s="109">
        <f>SUM(I51+'Draw #8'!J51)</f>
        <v>0</v>
      </c>
      <c r="K51" s="101" t="str">
        <f t="shared" si="3"/>
        <v/>
      </c>
      <c r="L51" s="9"/>
      <c r="M51" s="9"/>
    </row>
    <row r="52" spans="1:13" ht="14.1" customHeight="1">
      <c r="A52" s="4" t="e">
        <f>'SCHEDULE OF VALUE WORKSHEET'!#REF!</f>
        <v>#REF!</v>
      </c>
      <c r="B52" s="142" t="e">
        <f>'SCHEDULE OF VALUE WORKSHEET'!#REF!</f>
        <v>#REF!</v>
      </c>
      <c r="C52" s="143"/>
      <c r="D52" s="104" t="e">
        <f>SUM('SCHEDULE OF VALUE WORKSHEET'!#REF!)</f>
        <v>#REF!</v>
      </c>
      <c r="E52" s="104">
        <f>SUM('Draw #8'!E52:F52)</f>
        <v>0</v>
      </c>
      <c r="F52" s="105">
        <v>0</v>
      </c>
      <c r="G52" s="104" t="e">
        <f>SUM('Draw #8'!G52)+F52</f>
        <v>#REF!</v>
      </c>
      <c r="H52" s="109" t="e">
        <f t="shared" si="2"/>
        <v>#REF!</v>
      </c>
      <c r="I52" s="110">
        <v>0</v>
      </c>
      <c r="J52" s="109">
        <f>SUM(I52+'Draw #8'!J52)</f>
        <v>0</v>
      </c>
      <c r="K52" s="101" t="str">
        <f t="shared" si="3"/>
        <v/>
      </c>
      <c r="L52" s="9"/>
      <c r="M52" s="9"/>
    </row>
    <row r="53" spans="1:13" ht="14.1" customHeight="1">
      <c r="A53" s="4">
        <f>'SCHEDULE OF VALUE WORKSHEET'!A49</f>
        <v>43</v>
      </c>
      <c r="B53" s="142" t="str">
        <f>'SCHEDULE OF VALUE WORKSHEET'!B49</f>
        <v>GENERAL CONDITIONS</v>
      </c>
      <c r="C53" s="143"/>
      <c r="D53" s="104">
        <f>SUM('SCHEDULE OF VALUE WORKSHEET'!E49)</f>
        <v>362115.24</v>
      </c>
      <c r="E53" s="104">
        <f>SUM('Draw #8'!E53:F53)</f>
        <v>0</v>
      </c>
      <c r="F53" s="105">
        <v>0</v>
      </c>
      <c r="G53" s="104">
        <f>SUM('Draw #8'!G53)+F53</f>
        <v>362115.24</v>
      </c>
      <c r="H53" s="109">
        <f t="shared" si="2"/>
        <v>362115.24</v>
      </c>
      <c r="I53" s="110">
        <v>0</v>
      </c>
      <c r="J53" s="109">
        <f>SUM(I53+'Draw #8'!J53)</f>
        <v>0</v>
      </c>
      <c r="K53" s="101" t="str">
        <f t="shared" si="3"/>
        <v/>
      </c>
      <c r="L53" s="9"/>
      <c r="M53" s="9"/>
    </row>
    <row r="54" spans="1:13" ht="14.1" customHeight="1">
      <c r="A54" s="4">
        <f>'SCHEDULE OF VALUE WORKSHEET'!A50</f>
        <v>44</v>
      </c>
      <c r="B54" s="142" t="str">
        <f>'SCHEDULE OF VALUE WORKSHEET'!B50</f>
        <v>GENERAL REQUIREMENT</v>
      </c>
      <c r="C54" s="143"/>
      <c r="D54" s="104">
        <f>SUM('SCHEDULE OF VALUE WORKSHEET'!E50)</f>
        <v>124657.88</v>
      </c>
      <c r="E54" s="104">
        <f>SUM('Draw #8'!E54:F54)</f>
        <v>0</v>
      </c>
      <c r="F54" s="105">
        <v>0</v>
      </c>
      <c r="G54" s="104">
        <f>SUM('Draw #8'!G54)+F54</f>
        <v>124657.88</v>
      </c>
      <c r="H54" s="109">
        <f t="shared" si="2"/>
        <v>124657.88</v>
      </c>
      <c r="I54" s="110">
        <v>0</v>
      </c>
      <c r="J54" s="109">
        <f>SUM(I54+'Draw #8'!J54)</f>
        <v>0</v>
      </c>
      <c r="K54" s="101" t="str">
        <f t="shared" si="3"/>
        <v/>
      </c>
      <c r="L54" s="9"/>
      <c r="M54" s="9"/>
    </row>
    <row r="55" spans="1:13" ht="14.1" customHeight="1">
      <c r="A55" s="4">
        <f>'SCHEDULE OF VALUE WORKSHEET'!A51</f>
        <v>45</v>
      </c>
      <c r="B55" s="142" t="str">
        <f>'SCHEDULE OF VALUE WORKSHEET'!B51</f>
        <v>SITE WORK</v>
      </c>
      <c r="C55" s="143"/>
      <c r="D55" s="104">
        <f>SUM('SCHEDULE OF VALUE WORKSHEET'!E51)</f>
        <v>139049.51</v>
      </c>
      <c r="E55" s="104">
        <f>SUM('Draw #8'!E55:F55)</f>
        <v>0</v>
      </c>
      <c r="F55" s="105">
        <v>0</v>
      </c>
      <c r="G55" s="104">
        <f>SUM('Draw #8'!G55)+F55</f>
        <v>139049.51</v>
      </c>
      <c r="H55" s="109">
        <f t="shared" si="2"/>
        <v>139049.51</v>
      </c>
      <c r="I55" s="110">
        <v>0</v>
      </c>
      <c r="J55" s="109">
        <f>SUM(I55+'Draw #8'!J55)</f>
        <v>0</v>
      </c>
      <c r="K55" s="101" t="str">
        <f t="shared" si="3"/>
        <v/>
      </c>
      <c r="L55" s="9"/>
      <c r="M55" s="9"/>
    </row>
    <row r="56" spans="1:13" ht="14.1" customHeight="1">
      <c r="A56" s="4">
        <f>'SCHEDULE OF VALUE WORKSHEET'!A52</f>
        <v>46</v>
      </c>
      <c r="B56" s="142" t="str">
        <f>'SCHEDULE OF VALUE WORKSHEET'!B52</f>
        <v>CONCRETE</v>
      </c>
      <c r="C56" s="143"/>
      <c r="D56" s="104">
        <f>SUM('SCHEDULE OF VALUE WORKSHEET'!E52)</f>
        <v>253182</v>
      </c>
      <c r="E56" s="104">
        <f>SUM('Draw #8'!E56:F56)</f>
        <v>0</v>
      </c>
      <c r="F56" s="105">
        <v>0</v>
      </c>
      <c r="G56" s="104">
        <f>SUM('Draw #8'!G56)+F56</f>
        <v>253182</v>
      </c>
      <c r="H56" s="109">
        <f t="shared" si="2"/>
        <v>253182</v>
      </c>
      <c r="I56" s="110">
        <v>0</v>
      </c>
      <c r="J56" s="109">
        <f>SUM(I56+'Draw #8'!J56)</f>
        <v>0</v>
      </c>
      <c r="K56" s="101" t="str">
        <f t="shared" si="3"/>
        <v/>
      </c>
      <c r="L56" s="9"/>
      <c r="M56" s="9"/>
    </row>
    <row r="57" spans="1:13" ht="14.1" customHeight="1">
      <c r="A57" s="4">
        <f>'SCHEDULE OF VALUE WORKSHEET'!A53</f>
        <v>47</v>
      </c>
      <c r="B57" s="142" t="str">
        <f>'SCHEDULE OF VALUE WORKSHEET'!B53</f>
        <v>MASONRY</v>
      </c>
      <c r="C57" s="143"/>
      <c r="D57" s="104">
        <f>SUM('SCHEDULE OF VALUE WORKSHEET'!E53)</f>
        <v>3562.64</v>
      </c>
      <c r="E57" s="104">
        <f>SUM('Draw #8'!E57:F57)</f>
        <v>0</v>
      </c>
      <c r="F57" s="105">
        <v>0</v>
      </c>
      <c r="G57" s="104">
        <f>SUM('Draw #8'!G57)+F57</f>
        <v>3562.64</v>
      </c>
      <c r="H57" s="109">
        <f t="shared" si="2"/>
        <v>3562.64</v>
      </c>
      <c r="I57" s="110">
        <v>0</v>
      </c>
      <c r="J57" s="109">
        <f>SUM(I57+'Draw #8'!J57)</f>
        <v>0</v>
      </c>
      <c r="K57" s="101" t="str">
        <f t="shared" si="3"/>
        <v/>
      </c>
      <c r="L57" s="9"/>
      <c r="M57" s="9"/>
    </row>
    <row r="58" spans="1:13" ht="14.1" customHeight="1">
      <c r="A58" s="4">
        <f>'SCHEDULE OF VALUE WORKSHEET'!A54</f>
        <v>48</v>
      </c>
      <c r="B58" s="142" t="str">
        <f>'SCHEDULE OF VALUE WORKSHEET'!B54</f>
        <v>METALS</v>
      </c>
      <c r="C58" s="143"/>
      <c r="D58" s="104">
        <f>SUM('SCHEDULE OF VALUE WORKSHEET'!E54)</f>
        <v>324100</v>
      </c>
      <c r="E58" s="104">
        <f>SUM('Draw #8'!E58:F58)</f>
        <v>0</v>
      </c>
      <c r="F58" s="105">
        <v>0</v>
      </c>
      <c r="G58" s="104">
        <f>SUM('Draw #8'!G58)+F58</f>
        <v>324100</v>
      </c>
      <c r="H58" s="109">
        <f t="shared" si="2"/>
        <v>324100</v>
      </c>
      <c r="I58" s="110">
        <v>0</v>
      </c>
      <c r="J58" s="109">
        <f>SUM(I58+'Draw #8'!J58)</f>
        <v>0</v>
      </c>
      <c r="K58" s="101" t="str">
        <f t="shared" si="3"/>
        <v/>
      </c>
      <c r="L58" s="9"/>
      <c r="M58" s="9"/>
    </row>
    <row r="59" spans="1:13" ht="14.1" customHeight="1">
      <c r="A59" s="4">
        <f>'SCHEDULE OF VALUE WORKSHEET'!A55</f>
        <v>49</v>
      </c>
      <c r="B59" s="142" t="str">
        <f>'SCHEDULE OF VALUE WORKSHEET'!B55</f>
        <v>FRAMING</v>
      </c>
      <c r="C59" s="143"/>
      <c r="D59" s="104">
        <f>SUM('SCHEDULE OF VALUE WORKSHEET'!E55)</f>
        <v>818554</v>
      </c>
      <c r="E59" s="104">
        <f>SUM('Draw #8'!E59:F59)</f>
        <v>0</v>
      </c>
      <c r="F59" s="105">
        <v>0</v>
      </c>
      <c r="G59" s="104">
        <f>SUM('Draw #8'!G59)+F59</f>
        <v>818554</v>
      </c>
      <c r="H59" s="109">
        <f t="shared" si="2"/>
        <v>818554</v>
      </c>
      <c r="I59" s="110">
        <v>0</v>
      </c>
      <c r="J59" s="109">
        <f>SUM(I59+'Draw #8'!J59)</f>
        <v>0</v>
      </c>
      <c r="K59" s="101" t="str">
        <f t="shared" si="3"/>
        <v/>
      </c>
      <c r="L59" s="9"/>
      <c r="M59" s="9"/>
    </row>
    <row r="60" spans="1:13" ht="14.1" customHeight="1">
      <c r="A60" s="4">
        <f>'SCHEDULE OF VALUE WORKSHEET'!A56</f>
        <v>50</v>
      </c>
      <c r="B60" s="142" t="str">
        <f>'SCHEDULE OF VALUE WORKSHEET'!B56</f>
        <v>COUNTERTOPS</v>
      </c>
      <c r="C60" s="143"/>
      <c r="D60" s="104">
        <f>SUM('SCHEDULE OF VALUE WORKSHEET'!E56)</f>
        <v>56930</v>
      </c>
      <c r="E60" s="104">
        <f>SUM('Draw #8'!E60:F60)</f>
        <v>0</v>
      </c>
      <c r="F60" s="105">
        <v>0</v>
      </c>
      <c r="G60" s="104">
        <f>SUM('Draw #8'!G60)+F60</f>
        <v>56930</v>
      </c>
      <c r="H60" s="109">
        <f t="shared" si="2"/>
        <v>56930</v>
      </c>
      <c r="I60" s="110">
        <v>0</v>
      </c>
      <c r="J60" s="109">
        <f>SUM(I60+'Draw #8'!J60)</f>
        <v>0</v>
      </c>
      <c r="K60" s="101" t="str">
        <f t="shared" si="3"/>
        <v/>
      </c>
      <c r="L60" s="9"/>
      <c r="M60" s="9"/>
    </row>
    <row r="61" spans="1:13" ht="14.1" customHeight="1">
      <c r="A61" s="4">
        <f>'SCHEDULE OF VALUE WORKSHEET'!A57</f>
        <v>51</v>
      </c>
      <c r="B61" s="142" t="str">
        <f>'SCHEDULE OF VALUE WORKSHEET'!B57</f>
        <v>CABINETS</v>
      </c>
      <c r="C61" s="143"/>
      <c r="D61" s="104">
        <f>SUM('SCHEDULE OF VALUE WORKSHEET'!E57)</f>
        <v>56930</v>
      </c>
      <c r="E61" s="104">
        <f>SUM('Draw #8'!E61:F61)</f>
        <v>0</v>
      </c>
      <c r="F61" s="105">
        <v>0</v>
      </c>
      <c r="G61" s="104">
        <f>SUM('Draw #8'!G61)+F61</f>
        <v>56930</v>
      </c>
      <c r="H61" s="109">
        <f t="shared" si="2"/>
        <v>56930</v>
      </c>
      <c r="I61" s="110">
        <v>0</v>
      </c>
      <c r="J61" s="109">
        <f>SUM(I61+'Draw #8'!J61)</f>
        <v>0</v>
      </c>
      <c r="K61" s="101" t="str">
        <f t="shared" si="3"/>
        <v/>
      </c>
      <c r="L61" s="9"/>
      <c r="M61" s="9"/>
    </row>
    <row r="62" spans="1:13" ht="14.1" customHeight="1">
      <c r="A62" s="4">
        <f>'SCHEDULE OF VALUE WORKSHEET'!A58</f>
        <v>52</v>
      </c>
      <c r="B62" s="142" t="str">
        <f>'SCHEDULE OF VALUE WORKSHEET'!B58</f>
        <v>THERMAL MOISTURE PROTECTION</v>
      </c>
      <c r="C62" s="143"/>
      <c r="D62" s="104">
        <f>SUM('SCHEDULE OF VALUE WORKSHEET'!E58)</f>
        <v>173148</v>
      </c>
      <c r="E62" s="104">
        <f>SUM('Draw #8'!E62:F62)</f>
        <v>0</v>
      </c>
      <c r="F62" s="105">
        <v>0</v>
      </c>
      <c r="G62" s="104">
        <f>SUM('Draw #8'!G62)+F62</f>
        <v>173148</v>
      </c>
      <c r="H62" s="109">
        <f t="shared" si="2"/>
        <v>173148</v>
      </c>
      <c r="I62" s="110">
        <v>0</v>
      </c>
      <c r="J62" s="109">
        <f>SUM(I62+'Draw #8'!J62)</f>
        <v>0</v>
      </c>
      <c r="K62" s="101" t="str">
        <f t="shared" si="3"/>
        <v/>
      </c>
      <c r="L62" s="9"/>
      <c r="M62" s="9"/>
    </row>
    <row r="63" spans="1:13" ht="14.1" customHeight="1">
      <c r="A63" s="4">
        <f>'SCHEDULE OF VALUE WORKSHEET'!A59</f>
        <v>53</v>
      </c>
      <c r="B63" s="142" t="str">
        <f>'SCHEDULE OF VALUE WORKSHEET'!B59</f>
        <v>DOORS</v>
      </c>
      <c r="C63" s="143"/>
      <c r="D63" s="104">
        <f>SUM('SCHEDULE OF VALUE WORKSHEET'!E59)</f>
        <v>204087.33</v>
      </c>
      <c r="E63" s="104">
        <f>SUM('Draw #8'!E63:F63)</f>
        <v>0</v>
      </c>
      <c r="F63" s="105">
        <v>0</v>
      </c>
      <c r="G63" s="104">
        <f>SUM('Draw #8'!G63)+F63</f>
        <v>204087.33</v>
      </c>
      <c r="H63" s="109">
        <f t="shared" si="2"/>
        <v>204087.33</v>
      </c>
      <c r="I63" s="110">
        <v>0</v>
      </c>
      <c r="J63" s="109">
        <f>SUM(I63+'Draw #8'!J63)</f>
        <v>0</v>
      </c>
      <c r="K63" s="101" t="str">
        <f t="shared" si="3"/>
        <v/>
      </c>
      <c r="L63" s="9"/>
      <c r="M63" s="9"/>
    </row>
    <row r="64" spans="1:13" ht="14.1" customHeight="1">
      <c r="A64" s="4">
        <f>'SCHEDULE OF VALUE WORKSHEET'!A60</f>
        <v>54</v>
      </c>
      <c r="B64" s="142" t="str">
        <f>'SCHEDULE OF VALUE WORKSHEET'!B60</f>
        <v>WINDOWS</v>
      </c>
      <c r="C64" s="143"/>
      <c r="D64" s="104">
        <f>SUM('SCHEDULE OF VALUE WORKSHEET'!E60)</f>
        <v>106274.25</v>
      </c>
      <c r="E64" s="104">
        <f>SUM('Draw #8'!E64:F64)</f>
        <v>0</v>
      </c>
      <c r="F64" s="105">
        <v>0</v>
      </c>
      <c r="G64" s="104">
        <f>SUM('Draw #8'!G64)+F64</f>
        <v>106274.25</v>
      </c>
      <c r="H64" s="109">
        <f t="shared" si="2"/>
        <v>106274.25</v>
      </c>
      <c r="I64" s="110">
        <v>0</v>
      </c>
      <c r="J64" s="109">
        <f>SUM(I64+'Draw #8'!J64)</f>
        <v>0</v>
      </c>
      <c r="K64" s="101" t="str">
        <f t="shared" si="3"/>
        <v/>
      </c>
      <c r="L64" s="9"/>
      <c r="M64" s="9"/>
    </row>
    <row r="65" spans="1:13" ht="14.1" customHeight="1">
      <c r="A65" s="4">
        <f>'SCHEDULE OF VALUE WORKSHEET'!A61</f>
        <v>55</v>
      </c>
      <c r="B65" s="142" t="str">
        <f>'SCHEDULE OF VALUE WORKSHEET'!B61</f>
        <v>STUCCO</v>
      </c>
      <c r="C65" s="143"/>
      <c r="D65" s="104">
        <f>SUM('SCHEDULE OF VALUE WORKSHEET'!E61)</f>
        <v>208002</v>
      </c>
      <c r="E65" s="104">
        <f>SUM('Draw #8'!E65:F65)</f>
        <v>0</v>
      </c>
      <c r="F65" s="105">
        <v>0</v>
      </c>
      <c r="G65" s="104">
        <f>SUM('Draw #8'!G65)+F65</f>
        <v>208002</v>
      </c>
      <c r="H65" s="109">
        <f t="shared" si="2"/>
        <v>208002</v>
      </c>
      <c r="I65" s="110">
        <v>0</v>
      </c>
      <c r="J65" s="109">
        <f>SUM(I65+'Draw #8'!J65)</f>
        <v>0</v>
      </c>
      <c r="K65" s="101" t="str">
        <f t="shared" si="3"/>
        <v/>
      </c>
      <c r="L65" s="9"/>
      <c r="M65" s="9"/>
    </row>
    <row r="66" spans="1:13" ht="14.1" customHeight="1">
      <c r="A66" s="4">
        <f>'SCHEDULE OF VALUE WORKSHEET'!A62</f>
        <v>56</v>
      </c>
      <c r="B66" s="142" t="str">
        <f>'SCHEDULE OF VALUE WORKSHEET'!B62</f>
        <v>DRYWALL</v>
      </c>
      <c r="C66" s="143"/>
      <c r="D66" s="104">
        <f>SUM('SCHEDULE OF VALUE WORKSHEET'!E62)</f>
        <v>416355</v>
      </c>
      <c r="E66" s="104">
        <f>SUM('Draw #8'!E66:F66)</f>
        <v>0</v>
      </c>
      <c r="F66" s="105">
        <v>0</v>
      </c>
      <c r="G66" s="104">
        <f>SUM('Draw #8'!G66)+F66</f>
        <v>416355</v>
      </c>
      <c r="H66" s="109">
        <f t="shared" si="2"/>
        <v>416355</v>
      </c>
      <c r="I66" s="110">
        <v>0</v>
      </c>
      <c r="J66" s="109">
        <f>SUM(I66+'Draw #8'!J66)</f>
        <v>0</v>
      </c>
      <c r="K66" s="101" t="str">
        <f t="shared" si="3"/>
        <v/>
      </c>
      <c r="L66" s="9"/>
      <c r="M66" s="9"/>
    </row>
    <row r="67" spans="1:13" ht="14.1" customHeight="1">
      <c r="A67" s="4">
        <f>'SCHEDULE OF VALUE WORKSHEET'!A63</f>
        <v>57</v>
      </c>
      <c r="B67" s="142" t="str">
        <f>'SCHEDULE OF VALUE WORKSHEET'!B63</f>
        <v>PAINTING</v>
      </c>
      <c r="C67" s="143"/>
      <c r="D67" s="104">
        <f>SUM('SCHEDULE OF VALUE WORKSHEET'!E63)</f>
        <v>120700</v>
      </c>
      <c r="E67" s="104">
        <f>SUM('Draw #8'!E67:F67)</f>
        <v>0</v>
      </c>
      <c r="F67" s="105">
        <v>0</v>
      </c>
      <c r="G67" s="104">
        <f>SUM('Draw #8'!G67)+F67</f>
        <v>120700</v>
      </c>
      <c r="H67" s="109">
        <f t="shared" si="2"/>
        <v>120700</v>
      </c>
      <c r="I67" s="110">
        <v>0</v>
      </c>
      <c r="J67" s="109">
        <f>SUM(I67+'Draw #8'!J67)</f>
        <v>0</v>
      </c>
      <c r="K67" s="101" t="str">
        <f t="shared" si="3"/>
        <v/>
      </c>
      <c r="L67" s="9"/>
      <c r="M67" s="9"/>
    </row>
    <row r="68" spans="1:13" ht="14.1" customHeight="1">
      <c r="A68" s="4">
        <f>'SCHEDULE OF VALUE WORKSHEET'!A64</f>
        <v>58</v>
      </c>
      <c r="B68" s="142" t="str">
        <f>'SCHEDULE OF VALUE WORKSHEET'!B64</f>
        <v>FLOORING - common areas</v>
      </c>
      <c r="C68" s="143"/>
      <c r="D68" s="104">
        <f>SUM('SCHEDULE OF VALUE WORKSHEET'!E64)</f>
        <v>45150</v>
      </c>
      <c r="E68" s="104">
        <f>SUM('Draw #8'!E68:F68)</f>
        <v>0</v>
      </c>
      <c r="F68" s="105">
        <v>0</v>
      </c>
      <c r="G68" s="104">
        <f>SUM('Draw #8'!G68)+F68</f>
        <v>45150</v>
      </c>
      <c r="H68" s="109">
        <f t="shared" si="2"/>
        <v>45150</v>
      </c>
      <c r="I68" s="110">
        <v>0</v>
      </c>
      <c r="J68" s="109">
        <f>SUM(I68+'Draw #8'!J68)</f>
        <v>0</v>
      </c>
      <c r="K68" s="101" t="str">
        <f t="shared" si="3"/>
        <v/>
      </c>
      <c r="L68" s="9"/>
      <c r="M68" s="9"/>
    </row>
    <row r="69" spans="1:13" ht="14.1" customHeight="1">
      <c r="A69" s="4">
        <f>'SCHEDULE OF VALUE WORKSHEET'!A65</f>
        <v>59</v>
      </c>
      <c r="B69" s="142" t="str">
        <f>'SCHEDULE OF VALUE WORKSHEET'!B65</f>
        <v>FLOORING - Units with baseboards</v>
      </c>
      <c r="C69" s="143"/>
      <c r="D69" s="104">
        <f>SUM('SCHEDULE OF VALUE WORKSHEET'!E65)</f>
        <v>93335</v>
      </c>
      <c r="E69" s="104">
        <f>SUM('Draw #8'!E69:F69)</f>
        <v>0</v>
      </c>
      <c r="F69" s="105">
        <v>0</v>
      </c>
      <c r="G69" s="104">
        <f>SUM('Draw #8'!G69)+F69</f>
        <v>93335</v>
      </c>
      <c r="H69" s="109">
        <f t="shared" si="2"/>
        <v>93335</v>
      </c>
      <c r="I69" s="110">
        <v>0</v>
      </c>
      <c r="J69" s="109">
        <f>SUM(I69+'Draw #8'!J69)</f>
        <v>0</v>
      </c>
      <c r="K69" s="101" t="str">
        <f t="shared" si="3"/>
        <v/>
      </c>
      <c r="L69" s="9"/>
      <c r="M69" s="9"/>
    </row>
    <row r="70" spans="1:13" ht="14.1" customHeight="1">
      <c r="A70" s="4">
        <f>'SCHEDULE OF VALUE WORKSHEET'!A66</f>
        <v>60</v>
      </c>
      <c r="B70" s="142" t="str">
        <f>'SCHEDULE OF VALUE WORKSHEET'!B66</f>
        <v>SPECIALTIES</v>
      </c>
      <c r="C70" s="143"/>
      <c r="D70" s="104">
        <f>SUM('SCHEDULE OF VALUE WORKSHEET'!E66)</f>
        <v>25109.21</v>
      </c>
      <c r="E70" s="104">
        <f>SUM('Draw #8'!E70:F70)</f>
        <v>0</v>
      </c>
      <c r="F70" s="105">
        <v>0</v>
      </c>
      <c r="G70" s="104">
        <f>SUM('Draw #8'!G70)+F70</f>
        <v>25109.21</v>
      </c>
      <c r="H70" s="109">
        <f t="shared" si="2"/>
        <v>25109.21</v>
      </c>
      <c r="I70" s="110">
        <v>0</v>
      </c>
      <c r="J70" s="109">
        <f>SUM(I70+'Draw #8'!J70)</f>
        <v>0</v>
      </c>
      <c r="K70" s="101" t="str">
        <f t="shared" si="3"/>
        <v/>
      </c>
      <c r="L70" s="9"/>
      <c r="M70" s="9"/>
    </row>
    <row r="71" spans="1:13" ht="14.1" customHeight="1">
      <c r="A71" s="4">
        <f>'SCHEDULE OF VALUE WORKSHEET'!A67</f>
        <v>61</v>
      </c>
      <c r="B71" s="142" t="str">
        <f>'SCHEDULE OF VALUE WORKSHEET'!B67</f>
        <v>EQUIPMENT</v>
      </c>
      <c r="C71" s="143"/>
      <c r="D71" s="104">
        <f>SUM('SCHEDULE OF VALUE WORKSHEET'!E67)</f>
        <v>153636</v>
      </c>
      <c r="E71" s="104">
        <f>SUM('Draw #8'!E71:F71)</f>
        <v>0</v>
      </c>
      <c r="F71" s="105">
        <v>0</v>
      </c>
      <c r="G71" s="104">
        <f>SUM('Draw #8'!G71)+F71</f>
        <v>153636</v>
      </c>
      <c r="H71" s="109">
        <f t="shared" si="2"/>
        <v>153636</v>
      </c>
      <c r="I71" s="110">
        <v>0</v>
      </c>
      <c r="J71" s="109">
        <f>SUM(I71+'Draw #8'!J71)</f>
        <v>0</v>
      </c>
      <c r="K71" s="101" t="str">
        <f t="shared" si="3"/>
        <v/>
      </c>
      <c r="L71" s="9"/>
      <c r="M71" s="9"/>
    </row>
    <row r="72" spans="1:13" ht="14.1" customHeight="1">
      <c r="A72" s="4">
        <f>'SCHEDULE OF VALUE WORKSHEET'!A68</f>
        <v>62</v>
      </c>
      <c r="B72" s="142" t="str">
        <f>'SCHEDULE OF VALUE WORKSHEET'!B68</f>
        <v>FURNISHING</v>
      </c>
      <c r="C72" s="143"/>
      <c r="D72" s="104">
        <f>SUM('SCHEDULE OF VALUE WORKSHEET'!E68)</f>
        <v>0</v>
      </c>
      <c r="E72" s="104">
        <f>SUM('Draw #8'!E72:F72)</f>
        <v>0</v>
      </c>
      <c r="F72" s="105">
        <v>0</v>
      </c>
      <c r="G72" s="104">
        <f>SUM('Draw #8'!G72)+F72</f>
        <v>0</v>
      </c>
      <c r="H72" s="109">
        <f t="shared" si="2"/>
        <v>0</v>
      </c>
      <c r="I72" s="110">
        <v>0</v>
      </c>
      <c r="J72" s="109">
        <f>SUM(I72+'Draw #8'!J72)</f>
        <v>0</v>
      </c>
      <c r="K72" s="101" t="str">
        <f t="shared" si="3"/>
        <v/>
      </c>
      <c r="L72" s="9"/>
      <c r="M72" s="9"/>
    </row>
    <row r="73" spans="1:13" ht="14.1" customHeight="1">
      <c r="A73" s="4">
        <f>'SCHEDULE OF VALUE WORKSHEET'!A69</f>
        <v>63</v>
      </c>
      <c r="B73" s="142" t="str">
        <f>'SCHEDULE OF VALUE WORKSHEET'!B69</f>
        <v>FIRE SPRINKLERS</v>
      </c>
      <c r="C73" s="143"/>
      <c r="D73" s="104">
        <f>SUM('SCHEDULE OF VALUE WORKSHEET'!E69)</f>
        <v>108500</v>
      </c>
      <c r="E73" s="104">
        <f>SUM('Draw #8'!E73:F73)</f>
        <v>0</v>
      </c>
      <c r="F73" s="105">
        <v>0</v>
      </c>
      <c r="G73" s="104">
        <f>SUM('Draw #8'!G73)+F73</f>
        <v>108500</v>
      </c>
      <c r="H73" s="109">
        <f t="shared" si="2"/>
        <v>108500</v>
      </c>
      <c r="I73" s="110">
        <v>0</v>
      </c>
      <c r="J73" s="109">
        <f>SUM(I73+'Draw #8'!J73)</f>
        <v>0</v>
      </c>
      <c r="K73" s="101" t="str">
        <f t="shared" si="3"/>
        <v/>
      </c>
      <c r="L73" s="9"/>
      <c r="M73" s="9"/>
    </row>
    <row r="74" spans="1:13" ht="14.1" customHeight="1">
      <c r="A74" s="4">
        <f>'SCHEDULE OF VALUE WORKSHEET'!A70</f>
        <v>64</v>
      </c>
      <c r="B74" s="142" t="str">
        <f>'SCHEDULE OF VALUE WORKSHEET'!B70</f>
        <v>FIRE ALARM</v>
      </c>
      <c r="C74" s="143"/>
      <c r="D74" s="104">
        <f>SUM('SCHEDULE OF VALUE WORKSHEET'!E70)</f>
        <v>68401</v>
      </c>
      <c r="E74" s="104">
        <f>SUM('Draw #8'!E74:F74)</f>
        <v>0</v>
      </c>
      <c r="F74" s="105">
        <v>0</v>
      </c>
      <c r="G74" s="104">
        <f>SUM('Draw #8'!G74)+F74</f>
        <v>68401</v>
      </c>
      <c r="H74" s="109">
        <f t="shared" si="2"/>
        <v>68401</v>
      </c>
      <c r="I74" s="110">
        <v>0</v>
      </c>
      <c r="J74" s="109">
        <f>SUM(I74+'Draw #8'!J74)</f>
        <v>0</v>
      </c>
      <c r="K74" s="101" t="str">
        <f t="shared" si="3"/>
        <v/>
      </c>
      <c r="L74" s="9"/>
      <c r="M74" s="9"/>
    </row>
    <row r="75" spans="1:13" ht="14.1" customHeight="1">
      <c r="A75" s="4">
        <f>'SCHEDULE OF VALUE WORKSHEET'!A71</f>
        <v>65</v>
      </c>
      <c r="B75" s="142" t="str">
        <f>'SCHEDULE OF VALUE WORKSHEET'!B71</f>
        <v>SOLAR PANELS</v>
      </c>
      <c r="C75" s="143"/>
      <c r="D75" s="104">
        <f>SUM('SCHEDULE OF VALUE WORKSHEET'!E71)</f>
        <v>97000</v>
      </c>
      <c r="E75" s="104">
        <f>SUM('Draw #8'!E75:F75)</f>
        <v>0</v>
      </c>
      <c r="F75" s="105">
        <v>0</v>
      </c>
      <c r="G75" s="104">
        <f>SUM('Draw #8'!G75)+F75</f>
        <v>97000</v>
      </c>
      <c r="H75" s="109">
        <f t="shared" ref="H75:H135" si="4">SUM(G75-J75)</f>
        <v>97000</v>
      </c>
      <c r="I75" s="110">
        <v>0</v>
      </c>
      <c r="J75" s="109">
        <f>SUM(I75+'Draw #8'!J75)</f>
        <v>0</v>
      </c>
      <c r="K75" s="101" t="str">
        <f t="shared" ref="K75:K135" si="5">IF(J75=0,"",J75/G75)</f>
        <v/>
      </c>
      <c r="L75" s="9"/>
      <c r="M75" s="9"/>
    </row>
    <row r="76" spans="1:13" ht="14.1" customHeight="1">
      <c r="A76" s="4">
        <f>'SCHEDULE OF VALUE WORKSHEET'!A72</f>
        <v>66</v>
      </c>
      <c r="B76" s="142" t="str">
        <f>'SCHEDULE OF VALUE WORKSHEET'!B72</f>
        <v>SECURITY ACCESS &amp; SURVEILLANCE</v>
      </c>
      <c r="C76" s="143"/>
      <c r="D76" s="104">
        <f>SUM('SCHEDULE OF VALUE WORKSHEET'!E72)</f>
        <v>136430</v>
      </c>
      <c r="E76" s="104">
        <f>SUM('Draw #8'!E76:F76)</f>
        <v>0</v>
      </c>
      <c r="F76" s="105">
        <v>0</v>
      </c>
      <c r="G76" s="104">
        <f>SUM('Draw #8'!G76)+F76</f>
        <v>136430</v>
      </c>
      <c r="H76" s="109">
        <f t="shared" si="4"/>
        <v>136430</v>
      </c>
      <c r="I76" s="110">
        <v>0</v>
      </c>
      <c r="J76" s="109">
        <f>SUM(I76+'Draw #8'!J76)</f>
        <v>0</v>
      </c>
      <c r="K76" s="101" t="str">
        <f t="shared" si="5"/>
        <v/>
      </c>
      <c r="L76" s="9"/>
      <c r="M76" s="9"/>
    </row>
    <row r="77" spans="1:13" ht="14.1" customHeight="1">
      <c r="A77" s="4">
        <f>'SCHEDULE OF VALUE WORKSHEET'!A73</f>
        <v>67</v>
      </c>
      <c r="B77" s="142" t="str">
        <f>'SCHEDULE OF VALUE WORKSHEET'!B73</f>
        <v>ELEVATORS &amp; LIFT</v>
      </c>
      <c r="C77" s="143"/>
      <c r="D77" s="104">
        <f>SUM('SCHEDULE OF VALUE WORKSHEET'!E73)</f>
        <v>174882</v>
      </c>
      <c r="E77" s="104">
        <f>SUM('Draw #8'!E77:F77)</f>
        <v>0</v>
      </c>
      <c r="F77" s="105">
        <v>0</v>
      </c>
      <c r="G77" s="104">
        <f>SUM('Draw #8'!G77)+F77</f>
        <v>174882</v>
      </c>
      <c r="H77" s="109">
        <f t="shared" si="4"/>
        <v>174882</v>
      </c>
      <c r="I77" s="110">
        <v>0</v>
      </c>
      <c r="J77" s="109">
        <f>SUM(I77+'Draw #8'!J77)</f>
        <v>0</v>
      </c>
      <c r="K77" s="101" t="str">
        <f t="shared" si="5"/>
        <v/>
      </c>
      <c r="L77" s="9"/>
      <c r="M77" s="9"/>
    </row>
    <row r="78" spans="1:13" ht="14.1" customHeight="1">
      <c r="A78" s="4">
        <f>'SCHEDULE OF VALUE WORKSHEET'!A74</f>
        <v>68</v>
      </c>
      <c r="B78" s="142" t="str">
        <f>'SCHEDULE OF VALUE WORKSHEET'!B74</f>
        <v>WATER SUBMETER (material)</v>
      </c>
      <c r="C78" s="143"/>
      <c r="D78" s="104">
        <f>SUM('SCHEDULE OF VALUE WORKSHEET'!E74)</f>
        <v>12273</v>
      </c>
      <c r="E78" s="104">
        <f>SUM('Draw #8'!E78:F78)</f>
        <v>0</v>
      </c>
      <c r="F78" s="105">
        <v>0</v>
      </c>
      <c r="G78" s="104">
        <f>SUM('Draw #8'!G78)+F78</f>
        <v>12273</v>
      </c>
      <c r="H78" s="109">
        <f t="shared" si="4"/>
        <v>12273</v>
      </c>
      <c r="I78" s="110">
        <v>0</v>
      </c>
      <c r="J78" s="109">
        <f>SUM(I78+'Draw #8'!J78)</f>
        <v>0</v>
      </c>
      <c r="K78" s="101" t="str">
        <f t="shared" si="5"/>
        <v/>
      </c>
      <c r="L78" s="9"/>
      <c r="M78" s="9"/>
    </row>
    <row r="79" spans="1:13" ht="14.1" customHeight="1">
      <c r="A79" s="4">
        <f>'SCHEDULE OF VALUE WORKSHEET'!A75</f>
        <v>69</v>
      </c>
      <c r="B79" s="142" t="str">
        <f>'SCHEDULE OF VALUE WORKSHEET'!B75</f>
        <v>WATER SUBMETER (labor)</v>
      </c>
      <c r="C79" s="143"/>
      <c r="D79" s="104">
        <f>SUM('SCHEDULE OF VALUE WORKSHEET'!E75)</f>
        <v>0</v>
      </c>
      <c r="E79" s="104">
        <f>SUM('Draw #8'!E79:F79)</f>
        <v>0</v>
      </c>
      <c r="F79" s="105">
        <v>0</v>
      </c>
      <c r="G79" s="104">
        <f>SUM('Draw #8'!G79)+F79</f>
        <v>0</v>
      </c>
      <c r="H79" s="109">
        <f t="shared" si="4"/>
        <v>0</v>
      </c>
      <c r="I79" s="110">
        <v>0</v>
      </c>
      <c r="J79" s="109">
        <f>SUM(I79+'Draw #8'!J79)</f>
        <v>0</v>
      </c>
      <c r="K79" s="101" t="str">
        <f t="shared" si="5"/>
        <v/>
      </c>
      <c r="L79" s="9"/>
      <c r="M79" s="9"/>
    </row>
    <row r="80" spans="1:13" ht="14.1" customHeight="1">
      <c r="A80" s="4">
        <f>'SCHEDULE OF VALUE WORKSHEET'!A76</f>
        <v>70</v>
      </c>
      <c r="B80" s="142" t="str">
        <f>'SCHEDULE OF VALUE WORKSHEET'!B76</f>
        <v>ROUGH PLUMBING</v>
      </c>
      <c r="C80" s="143"/>
      <c r="D80" s="104">
        <f>SUM('SCHEDULE OF VALUE WORKSHEET'!E76)</f>
        <v>751927</v>
      </c>
      <c r="E80" s="104">
        <f>SUM('Draw #8'!E80:F80)</f>
        <v>0</v>
      </c>
      <c r="F80" s="105">
        <v>0</v>
      </c>
      <c r="G80" s="104">
        <f>SUM('Draw #8'!G80)+F80</f>
        <v>751927</v>
      </c>
      <c r="H80" s="109">
        <f t="shared" si="4"/>
        <v>751927</v>
      </c>
      <c r="I80" s="110">
        <v>0</v>
      </c>
      <c r="J80" s="109">
        <f>SUM(I80+'Draw #8'!J80)</f>
        <v>0</v>
      </c>
      <c r="K80" s="101" t="str">
        <f t="shared" si="5"/>
        <v/>
      </c>
      <c r="L80" s="9"/>
      <c r="M80" s="9"/>
    </row>
    <row r="81" spans="1:13" ht="14.1" customHeight="1">
      <c r="A81" s="4">
        <f>'SCHEDULE OF VALUE WORKSHEET'!A77</f>
        <v>71</v>
      </c>
      <c r="B81" s="142" t="str">
        <f>'SCHEDULE OF VALUE WORKSHEET'!B77</f>
        <v>FINISH PLUMBING</v>
      </c>
      <c r="C81" s="143"/>
      <c r="D81" s="104">
        <f>SUM('SCHEDULE OF VALUE WORKSHEET'!E77)</f>
        <v>90000</v>
      </c>
      <c r="E81" s="104">
        <f>SUM('Draw #8'!E81:F81)</f>
        <v>0</v>
      </c>
      <c r="F81" s="105">
        <v>0</v>
      </c>
      <c r="G81" s="104">
        <f>SUM('Draw #8'!G81)+F81</f>
        <v>90000</v>
      </c>
      <c r="H81" s="109">
        <f t="shared" si="4"/>
        <v>90000</v>
      </c>
      <c r="I81" s="110">
        <v>0</v>
      </c>
      <c r="J81" s="109">
        <f>SUM(I81+'Draw #8'!J81)</f>
        <v>0</v>
      </c>
      <c r="K81" s="101" t="str">
        <f t="shared" si="5"/>
        <v/>
      </c>
      <c r="L81" s="9"/>
      <c r="M81" s="9"/>
    </row>
    <row r="82" spans="1:13" ht="14.1" customHeight="1">
      <c r="A82" s="4">
        <f>'SCHEDULE OF VALUE WORKSHEET'!A78</f>
        <v>72</v>
      </c>
      <c r="B82" s="142" t="str">
        <f>'SCHEDULE OF VALUE WORKSHEET'!B78</f>
        <v>HVAC</v>
      </c>
      <c r="C82" s="143"/>
      <c r="D82" s="104">
        <f>SUM('SCHEDULE OF VALUE WORKSHEET'!E78)</f>
        <v>259000</v>
      </c>
      <c r="E82" s="104">
        <f>SUM('Draw #8'!E82:F82)</f>
        <v>0</v>
      </c>
      <c r="F82" s="105">
        <v>0</v>
      </c>
      <c r="G82" s="104">
        <f>SUM('Draw #8'!G82)+F82</f>
        <v>259000</v>
      </c>
      <c r="H82" s="109">
        <f t="shared" si="4"/>
        <v>259000</v>
      </c>
      <c r="I82" s="110">
        <v>0</v>
      </c>
      <c r="J82" s="109">
        <f>SUM(I82+'Draw #8'!J82)</f>
        <v>0</v>
      </c>
      <c r="K82" s="101" t="str">
        <f t="shared" si="5"/>
        <v/>
      </c>
      <c r="L82" s="9"/>
      <c r="M82" s="9"/>
    </row>
    <row r="83" spans="1:13" ht="14.1" customHeight="1">
      <c r="A83" s="4">
        <f>'SCHEDULE OF VALUE WORKSHEET'!A79</f>
        <v>73</v>
      </c>
      <c r="B83" s="142" t="str">
        <f>'SCHEDULE OF VALUE WORKSHEET'!B79</f>
        <v>ELECTRICAL</v>
      </c>
      <c r="C83" s="143"/>
      <c r="D83" s="104">
        <f>SUM('SCHEDULE OF VALUE WORKSHEET'!E79)</f>
        <v>880486.32</v>
      </c>
      <c r="E83" s="104">
        <f>SUM('Draw #8'!E83:F83)</f>
        <v>0</v>
      </c>
      <c r="F83" s="105">
        <v>0</v>
      </c>
      <c r="G83" s="104">
        <f>SUM('Draw #8'!G83)+F83</f>
        <v>880486.32</v>
      </c>
      <c r="H83" s="109">
        <f t="shared" si="4"/>
        <v>880486.32</v>
      </c>
      <c r="I83" s="110">
        <v>0</v>
      </c>
      <c r="J83" s="109">
        <f>SUM(I83+'Draw #8'!J83)</f>
        <v>0</v>
      </c>
      <c r="K83" s="101" t="str">
        <f t="shared" si="5"/>
        <v/>
      </c>
      <c r="L83" s="9"/>
      <c r="M83" s="9"/>
    </row>
    <row r="84" spans="1:13" ht="14.1" customHeight="1">
      <c r="A84" s="4">
        <f>'SCHEDULE OF VALUE WORKSHEET'!A80</f>
        <v>74</v>
      </c>
      <c r="B84" s="142" t="str">
        <f>'SCHEDULE OF VALUE WORKSHEET'!B80</f>
        <v xml:space="preserve">CONTINGENCY </v>
      </c>
      <c r="C84" s="143"/>
      <c r="D84" s="104">
        <f>SUM('SCHEDULE OF VALUE WORKSHEET'!E80)</f>
        <v>529215.20000000007</v>
      </c>
      <c r="E84" s="104">
        <f>SUM('Draw #8'!E84:F84)</f>
        <v>0</v>
      </c>
      <c r="F84" s="105">
        <v>0</v>
      </c>
      <c r="G84" s="104">
        <f>SUM('Draw #8'!G84)+F84</f>
        <v>529215.20000000007</v>
      </c>
      <c r="H84" s="109">
        <f t="shared" si="4"/>
        <v>529215.20000000007</v>
      </c>
      <c r="I84" s="110">
        <v>0</v>
      </c>
      <c r="J84" s="109">
        <f>SUM(I84+'Draw #8'!J84)</f>
        <v>0</v>
      </c>
      <c r="K84" s="101" t="str">
        <f t="shared" si="5"/>
        <v/>
      </c>
      <c r="L84" s="9"/>
      <c r="M84" s="9"/>
    </row>
    <row r="85" spans="1:13" ht="14.1" customHeight="1">
      <c r="A85" s="4">
        <f>'SCHEDULE OF VALUE WORKSHEET'!A81</f>
        <v>75</v>
      </c>
      <c r="B85" s="142" t="str">
        <f>'SCHEDULE OF VALUE WORKSHEET'!B81</f>
        <v>INSURANCE (GL w/auto, workers compl)</v>
      </c>
      <c r="C85" s="143"/>
      <c r="D85" s="104">
        <f>SUM('SCHEDULE OF VALUE WORKSHEET'!E81)</f>
        <v>97177.07</v>
      </c>
      <c r="E85" s="104">
        <f>SUM('Draw #8'!E85:F85)</f>
        <v>0</v>
      </c>
      <c r="F85" s="105">
        <v>0</v>
      </c>
      <c r="G85" s="104">
        <f>SUM('Draw #8'!G85)+F85</f>
        <v>97177.07</v>
      </c>
      <c r="H85" s="109">
        <f t="shared" si="4"/>
        <v>97177.07</v>
      </c>
      <c r="I85" s="110">
        <v>0</v>
      </c>
      <c r="J85" s="109">
        <f>SUM(I85+'Draw #8'!J85)</f>
        <v>0</v>
      </c>
      <c r="K85" s="101" t="str">
        <f t="shared" si="5"/>
        <v/>
      </c>
      <c r="L85" s="9"/>
      <c r="M85" s="9"/>
    </row>
    <row r="86" spans="1:13" ht="14.1" customHeight="1">
      <c r="A86" s="4">
        <f>'SCHEDULE OF VALUE WORKSHEET'!A82</f>
        <v>76</v>
      </c>
      <c r="B86" s="142" t="str">
        <f>'SCHEDULE OF VALUE WORKSHEET'!B82</f>
        <v>GROSS RECEIPT TAX</v>
      </c>
      <c r="C86" s="143"/>
      <c r="D86" s="104">
        <f>SUM('SCHEDULE OF VALUE WORKSHEET'!E82)</f>
        <v>6543.26</v>
      </c>
      <c r="E86" s="104">
        <f>SUM('Draw #8'!E86:F86)</f>
        <v>0</v>
      </c>
      <c r="F86" s="105">
        <v>0</v>
      </c>
      <c r="G86" s="104">
        <f>SUM('Draw #8'!G86)+F86</f>
        <v>6543.26</v>
      </c>
      <c r="H86" s="109">
        <f t="shared" si="4"/>
        <v>6543.26</v>
      </c>
      <c r="I86" s="110">
        <v>0</v>
      </c>
      <c r="J86" s="109">
        <f>SUM(I86+'Draw #8'!J86)</f>
        <v>0</v>
      </c>
      <c r="K86" s="101" t="str">
        <f t="shared" si="5"/>
        <v/>
      </c>
      <c r="L86" s="9"/>
      <c r="M86" s="9"/>
    </row>
    <row r="87" spans="1:13" ht="14.1" customHeight="1">
      <c r="A87" s="4">
        <f>'SCHEDULE OF VALUE WORKSHEET'!A83</f>
        <v>77</v>
      </c>
      <c r="B87" s="142" t="str">
        <f>'SCHEDULE OF VALUE WORKSHEET'!B83</f>
        <v>GC FEE</v>
      </c>
      <c r="C87" s="143"/>
      <c r="D87" s="104">
        <f>SUM('SCHEDULE OF VALUE WORKSHEET'!E83)</f>
        <v>388708.28</v>
      </c>
      <c r="E87" s="104">
        <f>SUM('Draw #8'!E87:F87)</f>
        <v>0</v>
      </c>
      <c r="F87" s="105">
        <v>0</v>
      </c>
      <c r="G87" s="104">
        <f>SUM('Draw #8'!G87)+F87</f>
        <v>388708.28</v>
      </c>
      <c r="H87" s="109">
        <f t="shared" si="4"/>
        <v>388708.28</v>
      </c>
      <c r="I87" s="110">
        <v>0</v>
      </c>
      <c r="J87" s="109">
        <f>SUM(I87+'Draw #8'!J87)</f>
        <v>0</v>
      </c>
      <c r="K87" s="101" t="str">
        <f t="shared" si="5"/>
        <v/>
      </c>
      <c r="L87" s="9"/>
      <c r="M87" s="9"/>
    </row>
    <row r="88" spans="1:13" ht="14.1" customHeight="1">
      <c r="A88" s="4">
        <f>'SCHEDULE OF VALUE WORKSHEET'!A84</f>
        <v>78</v>
      </c>
      <c r="B88" s="142" t="str">
        <f>'SCHEDULE OF VALUE WORKSHEET'!B84</f>
        <v>DEVELOPMENT FEE</v>
      </c>
      <c r="C88" s="143"/>
      <c r="D88" s="104">
        <f>SUM('SCHEDULE OF VALUE WORKSHEET'!E84)</f>
        <v>180523.5</v>
      </c>
      <c r="E88" s="104">
        <f>SUM('Draw #8'!E88:F88)</f>
        <v>0</v>
      </c>
      <c r="F88" s="105">
        <v>0</v>
      </c>
      <c r="G88" s="104">
        <f>SUM('Draw #8'!G88)+F88</f>
        <v>180523.5</v>
      </c>
      <c r="H88" s="109">
        <f t="shared" si="4"/>
        <v>180523.5</v>
      </c>
      <c r="I88" s="110">
        <v>0</v>
      </c>
      <c r="J88" s="109">
        <f>SUM(I88+'Draw #8'!J88)</f>
        <v>0</v>
      </c>
      <c r="K88" s="101" t="str">
        <f t="shared" si="5"/>
        <v/>
      </c>
      <c r="L88" s="9"/>
      <c r="M88" s="9"/>
    </row>
    <row r="89" spans="1:13" ht="14.1" customHeight="1">
      <c r="A89" s="4">
        <f>'SCHEDULE OF VALUE WORKSHEET'!A85</f>
        <v>79</v>
      </c>
      <c r="B89" s="142" t="str">
        <f>'SCHEDULE OF VALUE WORKSHEET'!B85</f>
        <v>CARRYING COSTS</v>
      </c>
      <c r="C89" s="143"/>
      <c r="D89" s="104">
        <f>SUM('SCHEDULE OF VALUE WORKSHEET'!E85)</f>
        <v>92885.53</v>
      </c>
      <c r="E89" s="104">
        <f>SUM('Draw #8'!E89:F89)</f>
        <v>0</v>
      </c>
      <c r="F89" s="105">
        <v>0</v>
      </c>
      <c r="G89" s="104">
        <f>SUM('Draw #8'!G89)+F89</f>
        <v>92885.53</v>
      </c>
      <c r="H89" s="109">
        <f t="shared" si="4"/>
        <v>92885.53</v>
      </c>
      <c r="I89" s="110">
        <v>0</v>
      </c>
      <c r="J89" s="109">
        <f>SUM(I89+'Draw #8'!J89)</f>
        <v>0</v>
      </c>
      <c r="K89" s="101" t="str">
        <f t="shared" si="5"/>
        <v/>
      </c>
      <c r="L89" s="9"/>
      <c r="M89" s="9"/>
    </row>
    <row r="90" spans="1:13" ht="14.1" customHeight="1">
      <c r="A90" s="4">
        <f>'SCHEDULE OF VALUE WORKSHEET'!A86</f>
        <v>80</v>
      </c>
      <c r="B90" s="142" t="str">
        <f>'SCHEDULE OF VALUE WORKSHEET'!B86</f>
        <v>FINANCING COSTS</v>
      </c>
      <c r="C90" s="143"/>
      <c r="D90" s="104">
        <f>SUM('SCHEDULE OF VALUE WORKSHEET'!E86)</f>
        <v>0</v>
      </c>
      <c r="E90" s="104">
        <f>SUM('Draw #8'!E90:F90)</f>
        <v>0</v>
      </c>
      <c r="F90" s="105">
        <v>0</v>
      </c>
      <c r="G90" s="104">
        <f>SUM('Draw #8'!G90)+F90</f>
        <v>0</v>
      </c>
      <c r="H90" s="109">
        <f t="shared" si="4"/>
        <v>0</v>
      </c>
      <c r="I90" s="110">
        <v>0</v>
      </c>
      <c r="J90" s="109">
        <f>SUM(I90+'Draw #8'!J90)</f>
        <v>0</v>
      </c>
      <c r="K90" s="101" t="str">
        <f t="shared" si="5"/>
        <v/>
      </c>
      <c r="L90" s="9"/>
      <c r="M90" s="9"/>
    </row>
    <row r="91" spans="1:13" ht="14.1" customHeight="1">
      <c r="A91" s="4" t="e">
        <f>'SCHEDULE OF VALUE WORKSHEET'!#REF!</f>
        <v>#REF!</v>
      </c>
      <c r="B91" s="142" t="e">
        <f>'SCHEDULE OF VALUE WORKSHEET'!#REF!</f>
        <v>#REF!</v>
      </c>
      <c r="C91" s="143"/>
      <c r="D91" s="104" t="e">
        <f>SUM('SCHEDULE OF VALUE WORKSHEET'!#REF!)</f>
        <v>#REF!</v>
      </c>
      <c r="E91" s="104">
        <f>SUM('Draw #8'!E91:F91)</f>
        <v>0</v>
      </c>
      <c r="F91" s="105">
        <v>0</v>
      </c>
      <c r="G91" s="104" t="e">
        <f>SUM('Draw #8'!G91)+F91</f>
        <v>#REF!</v>
      </c>
      <c r="H91" s="109" t="e">
        <f t="shared" si="4"/>
        <v>#REF!</v>
      </c>
      <c r="I91" s="110">
        <v>0</v>
      </c>
      <c r="J91" s="109">
        <f>SUM(I91+'Draw #8'!J91)</f>
        <v>0</v>
      </c>
      <c r="K91" s="101" t="str">
        <f t="shared" si="5"/>
        <v/>
      </c>
      <c r="L91" s="9"/>
      <c r="M91" s="9"/>
    </row>
    <row r="92" spans="1:13" ht="14.1" customHeight="1">
      <c r="A92" s="4" t="e">
        <f>'SCHEDULE OF VALUE WORKSHEET'!#REF!</f>
        <v>#REF!</v>
      </c>
      <c r="B92" s="142" t="e">
        <f>'SCHEDULE OF VALUE WORKSHEET'!#REF!</f>
        <v>#REF!</v>
      </c>
      <c r="C92" s="143"/>
      <c r="D92" s="104" t="e">
        <f>SUM('SCHEDULE OF VALUE WORKSHEET'!#REF!)</f>
        <v>#REF!</v>
      </c>
      <c r="E92" s="104">
        <f>SUM('Draw #8'!E92:F92)</f>
        <v>0</v>
      </c>
      <c r="F92" s="105">
        <v>0</v>
      </c>
      <c r="G92" s="104" t="e">
        <f>SUM('Draw #8'!G92)+F92</f>
        <v>#REF!</v>
      </c>
      <c r="H92" s="109" t="e">
        <f t="shared" si="4"/>
        <v>#REF!</v>
      </c>
      <c r="I92" s="110">
        <v>0</v>
      </c>
      <c r="J92" s="109">
        <f>SUM(I92+'Draw #8'!J92)</f>
        <v>0</v>
      </c>
      <c r="K92" s="101" t="str">
        <f t="shared" si="5"/>
        <v/>
      </c>
      <c r="L92" s="9"/>
      <c r="M92" s="9"/>
    </row>
    <row r="93" spans="1:13" ht="14.1" customHeight="1">
      <c r="A93" s="4" t="e">
        <f>'SCHEDULE OF VALUE WORKSHEET'!#REF!</f>
        <v>#REF!</v>
      </c>
      <c r="B93" s="142" t="e">
        <f>'SCHEDULE OF VALUE WORKSHEET'!#REF!</f>
        <v>#REF!</v>
      </c>
      <c r="C93" s="143"/>
      <c r="D93" s="104" t="e">
        <f>SUM('SCHEDULE OF VALUE WORKSHEET'!#REF!)</f>
        <v>#REF!</v>
      </c>
      <c r="E93" s="104">
        <f>SUM('Draw #8'!E93:F93)</f>
        <v>0</v>
      </c>
      <c r="F93" s="105">
        <v>0</v>
      </c>
      <c r="G93" s="104" t="e">
        <f>SUM('Draw #8'!G93)+F93</f>
        <v>#REF!</v>
      </c>
      <c r="H93" s="109" t="e">
        <f t="shared" si="4"/>
        <v>#REF!</v>
      </c>
      <c r="I93" s="110">
        <v>0</v>
      </c>
      <c r="J93" s="109">
        <f>SUM(I93+'Draw #8'!J93)</f>
        <v>0</v>
      </c>
      <c r="K93" s="101" t="str">
        <f t="shared" si="5"/>
        <v/>
      </c>
      <c r="L93" s="9"/>
      <c r="M93" s="9"/>
    </row>
    <row r="94" spans="1:13" ht="14.1" customHeight="1">
      <c r="A94" s="4" t="e">
        <f>'SCHEDULE OF VALUE WORKSHEET'!#REF!</f>
        <v>#REF!</v>
      </c>
      <c r="B94" s="142" t="e">
        <f>'SCHEDULE OF VALUE WORKSHEET'!#REF!</f>
        <v>#REF!</v>
      </c>
      <c r="C94" s="143"/>
      <c r="D94" s="104" t="e">
        <f>SUM('SCHEDULE OF VALUE WORKSHEET'!#REF!)</f>
        <v>#REF!</v>
      </c>
      <c r="E94" s="104">
        <f>SUM('Draw #8'!E94:F94)</f>
        <v>0</v>
      </c>
      <c r="F94" s="105">
        <v>0</v>
      </c>
      <c r="G94" s="104" t="e">
        <f>SUM('Draw #8'!G94)+F94</f>
        <v>#REF!</v>
      </c>
      <c r="H94" s="109" t="e">
        <f t="shared" si="4"/>
        <v>#REF!</v>
      </c>
      <c r="I94" s="110">
        <v>0</v>
      </c>
      <c r="J94" s="109">
        <f>SUM(I94+'Draw #8'!J94)</f>
        <v>0</v>
      </c>
      <c r="K94" s="101" t="str">
        <f t="shared" si="5"/>
        <v/>
      </c>
      <c r="L94" s="9"/>
      <c r="M94" s="9"/>
    </row>
    <row r="95" spans="1:13" ht="14.1" customHeight="1">
      <c r="A95" s="4" t="e">
        <f>'SCHEDULE OF VALUE WORKSHEET'!#REF!</f>
        <v>#REF!</v>
      </c>
      <c r="B95" s="142" t="e">
        <f>'SCHEDULE OF VALUE WORKSHEET'!#REF!</f>
        <v>#REF!</v>
      </c>
      <c r="C95" s="143"/>
      <c r="D95" s="104" t="e">
        <f>SUM('SCHEDULE OF VALUE WORKSHEET'!#REF!)</f>
        <v>#REF!</v>
      </c>
      <c r="E95" s="104">
        <f>SUM('Draw #8'!E95:F95)</f>
        <v>0</v>
      </c>
      <c r="F95" s="105">
        <v>0</v>
      </c>
      <c r="G95" s="104" t="e">
        <f>SUM('Draw #8'!G95)+F95</f>
        <v>#REF!</v>
      </c>
      <c r="H95" s="109" t="e">
        <f t="shared" si="4"/>
        <v>#REF!</v>
      </c>
      <c r="I95" s="110">
        <v>0</v>
      </c>
      <c r="J95" s="109">
        <f>SUM(I95+'Draw #8'!J95)</f>
        <v>0</v>
      </c>
      <c r="K95" s="101" t="str">
        <f t="shared" si="5"/>
        <v/>
      </c>
      <c r="L95" s="9"/>
      <c r="M95" s="9"/>
    </row>
    <row r="96" spans="1:13" ht="14.1" customHeight="1">
      <c r="A96" s="4" t="e">
        <f>'SCHEDULE OF VALUE WORKSHEET'!#REF!</f>
        <v>#REF!</v>
      </c>
      <c r="B96" s="142" t="e">
        <f>'SCHEDULE OF VALUE WORKSHEET'!#REF!</f>
        <v>#REF!</v>
      </c>
      <c r="C96" s="143"/>
      <c r="D96" s="104" t="e">
        <f>SUM('SCHEDULE OF VALUE WORKSHEET'!#REF!)</f>
        <v>#REF!</v>
      </c>
      <c r="E96" s="104">
        <f>SUM('Draw #8'!E96:F96)</f>
        <v>0</v>
      </c>
      <c r="F96" s="105">
        <v>0</v>
      </c>
      <c r="G96" s="104" t="e">
        <f>SUM('Draw #8'!G96)+F96</f>
        <v>#REF!</v>
      </c>
      <c r="H96" s="109" t="e">
        <f t="shared" si="4"/>
        <v>#REF!</v>
      </c>
      <c r="I96" s="110">
        <v>0</v>
      </c>
      <c r="J96" s="109">
        <f>SUM(I96+'Draw #8'!J96)</f>
        <v>0</v>
      </c>
      <c r="K96" s="101" t="str">
        <f t="shared" si="5"/>
        <v/>
      </c>
      <c r="L96" s="9"/>
      <c r="M96" s="9"/>
    </row>
    <row r="97" spans="1:13" ht="14.1" customHeight="1">
      <c r="A97" s="4" t="e">
        <f>'SCHEDULE OF VALUE WORKSHEET'!#REF!</f>
        <v>#REF!</v>
      </c>
      <c r="B97" s="142" t="e">
        <f>'SCHEDULE OF VALUE WORKSHEET'!#REF!</f>
        <v>#REF!</v>
      </c>
      <c r="C97" s="143"/>
      <c r="D97" s="104" t="e">
        <f>SUM('SCHEDULE OF VALUE WORKSHEET'!#REF!)</f>
        <v>#REF!</v>
      </c>
      <c r="E97" s="104">
        <f>SUM('Draw #8'!E97:F97)</f>
        <v>0</v>
      </c>
      <c r="F97" s="105">
        <v>0</v>
      </c>
      <c r="G97" s="104" t="e">
        <f>SUM('Draw #8'!G97)+F97</f>
        <v>#REF!</v>
      </c>
      <c r="H97" s="109" t="e">
        <f t="shared" si="4"/>
        <v>#REF!</v>
      </c>
      <c r="I97" s="110">
        <v>0</v>
      </c>
      <c r="J97" s="109">
        <f>SUM(I97+'Draw #8'!J97)</f>
        <v>0</v>
      </c>
      <c r="K97" s="101" t="str">
        <f t="shared" si="5"/>
        <v/>
      </c>
      <c r="L97" s="9"/>
      <c r="M97" s="9"/>
    </row>
    <row r="98" spans="1:13" ht="14.1" customHeight="1">
      <c r="A98" s="4" t="e">
        <f>'SCHEDULE OF VALUE WORKSHEET'!#REF!</f>
        <v>#REF!</v>
      </c>
      <c r="B98" s="142" t="e">
        <f>'SCHEDULE OF VALUE WORKSHEET'!#REF!</f>
        <v>#REF!</v>
      </c>
      <c r="C98" s="143"/>
      <c r="D98" s="104" t="e">
        <f>SUM('SCHEDULE OF VALUE WORKSHEET'!#REF!)</f>
        <v>#REF!</v>
      </c>
      <c r="E98" s="104">
        <f>SUM('Draw #8'!E98:F98)</f>
        <v>0</v>
      </c>
      <c r="F98" s="105">
        <v>0</v>
      </c>
      <c r="G98" s="104" t="e">
        <f>SUM('Draw #8'!G98)+F98</f>
        <v>#REF!</v>
      </c>
      <c r="H98" s="109" t="e">
        <f t="shared" si="4"/>
        <v>#REF!</v>
      </c>
      <c r="I98" s="110">
        <v>0</v>
      </c>
      <c r="J98" s="109">
        <f>SUM(I98+'Draw #8'!J98)</f>
        <v>0</v>
      </c>
      <c r="K98" s="101" t="str">
        <f t="shared" si="5"/>
        <v/>
      </c>
      <c r="L98" s="9"/>
      <c r="M98" s="9"/>
    </row>
    <row r="99" spans="1:13" ht="14.1" customHeight="1">
      <c r="A99" s="4" t="e">
        <f>'SCHEDULE OF VALUE WORKSHEET'!#REF!</f>
        <v>#REF!</v>
      </c>
      <c r="B99" s="142" t="e">
        <f>'SCHEDULE OF VALUE WORKSHEET'!#REF!</f>
        <v>#REF!</v>
      </c>
      <c r="C99" s="143"/>
      <c r="D99" s="104" t="e">
        <f>SUM('SCHEDULE OF VALUE WORKSHEET'!#REF!)</f>
        <v>#REF!</v>
      </c>
      <c r="E99" s="104">
        <f>SUM('Draw #8'!E99:F99)</f>
        <v>0</v>
      </c>
      <c r="F99" s="105">
        <v>0</v>
      </c>
      <c r="G99" s="104" t="e">
        <f>SUM('Draw #8'!G99)+F99</f>
        <v>#REF!</v>
      </c>
      <c r="H99" s="109" t="e">
        <f t="shared" si="4"/>
        <v>#REF!</v>
      </c>
      <c r="I99" s="110">
        <v>0</v>
      </c>
      <c r="J99" s="109">
        <f>SUM(I99+'Draw #8'!J99)</f>
        <v>0</v>
      </c>
      <c r="K99" s="101" t="str">
        <f t="shared" si="5"/>
        <v/>
      </c>
      <c r="L99" s="9"/>
      <c r="M99" s="9"/>
    </row>
    <row r="100" spans="1:13" ht="14.1" customHeight="1">
      <c r="A100" s="4" t="e">
        <f>'SCHEDULE OF VALUE WORKSHEET'!#REF!</f>
        <v>#REF!</v>
      </c>
      <c r="B100" s="142" t="e">
        <f>'SCHEDULE OF VALUE WORKSHEET'!#REF!</f>
        <v>#REF!</v>
      </c>
      <c r="C100" s="143"/>
      <c r="D100" s="104" t="e">
        <f>SUM('SCHEDULE OF VALUE WORKSHEET'!#REF!)</f>
        <v>#REF!</v>
      </c>
      <c r="E100" s="104">
        <f>SUM('Draw #8'!E100:F100)</f>
        <v>0</v>
      </c>
      <c r="F100" s="105">
        <v>0</v>
      </c>
      <c r="G100" s="104" t="e">
        <f>SUM('Draw #8'!G100)+F100</f>
        <v>#REF!</v>
      </c>
      <c r="H100" s="109" t="e">
        <f t="shared" si="4"/>
        <v>#REF!</v>
      </c>
      <c r="I100" s="110">
        <v>0</v>
      </c>
      <c r="J100" s="109">
        <f>SUM(I100+'Draw #8'!J100)</f>
        <v>0</v>
      </c>
      <c r="K100" s="101" t="str">
        <f t="shared" si="5"/>
        <v/>
      </c>
      <c r="L100" s="9"/>
      <c r="M100" s="9"/>
    </row>
    <row r="101" spans="1:13" ht="14.1" customHeight="1">
      <c r="A101" s="4" t="e">
        <f>'SCHEDULE OF VALUE WORKSHEET'!#REF!</f>
        <v>#REF!</v>
      </c>
      <c r="B101" s="142" t="e">
        <f>'SCHEDULE OF VALUE WORKSHEET'!#REF!</f>
        <v>#REF!</v>
      </c>
      <c r="C101" s="143"/>
      <c r="D101" s="104" t="e">
        <f>SUM('SCHEDULE OF VALUE WORKSHEET'!#REF!)</f>
        <v>#REF!</v>
      </c>
      <c r="E101" s="104">
        <f>SUM('Draw #8'!E101:F101)</f>
        <v>0</v>
      </c>
      <c r="F101" s="105">
        <v>0</v>
      </c>
      <c r="G101" s="104" t="e">
        <f>SUM('Draw #8'!G101)+F101</f>
        <v>#REF!</v>
      </c>
      <c r="H101" s="109" t="e">
        <f t="shared" si="4"/>
        <v>#REF!</v>
      </c>
      <c r="I101" s="110">
        <v>0</v>
      </c>
      <c r="J101" s="109">
        <f>SUM(I101+'Draw #8'!J101)</f>
        <v>0</v>
      </c>
      <c r="K101" s="101" t="str">
        <f t="shared" si="5"/>
        <v/>
      </c>
      <c r="L101" s="9"/>
      <c r="M101" s="9"/>
    </row>
    <row r="102" spans="1:13" ht="14.1" customHeight="1">
      <c r="A102" s="4" t="e">
        <f>'SCHEDULE OF VALUE WORKSHEET'!#REF!</f>
        <v>#REF!</v>
      </c>
      <c r="B102" s="142" t="e">
        <f>'SCHEDULE OF VALUE WORKSHEET'!#REF!</f>
        <v>#REF!</v>
      </c>
      <c r="C102" s="143"/>
      <c r="D102" s="104" t="e">
        <f>SUM('SCHEDULE OF VALUE WORKSHEET'!#REF!)</f>
        <v>#REF!</v>
      </c>
      <c r="E102" s="104">
        <f>SUM('Draw #8'!E102:F102)</f>
        <v>0</v>
      </c>
      <c r="F102" s="105">
        <v>0</v>
      </c>
      <c r="G102" s="104" t="e">
        <f>SUM('Draw #8'!G102)+F102</f>
        <v>#REF!</v>
      </c>
      <c r="H102" s="109" t="e">
        <f t="shared" si="4"/>
        <v>#REF!</v>
      </c>
      <c r="I102" s="110">
        <v>0</v>
      </c>
      <c r="J102" s="109">
        <f>SUM(I102+'Draw #8'!J102)</f>
        <v>0</v>
      </c>
      <c r="K102" s="101" t="str">
        <f t="shared" si="5"/>
        <v/>
      </c>
      <c r="L102" s="9"/>
      <c r="M102" s="9"/>
    </row>
    <row r="103" spans="1:13" ht="14.1" customHeight="1">
      <c r="A103" s="4" t="e">
        <f>'SCHEDULE OF VALUE WORKSHEET'!#REF!</f>
        <v>#REF!</v>
      </c>
      <c r="B103" s="142" t="e">
        <f>'SCHEDULE OF VALUE WORKSHEET'!#REF!</f>
        <v>#REF!</v>
      </c>
      <c r="C103" s="143"/>
      <c r="D103" s="104" t="e">
        <f>SUM('SCHEDULE OF VALUE WORKSHEET'!#REF!)</f>
        <v>#REF!</v>
      </c>
      <c r="E103" s="104">
        <f>SUM('Draw #8'!E103:F103)</f>
        <v>0</v>
      </c>
      <c r="F103" s="105">
        <v>0</v>
      </c>
      <c r="G103" s="104" t="e">
        <f>SUM('Draw #8'!G103)+F103</f>
        <v>#REF!</v>
      </c>
      <c r="H103" s="109" t="e">
        <f t="shared" si="4"/>
        <v>#REF!</v>
      </c>
      <c r="I103" s="110">
        <v>0</v>
      </c>
      <c r="J103" s="109">
        <f>SUM(I103+'Draw #8'!J103)</f>
        <v>0</v>
      </c>
      <c r="K103" s="101" t="str">
        <f t="shared" si="5"/>
        <v/>
      </c>
      <c r="L103" s="9"/>
      <c r="M103" s="9"/>
    </row>
    <row r="104" spans="1:13" ht="14.1" customHeight="1">
      <c r="A104" s="4" t="e">
        <f>'SCHEDULE OF VALUE WORKSHEET'!#REF!</f>
        <v>#REF!</v>
      </c>
      <c r="B104" s="142" t="e">
        <f>'SCHEDULE OF VALUE WORKSHEET'!#REF!</f>
        <v>#REF!</v>
      </c>
      <c r="C104" s="143"/>
      <c r="D104" s="104" t="e">
        <f>SUM('SCHEDULE OF VALUE WORKSHEET'!#REF!)</f>
        <v>#REF!</v>
      </c>
      <c r="E104" s="104">
        <f>SUM('Draw #8'!E104:F104)</f>
        <v>0</v>
      </c>
      <c r="F104" s="105">
        <v>0</v>
      </c>
      <c r="G104" s="104" t="e">
        <f>SUM('Draw #8'!G104)+F104</f>
        <v>#REF!</v>
      </c>
      <c r="H104" s="109" t="e">
        <f t="shared" si="4"/>
        <v>#REF!</v>
      </c>
      <c r="I104" s="110">
        <v>0</v>
      </c>
      <c r="J104" s="109">
        <f>SUM(I104+'Draw #8'!J104)</f>
        <v>0</v>
      </c>
      <c r="K104" s="101" t="str">
        <f t="shared" si="5"/>
        <v/>
      </c>
      <c r="L104" s="9"/>
      <c r="M104" s="9"/>
    </row>
    <row r="105" spans="1:13" ht="14.1" customHeight="1">
      <c r="A105" s="4" t="e">
        <f>'SCHEDULE OF VALUE WORKSHEET'!#REF!</f>
        <v>#REF!</v>
      </c>
      <c r="B105" s="142" t="e">
        <f>'SCHEDULE OF VALUE WORKSHEET'!#REF!</f>
        <v>#REF!</v>
      </c>
      <c r="C105" s="143"/>
      <c r="D105" s="104" t="e">
        <f>SUM('SCHEDULE OF VALUE WORKSHEET'!#REF!)</f>
        <v>#REF!</v>
      </c>
      <c r="E105" s="104">
        <f>SUM('Draw #8'!E105:F105)</f>
        <v>0</v>
      </c>
      <c r="F105" s="105">
        <v>0</v>
      </c>
      <c r="G105" s="104" t="e">
        <f>SUM('Draw #8'!G105)+F105</f>
        <v>#REF!</v>
      </c>
      <c r="H105" s="109" t="e">
        <f t="shared" si="4"/>
        <v>#REF!</v>
      </c>
      <c r="I105" s="110">
        <v>0</v>
      </c>
      <c r="J105" s="109">
        <f>SUM(I105+'Draw #8'!J105)</f>
        <v>0</v>
      </c>
      <c r="K105" s="101" t="str">
        <f t="shared" si="5"/>
        <v/>
      </c>
      <c r="L105" s="9"/>
      <c r="M105" s="9"/>
    </row>
    <row r="106" spans="1:13" ht="14.1" customHeight="1">
      <c r="A106" s="4" t="e">
        <f>'SCHEDULE OF VALUE WORKSHEET'!#REF!</f>
        <v>#REF!</v>
      </c>
      <c r="B106" s="142" t="e">
        <f>'SCHEDULE OF VALUE WORKSHEET'!#REF!</f>
        <v>#REF!</v>
      </c>
      <c r="C106" s="143"/>
      <c r="D106" s="104" t="e">
        <f>SUM('SCHEDULE OF VALUE WORKSHEET'!#REF!)</f>
        <v>#REF!</v>
      </c>
      <c r="E106" s="104">
        <f>SUM('Draw #8'!E106:F106)</f>
        <v>0</v>
      </c>
      <c r="F106" s="105">
        <v>0</v>
      </c>
      <c r="G106" s="104" t="e">
        <f>SUM('Draw #8'!G106)+F106</f>
        <v>#REF!</v>
      </c>
      <c r="H106" s="109" t="e">
        <f t="shared" si="4"/>
        <v>#REF!</v>
      </c>
      <c r="I106" s="110">
        <v>0</v>
      </c>
      <c r="J106" s="109">
        <f>SUM(I106+'Draw #8'!J106)</f>
        <v>0</v>
      </c>
      <c r="K106" s="101" t="str">
        <f t="shared" si="5"/>
        <v/>
      </c>
      <c r="L106" s="9"/>
      <c r="M106" s="9"/>
    </row>
    <row r="107" spans="1:13" ht="14.1" customHeight="1">
      <c r="A107" s="4" t="e">
        <f>'SCHEDULE OF VALUE WORKSHEET'!#REF!</f>
        <v>#REF!</v>
      </c>
      <c r="B107" s="142" t="e">
        <f>'SCHEDULE OF VALUE WORKSHEET'!#REF!</f>
        <v>#REF!</v>
      </c>
      <c r="C107" s="143"/>
      <c r="D107" s="104" t="e">
        <f>SUM('SCHEDULE OF VALUE WORKSHEET'!#REF!)</f>
        <v>#REF!</v>
      </c>
      <c r="E107" s="104">
        <f>SUM('Draw #8'!E107:F107)</f>
        <v>0</v>
      </c>
      <c r="F107" s="105">
        <v>0</v>
      </c>
      <c r="G107" s="104" t="e">
        <f>SUM('Draw #8'!G107)+F107</f>
        <v>#REF!</v>
      </c>
      <c r="H107" s="109" t="e">
        <f t="shared" si="4"/>
        <v>#REF!</v>
      </c>
      <c r="I107" s="110">
        <v>0</v>
      </c>
      <c r="J107" s="109">
        <f>SUM(I107+'Draw #8'!J107)</f>
        <v>0</v>
      </c>
      <c r="K107" s="101" t="str">
        <f t="shared" si="5"/>
        <v/>
      </c>
      <c r="L107" s="9"/>
      <c r="M107" s="9"/>
    </row>
    <row r="108" spans="1:13" ht="14.1" customHeight="1">
      <c r="A108" s="4" t="e">
        <f>'SCHEDULE OF VALUE WORKSHEET'!#REF!</f>
        <v>#REF!</v>
      </c>
      <c r="B108" s="142" t="e">
        <f>'SCHEDULE OF VALUE WORKSHEET'!#REF!</f>
        <v>#REF!</v>
      </c>
      <c r="C108" s="143"/>
      <c r="D108" s="104" t="e">
        <f>SUM('SCHEDULE OF VALUE WORKSHEET'!#REF!)</f>
        <v>#REF!</v>
      </c>
      <c r="E108" s="104">
        <f>SUM('Draw #8'!E108:F108)</f>
        <v>0</v>
      </c>
      <c r="F108" s="105">
        <v>0</v>
      </c>
      <c r="G108" s="104" t="e">
        <f>SUM('Draw #8'!G108)+F108</f>
        <v>#REF!</v>
      </c>
      <c r="H108" s="109" t="e">
        <f t="shared" si="4"/>
        <v>#REF!</v>
      </c>
      <c r="I108" s="110">
        <v>0</v>
      </c>
      <c r="J108" s="109">
        <f>SUM(I108+'Draw #8'!J108)</f>
        <v>0</v>
      </c>
      <c r="K108" s="101" t="str">
        <f t="shared" si="5"/>
        <v/>
      </c>
      <c r="L108" s="9"/>
      <c r="M108" s="9"/>
    </row>
    <row r="109" spans="1:13" ht="14.1" customHeight="1">
      <c r="A109" s="4" t="e">
        <f>'SCHEDULE OF VALUE WORKSHEET'!#REF!</f>
        <v>#REF!</v>
      </c>
      <c r="B109" s="142" t="e">
        <f>'SCHEDULE OF VALUE WORKSHEET'!#REF!</f>
        <v>#REF!</v>
      </c>
      <c r="C109" s="143"/>
      <c r="D109" s="104" t="e">
        <f>SUM('SCHEDULE OF VALUE WORKSHEET'!#REF!)</f>
        <v>#REF!</v>
      </c>
      <c r="E109" s="104">
        <f>SUM('Draw #8'!E109:F109)</f>
        <v>0</v>
      </c>
      <c r="F109" s="105">
        <v>0</v>
      </c>
      <c r="G109" s="104" t="e">
        <f>SUM('Draw #8'!G109)+F109</f>
        <v>#REF!</v>
      </c>
      <c r="H109" s="109" t="e">
        <f t="shared" si="4"/>
        <v>#REF!</v>
      </c>
      <c r="I109" s="110">
        <v>0</v>
      </c>
      <c r="J109" s="109">
        <f>SUM(I109+'Draw #8'!J109)</f>
        <v>0</v>
      </c>
      <c r="K109" s="101" t="str">
        <f t="shared" si="5"/>
        <v/>
      </c>
      <c r="L109" s="9"/>
      <c r="M109" s="9"/>
    </row>
    <row r="110" spans="1:13" ht="14.1" customHeight="1">
      <c r="A110" s="4" t="e">
        <f>'SCHEDULE OF VALUE WORKSHEET'!#REF!</f>
        <v>#REF!</v>
      </c>
      <c r="B110" s="142" t="e">
        <f>'SCHEDULE OF VALUE WORKSHEET'!#REF!</f>
        <v>#REF!</v>
      </c>
      <c r="C110" s="143"/>
      <c r="D110" s="104" t="e">
        <f>SUM('SCHEDULE OF VALUE WORKSHEET'!#REF!)</f>
        <v>#REF!</v>
      </c>
      <c r="E110" s="104">
        <f>SUM('Draw #8'!E110:F110)</f>
        <v>0</v>
      </c>
      <c r="F110" s="105">
        <v>0</v>
      </c>
      <c r="G110" s="104" t="e">
        <f>SUM('Draw #8'!G110)+F110</f>
        <v>#REF!</v>
      </c>
      <c r="H110" s="109" t="e">
        <f t="shared" si="4"/>
        <v>#REF!</v>
      </c>
      <c r="I110" s="110">
        <v>0</v>
      </c>
      <c r="J110" s="109">
        <f>SUM(I110+'Draw #8'!J110)</f>
        <v>0</v>
      </c>
      <c r="K110" s="101" t="str">
        <f t="shared" si="5"/>
        <v/>
      </c>
      <c r="L110" s="9"/>
      <c r="M110" s="9"/>
    </row>
    <row r="111" spans="1:13" ht="14.1" customHeight="1">
      <c r="A111" s="4" t="e">
        <f>'SCHEDULE OF VALUE WORKSHEET'!#REF!</f>
        <v>#REF!</v>
      </c>
      <c r="B111" s="142" t="e">
        <f>'SCHEDULE OF VALUE WORKSHEET'!#REF!</f>
        <v>#REF!</v>
      </c>
      <c r="C111" s="143"/>
      <c r="D111" s="104" t="e">
        <f>SUM('SCHEDULE OF VALUE WORKSHEET'!#REF!)</f>
        <v>#REF!</v>
      </c>
      <c r="E111" s="104">
        <f>SUM('Draw #8'!E111:F111)</f>
        <v>0</v>
      </c>
      <c r="F111" s="105">
        <v>0</v>
      </c>
      <c r="G111" s="104" t="e">
        <f>SUM('Draw #8'!G111)+F111</f>
        <v>#REF!</v>
      </c>
      <c r="H111" s="109" t="e">
        <f t="shared" si="4"/>
        <v>#REF!</v>
      </c>
      <c r="I111" s="110">
        <v>0</v>
      </c>
      <c r="J111" s="109">
        <f>SUM(I111+'Draw #8'!J111)</f>
        <v>0</v>
      </c>
      <c r="K111" s="101" t="str">
        <f t="shared" si="5"/>
        <v/>
      </c>
      <c r="L111" s="9"/>
      <c r="M111" s="9"/>
    </row>
    <row r="112" spans="1:13" ht="14.1" customHeight="1">
      <c r="A112" s="4" t="e">
        <f>'SCHEDULE OF VALUE WORKSHEET'!#REF!</f>
        <v>#REF!</v>
      </c>
      <c r="B112" s="142" t="e">
        <f>'SCHEDULE OF VALUE WORKSHEET'!#REF!</f>
        <v>#REF!</v>
      </c>
      <c r="C112" s="143"/>
      <c r="D112" s="104" t="e">
        <f>SUM('SCHEDULE OF VALUE WORKSHEET'!#REF!)</f>
        <v>#REF!</v>
      </c>
      <c r="E112" s="104">
        <f>SUM('Draw #8'!E112:F112)</f>
        <v>0</v>
      </c>
      <c r="F112" s="105">
        <v>0</v>
      </c>
      <c r="G112" s="104" t="e">
        <f>SUM('Draw #8'!G112)+F112</f>
        <v>#REF!</v>
      </c>
      <c r="H112" s="109" t="e">
        <f t="shared" si="4"/>
        <v>#REF!</v>
      </c>
      <c r="I112" s="110">
        <v>0</v>
      </c>
      <c r="J112" s="109">
        <f>SUM(I112+'Draw #8'!J112)</f>
        <v>0</v>
      </c>
      <c r="K112" s="101" t="str">
        <f t="shared" si="5"/>
        <v/>
      </c>
      <c r="L112" s="9"/>
      <c r="M112" s="9"/>
    </row>
    <row r="113" spans="1:13" ht="14.1" customHeight="1">
      <c r="A113" s="4" t="e">
        <f>'SCHEDULE OF VALUE WORKSHEET'!#REF!</f>
        <v>#REF!</v>
      </c>
      <c r="B113" s="142" t="e">
        <f>'SCHEDULE OF VALUE WORKSHEET'!#REF!</f>
        <v>#REF!</v>
      </c>
      <c r="C113" s="143"/>
      <c r="D113" s="104" t="e">
        <f>SUM('SCHEDULE OF VALUE WORKSHEET'!#REF!)</f>
        <v>#REF!</v>
      </c>
      <c r="E113" s="104">
        <f>SUM('Draw #8'!E113:F113)</f>
        <v>0</v>
      </c>
      <c r="F113" s="105">
        <v>0</v>
      </c>
      <c r="G113" s="104" t="e">
        <f>SUM('Draw #8'!G113)+F113</f>
        <v>#REF!</v>
      </c>
      <c r="H113" s="109" t="e">
        <f t="shared" si="4"/>
        <v>#REF!</v>
      </c>
      <c r="I113" s="110">
        <v>0</v>
      </c>
      <c r="J113" s="109">
        <f>SUM(I113+'Draw #8'!J113)</f>
        <v>0</v>
      </c>
      <c r="K113" s="101" t="str">
        <f t="shared" si="5"/>
        <v/>
      </c>
      <c r="L113" s="9"/>
      <c r="M113" s="9"/>
    </row>
    <row r="114" spans="1:13" ht="14.1" customHeight="1">
      <c r="A114" s="4" t="e">
        <f>'SCHEDULE OF VALUE WORKSHEET'!#REF!</f>
        <v>#REF!</v>
      </c>
      <c r="B114" s="142" t="e">
        <f>'SCHEDULE OF VALUE WORKSHEET'!#REF!</f>
        <v>#REF!</v>
      </c>
      <c r="C114" s="143"/>
      <c r="D114" s="104" t="e">
        <f>SUM('SCHEDULE OF VALUE WORKSHEET'!#REF!)</f>
        <v>#REF!</v>
      </c>
      <c r="E114" s="104">
        <f>SUM('Draw #8'!E114:F114)</f>
        <v>0</v>
      </c>
      <c r="F114" s="105">
        <v>0</v>
      </c>
      <c r="G114" s="104" t="e">
        <f>SUM('Draw #8'!G114)+F114</f>
        <v>#REF!</v>
      </c>
      <c r="H114" s="109" t="e">
        <f t="shared" si="4"/>
        <v>#REF!</v>
      </c>
      <c r="I114" s="110">
        <v>0</v>
      </c>
      <c r="J114" s="109">
        <f>SUM(I114+'Draw #8'!J114)</f>
        <v>0</v>
      </c>
      <c r="K114" s="101" t="str">
        <f t="shared" si="5"/>
        <v/>
      </c>
      <c r="L114" s="9"/>
      <c r="M114" s="9"/>
    </row>
    <row r="115" spans="1:13" ht="14.1" customHeight="1">
      <c r="A115" s="4" t="e">
        <f>'SCHEDULE OF VALUE WORKSHEET'!#REF!</f>
        <v>#REF!</v>
      </c>
      <c r="B115" s="142" t="e">
        <f>'SCHEDULE OF VALUE WORKSHEET'!#REF!</f>
        <v>#REF!</v>
      </c>
      <c r="C115" s="143"/>
      <c r="D115" s="104" t="e">
        <f>SUM('SCHEDULE OF VALUE WORKSHEET'!#REF!)</f>
        <v>#REF!</v>
      </c>
      <c r="E115" s="104">
        <f>SUM('Draw #8'!E115:F115)</f>
        <v>0</v>
      </c>
      <c r="F115" s="105">
        <v>0</v>
      </c>
      <c r="G115" s="104" t="e">
        <f>SUM('Draw #8'!G115)+F115</f>
        <v>#REF!</v>
      </c>
      <c r="H115" s="109" t="e">
        <f t="shared" si="4"/>
        <v>#REF!</v>
      </c>
      <c r="I115" s="110">
        <v>0</v>
      </c>
      <c r="J115" s="109">
        <f>SUM(I115+'Draw #8'!J115)</f>
        <v>0</v>
      </c>
      <c r="K115" s="101" t="str">
        <f t="shared" si="5"/>
        <v/>
      </c>
      <c r="L115" s="9"/>
      <c r="M115" s="9"/>
    </row>
    <row r="116" spans="1:13" ht="14.1" customHeight="1">
      <c r="A116" s="4" t="e">
        <f>'SCHEDULE OF VALUE WORKSHEET'!#REF!</f>
        <v>#REF!</v>
      </c>
      <c r="B116" s="142" t="e">
        <f>'SCHEDULE OF VALUE WORKSHEET'!#REF!</f>
        <v>#REF!</v>
      </c>
      <c r="C116" s="143"/>
      <c r="D116" s="104" t="e">
        <f>SUM('SCHEDULE OF VALUE WORKSHEET'!#REF!)</f>
        <v>#REF!</v>
      </c>
      <c r="E116" s="104">
        <f>SUM('Draw #8'!E116:F116)</f>
        <v>0</v>
      </c>
      <c r="F116" s="105">
        <v>0</v>
      </c>
      <c r="G116" s="104" t="e">
        <f>SUM('Draw #8'!G116)+F116</f>
        <v>#REF!</v>
      </c>
      <c r="H116" s="109" t="e">
        <f t="shared" si="4"/>
        <v>#REF!</v>
      </c>
      <c r="I116" s="110">
        <v>0</v>
      </c>
      <c r="J116" s="109">
        <f>SUM(I116+'Draw #8'!J116)</f>
        <v>0</v>
      </c>
      <c r="K116" s="101" t="str">
        <f t="shared" si="5"/>
        <v/>
      </c>
      <c r="L116" s="9"/>
      <c r="M116" s="9"/>
    </row>
    <row r="117" spans="1:13" ht="14.1" customHeight="1">
      <c r="A117" s="4">
        <f>'SCHEDULE OF VALUE WORKSHEET'!A87</f>
        <v>82</v>
      </c>
      <c r="B117" s="142" t="str">
        <f>'SCHEDULE OF VALUE WORKSHEET'!B87</f>
        <v xml:space="preserve">Open Item </v>
      </c>
      <c r="C117" s="143"/>
      <c r="D117" s="104">
        <f>SUM('SCHEDULE OF VALUE WORKSHEET'!E87)</f>
        <v>0</v>
      </c>
      <c r="E117" s="104">
        <f>SUM('Draw #8'!E117:F117)</f>
        <v>0</v>
      </c>
      <c r="F117" s="105">
        <v>0</v>
      </c>
      <c r="G117" s="104">
        <f>SUM('Draw #8'!G117)+F117</f>
        <v>0</v>
      </c>
      <c r="H117" s="109">
        <f t="shared" si="4"/>
        <v>0</v>
      </c>
      <c r="I117" s="110">
        <v>0</v>
      </c>
      <c r="J117" s="109">
        <f>SUM(I117+'Draw #8'!J117)</f>
        <v>0</v>
      </c>
      <c r="K117" s="101" t="str">
        <f t="shared" si="5"/>
        <v/>
      </c>
      <c r="L117" s="9"/>
      <c r="M117" s="9"/>
    </row>
    <row r="118" spans="1:13" ht="14.1" customHeight="1">
      <c r="A118" s="4">
        <f>'SCHEDULE OF VALUE WORKSHEET'!A88</f>
        <v>83</v>
      </c>
      <c r="B118" s="142" t="str">
        <f>'SCHEDULE OF VALUE WORKSHEET'!B88</f>
        <v xml:space="preserve">Open Item </v>
      </c>
      <c r="C118" s="143"/>
      <c r="D118" s="104">
        <f>SUM('SCHEDULE OF VALUE WORKSHEET'!E88)</f>
        <v>0</v>
      </c>
      <c r="E118" s="104">
        <f>SUM('Draw #8'!E118:F118)</f>
        <v>0</v>
      </c>
      <c r="F118" s="105">
        <v>0</v>
      </c>
      <c r="G118" s="104">
        <f>SUM('Draw #8'!G118)+F118</f>
        <v>0</v>
      </c>
      <c r="H118" s="109">
        <f t="shared" si="4"/>
        <v>0</v>
      </c>
      <c r="I118" s="110">
        <v>0</v>
      </c>
      <c r="J118" s="109">
        <f>SUM(I118+'Draw #8'!J118)</f>
        <v>0</v>
      </c>
      <c r="K118" s="101" t="str">
        <f t="shared" si="5"/>
        <v/>
      </c>
      <c r="L118" s="9"/>
      <c r="M118" s="9"/>
    </row>
    <row r="119" spans="1:13" ht="14.1" customHeight="1">
      <c r="A119" s="4">
        <f>'SCHEDULE OF VALUE WORKSHEET'!A89</f>
        <v>84</v>
      </c>
      <c r="B119" s="142" t="str">
        <f>'SCHEDULE OF VALUE WORKSHEET'!B89</f>
        <v xml:space="preserve">Open Item </v>
      </c>
      <c r="C119" s="143"/>
      <c r="D119" s="104">
        <f>SUM('SCHEDULE OF VALUE WORKSHEET'!E89)</f>
        <v>0</v>
      </c>
      <c r="E119" s="104">
        <f>SUM('Draw #8'!E119:F119)</f>
        <v>0</v>
      </c>
      <c r="F119" s="105">
        <v>0</v>
      </c>
      <c r="G119" s="104">
        <f>SUM('Draw #8'!G119)+F119</f>
        <v>0</v>
      </c>
      <c r="H119" s="109">
        <f t="shared" si="4"/>
        <v>0</v>
      </c>
      <c r="I119" s="110">
        <v>0</v>
      </c>
      <c r="J119" s="109">
        <f>SUM(I119+'Draw #8'!J119)</f>
        <v>0</v>
      </c>
      <c r="K119" s="101" t="str">
        <f t="shared" si="5"/>
        <v/>
      </c>
      <c r="L119" s="9"/>
      <c r="M119" s="9"/>
    </row>
    <row r="120" spans="1:13" ht="14.1" customHeight="1">
      <c r="A120" s="4">
        <f>'SCHEDULE OF VALUE WORKSHEET'!A90</f>
        <v>85</v>
      </c>
      <c r="B120" s="142" t="str">
        <f>'SCHEDULE OF VALUE WORKSHEET'!B90</f>
        <v xml:space="preserve">Open Item </v>
      </c>
      <c r="C120" s="143"/>
      <c r="D120" s="104">
        <f>SUM('SCHEDULE OF VALUE WORKSHEET'!E90)</f>
        <v>0</v>
      </c>
      <c r="E120" s="104">
        <f>SUM('Draw #8'!E120:F120)</f>
        <v>0</v>
      </c>
      <c r="F120" s="105">
        <v>0</v>
      </c>
      <c r="G120" s="104">
        <f>SUM('Draw #8'!G120)+F120</f>
        <v>0</v>
      </c>
      <c r="H120" s="109">
        <f t="shared" si="4"/>
        <v>0</v>
      </c>
      <c r="I120" s="110">
        <v>0</v>
      </c>
      <c r="J120" s="109">
        <f>SUM(I120+'Draw #8'!J120)</f>
        <v>0</v>
      </c>
      <c r="K120" s="101" t="str">
        <f t="shared" si="5"/>
        <v/>
      </c>
      <c r="L120" s="9"/>
      <c r="M120" s="9"/>
    </row>
    <row r="121" spans="1:13" ht="14.1" customHeight="1">
      <c r="A121" s="4">
        <f>'SCHEDULE OF VALUE WORKSHEET'!A91</f>
        <v>86</v>
      </c>
      <c r="B121" s="142" t="str">
        <f>'SCHEDULE OF VALUE WORKSHEET'!B91</f>
        <v xml:space="preserve">Open Item </v>
      </c>
      <c r="C121" s="143"/>
      <c r="D121" s="104">
        <f>SUM('SCHEDULE OF VALUE WORKSHEET'!E91)</f>
        <v>0</v>
      </c>
      <c r="E121" s="104">
        <f>SUM('Draw #8'!E121:F121)</f>
        <v>0</v>
      </c>
      <c r="F121" s="105">
        <v>0</v>
      </c>
      <c r="G121" s="104">
        <f>SUM('Draw #8'!G121)+F121</f>
        <v>0</v>
      </c>
      <c r="H121" s="109">
        <f t="shared" si="4"/>
        <v>0</v>
      </c>
      <c r="I121" s="110">
        <v>0</v>
      </c>
      <c r="J121" s="109">
        <f>SUM(I121+'Draw #8'!J121)</f>
        <v>0</v>
      </c>
      <c r="K121" s="101" t="str">
        <f t="shared" si="5"/>
        <v/>
      </c>
      <c r="L121" s="9"/>
      <c r="M121" s="9"/>
    </row>
    <row r="122" spans="1:13" ht="14.1" customHeight="1">
      <c r="A122" s="4">
        <f>'SCHEDULE OF VALUE WORKSHEET'!A92</f>
        <v>87</v>
      </c>
      <c r="B122" s="142" t="str">
        <f>'SCHEDULE OF VALUE WORKSHEET'!B92</f>
        <v xml:space="preserve">Open Item </v>
      </c>
      <c r="C122" s="143"/>
      <c r="D122" s="104">
        <f>SUM('SCHEDULE OF VALUE WORKSHEET'!E92)</f>
        <v>0</v>
      </c>
      <c r="E122" s="104">
        <f>SUM('Draw #8'!E122:F122)</f>
        <v>0</v>
      </c>
      <c r="F122" s="105">
        <v>0</v>
      </c>
      <c r="G122" s="104">
        <f>SUM('Draw #8'!G122)+F122</f>
        <v>0</v>
      </c>
      <c r="H122" s="109">
        <f t="shared" si="4"/>
        <v>0</v>
      </c>
      <c r="I122" s="110">
        <v>0</v>
      </c>
      <c r="J122" s="109">
        <f>SUM(I122+'Draw #8'!J122)</f>
        <v>0</v>
      </c>
      <c r="K122" s="101" t="str">
        <f t="shared" si="5"/>
        <v/>
      </c>
      <c r="L122" s="9"/>
      <c r="M122" s="9"/>
    </row>
    <row r="123" spans="1:13" ht="14.1" customHeight="1">
      <c r="A123" s="4">
        <f>'SCHEDULE OF VALUE WORKSHEET'!A93</f>
        <v>88</v>
      </c>
      <c r="B123" s="142" t="str">
        <f>'SCHEDULE OF VALUE WORKSHEET'!B93</f>
        <v xml:space="preserve">Open Item </v>
      </c>
      <c r="C123" s="143"/>
      <c r="D123" s="104">
        <f>SUM('SCHEDULE OF VALUE WORKSHEET'!E93)</f>
        <v>0</v>
      </c>
      <c r="E123" s="104">
        <f>SUM('Draw #8'!E123:F123)</f>
        <v>0</v>
      </c>
      <c r="F123" s="105">
        <v>0</v>
      </c>
      <c r="G123" s="104">
        <f>SUM('Draw #8'!G123)+F123</f>
        <v>0</v>
      </c>
      <c r="H123" s="109">
        <f t="shared" si="4"/>
        <v>0</v>
      </c>
      <c r="I123" s="110">
        <v>0</v>
      </c>
      <c r="J123" s="109">
        <f>SUM(I123+'Draw #8'!J123)</f>
        <v>0</v>
      </c>
      <c r="K123" s="101" t="str">
        <f t="shared" si="5"/>
        <v/>
      </c>
      <c r="L123" s="9"/>
      <c r="M123" s="9"/>
    </row>
    <row r="124" spans="1:13" ht="14.1" customHeight="1">
      <c r="A124" s="4">
        <f>'SCHEDULE OF VALUE WORKSHEET'!A94</f>
        <v>89</v>
      </c>
      <c r="B124" s="142" t="str">
        <f>'SCHEDULE OF VALUE WORKSHEET'!B94</f>
        <v xml:space="preserve">Open Item </v>
      </c>
      <c r="C124" s="143"/>
      <c r="D124" s="104">
        <f>SUM('SCHEDULE OF VALUE WORKSHEET'!E94)</f>
        <v>0</v>
      </c>
      <c r="E124" s="104">
        <f>SUM('Draw #8'!E124:F124)</f>
        <v>0</v>
      </c>
      <c r="F124" s="105">
        <v>0</v>
      </c>
      <c r="G124" s="104">
        <f>SUM('Draw #8'!G124)+F124</f>
        <v>0</v>
      </c>
      <c r="H124" s="109">
        <f t="shared" si="4"/>
        <v>0</v>
      </c>
      <c r="I124" s="110">
        <v>0</v>
      </c>
      <c r="J124" s="109">
        <f>SUM(I124+'Draw #8'!J124)</f>
        <v>0</v>
      </c>
      <c r="K124" s="101" t="str">
        <f t="shared" si="5"/>
        <v/>
      </c>
      <c r="L124" s="9"/>
      <c r="M124" s="9"/>
    </row>
    <row r="125" spans="1:13" ht="14.1" customHeight="1">
      <c r="A125" s="4">
        <f>'SCHEDULE OF VALUE WORKSHEET'!A95</f>
        <v>90</v>
      </c>
      <c r="B125" s="142" t="str">
        <f>'SCHEDULE OF VALUE WORKSHEET'!B95</f>
        <v xml:space="preserve">Open Item </v>
      </c>
      <c r="C125" s="143"/>
      <c r="D125" s="104">
        <f>SUM('SCHEDULE OF VALUE WORKSHEET'!E95)</f>
        <v>0</v>
      </c>
      <c r="E125" s="104">
        <f>SUM('Draw #8'!E125:F125)</f>
        <v>0</v>
      </c>
      <c r="F125" s="105">
        <v>0</v>
      </c>
      <c r="G125" s="104">
        <f>SUM('Draw #8'!G125)+F125</f>
        <v>0</v>
      </c>
      <c r="H125" s="109">
        <f t="shared" si="4"/>
        <v>0</v>
      </c>
      <c r="I125" s="110">
        <v>0</v>
      </c>
      <c r="J125" s="109">
        <f>SUM(I125+'Draw #8'!J125)</f>
        <v>0</v>
      </c>
      <c r="K125" s="101" t="str">
        <f t="shared" si="5"/>
        <v/>
      </c>
      <c r="L125" s="9"/>
      <c r="M125" s="9"/>
    </row>
    <row r="126" spans="1:13" ht="14.1" customHeight="1">
      <c r="A126" s="4">
        <f>'SCHEDULE OF VALUE WORKSHEET'!A96</f>
        <v>91</v>
      </c>
      <c r="B126" s="142" t="str">
        <f>'SCHEDULE OF VALUE WORKSHEET'!B96</f>
        <v xml:space="preserve">Open Item </v>
      </c>
      <c r="C126" s="143"/>
      <c r="D126" s="104">
        <f>SUM('SCHEDULE OF VALUE WORKSHEET'!E96)</f>
        <v>0</v>
      </c>
      <c r="E126" s="104">
        <f>SUM('Draw #8'!E126:F126)</f>
        <v>0</v>
      </c>
      <c r="F126" s="105">
        <v>0</v>
      </c>
      <c r="G126" s="104">
        <f>SUM('Draw #8'!G126)+F126</f>
        <v>0</v>
      </c>
      <c r="H126" s="109">
        <f t="shared" si="4"/>
        <v>0</v>
      </c>
      <c r="I126" s="110">
        <v>0</v>
      </c>
      <c r="J126" s="109">
        <f>SUM(I126+'Draw #8'!J126)</f>
        <v>0</v>
      </c>
      <c r="K126" s="101" t="str">
        <f t="shared" si="5"/>
        <v/>
      </c>
      <c r="L126" s="9"/>
      <c r="M126" s="9"/>
    </row>
    <row r="127" spans="1:13" ht="14.1" customHeight="1">
      <c r="A127" s="4">
        <f>'SCHEDULE OF VALUE WORKSHEET'!A97</f>
        <v>92</v>
      </c>
      <c r="B127" s="142" t="str">
        <f>'SCHEDULE OF VALUE WORKSHEET'!B97</f>
        <v xml:space="preserve">Open Item </v>
      </c>
      <c r="C127" s="143"/>
      <c r="D127" s="104">
        <f>SUM('SCHEDULE OF VALUE WORKSHEET'!E97)</f>
        <v>0</v>
      </c>
      <c r="E127" s="104">
        <f>SUM('Draw #8'!E127:F127)</f>
        <v>0</v>
      </c>
      <c r="F127" s="105">
        <v>0</v>
      </c>
      <c r="G127" s="104">
        <f>SUM('Draw #8'!G127)+F127</f>
        <v>0</v>
      </c>
      <c r="H127" s="109">
        <f t="shared" si="4"/>
        <v>0</v>
      </c>
      <c r="I127" s="110">
        <v>0</v>
      </c>
      <c r="J127" s="109">
        <f>SUM(I127+'Draw #8'!J127)</f>
        <v>0</v>
      </c>
      <c r="K127" s="101" t="str">
        <f t="shared" si="5"/>
        <v/>
      </c>
      <c r="L127" s="9"/>
      <c r="M127" s="9"/>
    </row>
    <row r="128" spans="1:13" ht="14.1" customHeight="1">
      <c r="A128" s="4">
        <f>'SCHEDULE OF VALUE WORKSHEET'!A98</f>
        <v>93</v>
      </c>
      <c r="B128" s="142" t="str">
        <f>'SCHEDULE OF VALUE WORKSHEET'!B98</f>
        <v xml:space="preserve">Open Item </v>
      </c>
      <c r="C128" s="143"/>
      <c r="D128" s="104">
        <f>SUM('SCHEDULE OF VALUE WORKSHEET'!E98)</f>
        <v>0</v>
      </c>
      <c r="E128" s="104">
        <f>SUM('Draw #8'!E128:F128)</f>
        <v>0</v>
      </c>
      <c r="F128" s="105">
        <v>0</v>
      </c>
      <c r="G128" s="104">
        <f>SUM('Draw #8'!G128)+F128</f>
        <v>0</v>
      </c>
      <c r="H128" s="109">
        <f t="shared" si="4"/>
        <v>0</v>
      </c>
      <c r="I128" s="110">
        <v>0</v>
      </c>
      <c r="J128" s="109">
        <f>SUM(I128+'Draw #8'!J128)</f>
        <v>0</v>
      </c>
      <c r="K128" s="101" t="str">
        <f t="shared" si="5"/>
        <v/>
      </c>
      <c r="L128" s="9"/>
      <c r="M128" s="9"/>
    </row>
    <row r="129" spans="1:13" ht="14.1" customHeight="1">
      <c r="A129" s="4">
        <f>'SCHEDULE OF VALUE WORKSHEET'!A99</f>
        <v>94</v>
      </c>
      <c r="B129" s="142" t="str">
        <f>'SCHEDULE OF VALUE WORKSHEET'!B99</f>
        <v xml:space="preserve">Open Item </v>
      </c>
      <c r="C129" s="143"/>
      <c r="D129" s="104">
        <f>SUM('SCHEDULE OF VALUE WORKSHEET'!E99)</f>
        <v>0</v>
      </c>
      <c r="E129" s="104">
        <f>SUM('Draw #8'!E129:F129)</f>
        <v>0</v>
      </c>
      <c r="F129" s="105">
        <v>0</v>
      </c>
      <c r="G129" s="104">
        <f>SUM('Draw #8'!G129)+F129</f>
        <v>0</v>
      </c>
      <c r="H129" s="109">
        <f t="shared" si="4"/>
        <v>0</v>
      </c>
      <c r="I129" s="110">
        <v>0</v>
      </c>
      <c r="J129" s="109">
        <f>SUM(I129+'Draw #8'!J129)</f>
        <v>0</v>
      </c>
      <c r="K129" s="101" t="str">
        <f t="shared" si="5"/>
        <v/>
      </c>
      <c r="L129" s="9"/>
      <c r="M129" s="9"/>
    </row>
    <row r="130" spans="1:13" ht="14.1" customHeight="1">
      <c r="A130" s="4">
        <f>'SCHEDULE OF VALUE WORKSHEET'!A100</f>
        <v>95</v>
      </c>
      <c r="B130" s="142" t="str">
        <f>'SCHEDULE OF VALUE WORKSHEET'!B100</f>
        <v xml:space="preserve">Open Item </v>
      </c>
      <c r="C130" s="143"/>
      <c r="D130" s="104">
        <f>SUM('SCHEDULE OF VALUE WORKSHEET'!E100)</f>
        <v>0</v>
      </c>
      <c r="E130" s="104">
        <f>SUM('Draw #8'!E130:F130)</f>
        <v>0</v>
      </c>
      <c r="F130" s="105">
        <v>0</v>
      </c>
      <c r="G130" s="104">
        <f>SUM('Draw #8'!G130)+F130</f>
        <v>0</v>
      </c>
      <c r="H130" s="109">
        <f t="shared" si="4"/>
        <v>0</v>
      </c>
      <c r="I130" s="110">
        <v>0</v>
      </c>
      <c r="J130" s="109">
        <f>SUM(I130+'Draw #8'!J130)</f>
        <v>0</v>
      </c>
      <c r="K130" s="101" t="str">
        <f t="shared" si="5"/>
        <v/>
      </c>
      <c r="L130" s="9"/>
      <c r="M130" s="9"/>
    </row>
    <row r="131" spans="1:13" ht="14.1" customHeight="1">
      <c r="A131" s="4">
        <f>'SCHEDULE OF VALUE WORKSHEET'!A101</f>
        <v>96</v>
      </c>
      <c r="B131" s="142" t="str">
        <f>'SCHEDULE OF VALUE WORKSHEET'!B101</f>
        <v xml:space="preserve">Open Item </v>
      </c>
      <c r="C131" s="143"/>
      <c r="D131" s="104">
        <f>SUM('SCHEDULE OF VALUE WORKSHEET'!E101)</f>
        <v>0</v>
      </c>
      <c r="E131" s="104">
        <f>SUM('Draw #8'!E131:F131)</f>
        <v>0</v>
      </c>
      <c r="F131" s="105">
        <v>0</v>
      </c>
      <c r="G131" s="104">
        <f>SUM('Draw #8'!G131)+F131</f>
        <v>0</v>
      </c>
      <c r="H131" s="109">
        <f t="shared" si="4"/>
        <v>0</v>
      </c>
      <c r="I131" s="110">
        <v>0</v>
      </c>
      <c r="J131" s="109">
        <f>SUM(I131+'Draw #8'!J131)</f>
        <v>0</v>
      </c>
      <c r="K131" s="101" t="str">
        <f t="shared" si="5"/>
        <v/>
      </c>
      <c r="L131" s="9"/>
      <c r="M131" s="9"/>
    </row>
    <row r="132" spans="1:13" ht="14.1" customHeight="1">
      <c r="A132" s="4">
        <f>'SCHEDULE OF VALUE WORKSHEET'!A102</f>
        <v>97</v>
      </c>
      <c r="B132" s="142" t="str">
        <f>'SCHEDULE OF VALUE WORKSHEET'!B102</f>
        <v xml:space="preserve">Open Item </v>
      </c>
      <c r="C132" s="143"/>
      <c r="D132" s="104">
        <f>SUM('SCHEDULE OF VALUE WORKSHEET'!E102)</f>
        <v>0</v>
      </c>
      <c r="E132" s="104">
        <f>SUM('Draw #8'!E132:F132)</f>
        <v>0</v>
      </c>
      <c r="F132" s="105">
        <v>0</v>
      </c>
      <c r="G132" s="104">
        <f>SUM('Draw #8'!G132)+F132</f>
        <v>0</v>
      </c>
      <c r="H132" s="109">
        <f t="shared" si="4"/>
        <v>0</v>
      </c>
      <c r="I132" s="110">
        <v>0</v>
      </c>
      <c r="J132" s="109">
        <f>SUM(I132+'Draw #8'!J132)</f>
        <v>0</v>
      </c>
      <c r="K132" s="101" t="str">
        <f t="shared" si="5"/>
        <v/>
      </c>
      <c r="L132" s="9"/>
      <c r="M132" s="9"/>
    </row>
    <row r="133" spans="1:13" ht="14.1" customHeight="1">
      <c r="A133" s="4">
        <f>'SCHEDULE OF VALUE WORKSHEET'!A103</f>
        <v>98</v>
      </c>
      <c r="B133" s="142" t="str">
        <f>'SCHEDULE OF VALUE WORKSHEET'!B103</f>
        <v xml:space="preserve">Open Item </v>
      </c>
      <c r="C133" s="143"/>
      <c r="D133" s="104">
        <f>SUM('SCHEDULE OF VALUE WORKSHEET'!E103)</f>
        <v>0</v>
      </c>
      <c r="E133" s="104">
        <f>SUM('Draw #8'!E133:F133)</f>
        <v>0</v>
      </c>
      <c r="F133" s="105">
        <v>0</v>
      </c>
      <c r="G133" s="104">
        <f>SUM('Draw #8'!G133)+F133</f>
        <v>0</v>
      </c>
      <c r="H133" s="109">
        <f t="shared" si="4"/>
        <v>0</v>
      </c>
      <c r="I133" s="110">
        <v>0</v>
      </c>
      <c r="J133" s="109">
        <f>SUM(I133+'Draw #8'!J133)</f>
        <v>0</v>
      </c>
      <c r="K133" s="101" t="str">
        <f t="shared" si="5"/>
        <v/>
      </c>
      <c r="L133" s="9"/>
      <c r="M133" s="9"/>
    </row>
    <row r="134" spans="1:13" ht="14.1" customHeight="1">
      <c r="A134" s="4">
        <f>'SCHEDULE OF VALUE WORKSHEET'!A104</f>
        <v>99</v>
      </c>
      <c r="B134" s="142" t="str">
        <f>'SCHEDULE OF VALUE WORKSHEET'!B104</f>
        <v xml:space="preserve">Open Item </v>
      </c>
      <c r="C134" s="143"/>
      <c r="D134" s="104">
        <f>SUM('SCHEDULE OF VALUE WORKSHEET'!E104)</f>
        <v>0</v>
      </c>
      <c r="E134" s="104">
        <f>SUM('Draw #8'!E134:F134)</f>
        <v>0</v>
      </c>
      <c r="F134" s="105">
        <v>0</v>
      </c>
      <c r="G134" s="104">
        <f>SUM('Draw #8'!G134)+F134</f>
        <v>0</v>
      </c>
      <c r="H134" s="109">
        <f t="shared" si="4"/>
        <v>0</v>
      </c>
      <c r="I134" s="110">
        <v>0</v>
      </c>
      <c r="J134" s="109">
        <f>SUM(I134+'Draw #8'!J134)</f>
        <v>0</v>
      </c>
      <c r="K134" s="101" t="str">
        <f t="shared" si="5"/>
        <v/>
      </c>
      <c r="L134" s="9"/>
      <c r="M134" s="9"/>
    </row>
    <row r="135" spans="1:13" ht="14.1" customHeight="1">
      <c r="A135" s="4" t="e">
        <f>'SCHEDULE OF VALUE WORKSHEET'!#REF!</f>
        <v>#REF!</v>
      </c>
      <c r="B135" s="142" t="e">
        <f>'SCHEDULE OF VALUE WORKSHEET'!#REF!</f>
        <v>#REF!</v>
      </c>
      <c r="C135" s="143"/>
      <c r="D135" s="104" t="e">
        <f>SUM('SCHEDULE OF VALUE WORKSHEET'!#REF!)</f>
        <v>#REF!</v>
      </c>
      <c r="E135" s="104">
        <f>SUM('Draw #8'!E135:F135)</f>
        <v>0</v>
      </c>
      <c r="F135" s="105">
        <v>0</v>
      </c>
      <c r="G135" s="104" t="e">
        <f>SUM('Draw #8'!G135)+F135</f>
        <v>#REF!</v>
      </c>
      <c r="H135" s="109" t="e">
        <f t="shared" si="4"/>
        <v>#REF!</v>
      </c>
      <c r="I135" s="110">
        <v>0</v>
      </c>
      <c r="J135" s="109">
        <f>SUM(I135+'Draw #8'!J135)</f>
        <v>0</v>
      </c>
      <c r="K135" s="101" t="str">
        <f t="shared" si="5"/>
        <v/>
      </c>
      <c r="L135" s="9"/>
      <c r="M135" s="9"/>
    </row>
    <row r="136" spans="1:13" ht="14.1" customHeight="1">
      <c r="A136" s="165"/>
      <c r="B136" s="166"/>
      <c r="C136" s="166"/>
      <c r="D136" s="166"/>
      <c r="E136" s="166"/>
      <c r="F136" s="166"/>
      <c r="G136" s="166"/>
      <c r="H136" s="166"/>
      <c r="I136" s="166"/>
      <c r="J136" s="166"/>
      <c r="K136" s="167"/>
      <c r="L136" s="10"/>
      <c r="M136" s="10"/>
    </row>
    <row r="137" spans="1:13" ht="18.75" customHeight="1">
      <c r="A137" s="7"/>
      <c r="B137" s="168" t="s">
        <v>2</v>
      </c>
      <c r="C137" s="168"/>
      <c r="D137" s="25" t="e">
        <f t="shared" ref="D137:J137" si="6">SUM(D10:D135)</f>
        <v>#REF!</v>
      </c>
      <c r="E137" s="25">
        <f t="shared" si="6"/>
        <v>0</v>
      </c>
      <c r="F137" s="25">
        <f t="shared" si="6"/>
        <v>0</v>
      </c>
      <c r="G137" s="25" t="e">
        <f t="shared" si="6"/>
        <v>#REF!</v>
      </c>
      <c r="H137" s="25" t="e">
        <f t="shared" si="6"/>
        <v>#REF!</v>
      </c>
      <c r="I137" s="25">
        <f t="shared" si="6"/>
        <v>0</v>
      </c>
      <c r="J137" s="25">
        <f t="shared" si="6"/>
        <v>0</v>
      </c>
      <c r="K137" s="17"/>
      <c r="L137" s="11"/>
      <c r="M137" s="11"/>
    </row>
    <row r="138" spans="1:13" ht="14.1" customHeight="1">
      <c r="A138" s="2"/>
      <c r="B138" s="2"/>
      <c r="C138" s="2"/>
      <c r="D138" s="2"/>
      <c r="E138" s="2"/>
      <c r="F138" s="2"/>
      <c r="G138" s="2"/>
    </row>
    <row r="139" spans="1:13" ht="14.1" customHeight="1">
      <c r="G139" s="2"/>
      <c r="H139" s="140"/>
      <c r="I139" s="140"/>
      <c r="J139" s="140"/>
    </row>
    <row r="140" spans="1:13" ht="14.1" customHeight="1">
      <c r="G140" s="2"/>
    </row>
    <row r="141" spans="1:13" ht="14.1" customHeight="1">
      <c r="G141" s="2"/>
      <c r="H141" s="8"/>
    </row>
    <row r="142" spans="1:13" ht="14.1" customHeight="1">
      <c r="G142" s="2"/>
      <c r="H142" s="8"/>
    </row>
    <row r="143" spans="1:13" ht="14.1" customHeight="1">
      <c r="G143" s="2"/>
    </row>
    <row r="144" spans="1:13" ht="14.1" customHeight="1">
      <c r="G144" s="2"/>
    </row>
    <row r="145" spans="7:7" ht="14.1" customHeight="1">
      <c r="G145" s="2"/>
    </row>
    <row r="146" spans="7:7" ht="14.1" customHeight="1">
      <c r="G146" s="2"/>
    </row>
    <row r="147" spans="7:7" ht="14.1" customHeight="1">
      <c r="G147" s="2"/>
    </row>
    <row r="148" spans="7:7" ht="14.1" customHeight="1">
      <c r="G148" s="3"/>
    </row>
  </sheetData>
  <sheetProtection algorithmName="SHA-512" hashValue="NVPH3ATAlgsmLST7jpVg4JCsWPjLoRWuEV6UUYwdJMzxXB5sckuDr5VxdG1iYy0GmWNzhNNjYNJSRgemKvXq3A==" saltValue="OcT1mzHXS7k74xUZyRBDPg==" spinCount="100000" sheet="1" selectLockedCells="1"/>
  <mergeCells count="136">
    <mergeCell ref="A1:K2"/>
    <mergeCell ref="B89:C89"/>
    <mergeCell ref="B90:C90"/>
    <mergeCell ref="B91:C91"/>
    <mergeCell ref="B92:C92"/>
    <mergeCell ref="B8:C9"/>
    <mergeCell ref="D8:D9"/>
    <mergeCell ref="G8:G9"/>
    <mergeCell ref="J8:K8"/>
    <mergeCell ref="J9:K9"/>
    <mergeCell ref="F8:F9"/>
    <mergeCell ref="B10:C10"/>
    <mergeCell ref="B11:C11"/>
    <mergeCell ref="B12:C12"/>
    <mergeCell ref="B13:C13"/>
    <mergeCell ref="B26:C26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4:C34"/>
    <mergeCell ref="B35:C35"/>
    <mergeCell ref="B32:C32"/>
    <mergeCell ref="B33:C33"/>
    <mergeCell ref="B27:C27"/>
    <mergeCell ref="B36:C36"/>
    <mergeCell ref="B37:C37"/>
    <mergeCell ref="B88:C88"/>
    <mergeCell ref="A136:K136"/>
    <mergeCell ref="B80:C80"/>
    <mergeCell ref="B81:C81"/>
    <mergeCell ref="B93:C93"/>
    <mergeCell ref="B94:C94"/>
    <mergeCell ref="B95:C95"/>
    <mergeCell ref="B96:C96"/>
    <mergeCell ref="B130:C130"/>
    <mergeCell ref="B119:C119"/>
    <mergeCell ref="B120:C120"/>
    <mergeCell ref="B121:C121"/>
    <mergeCell ref="B122:C122"/>
    <mergeCell ref="B123:C123"/>
    <mergeCell ref="B124:C124"/>
    <mergeCell ref="B131:C131"/>
    <mergeCell ref="B132:C132"/>
    <mergeCell ref="B133:C133"/>
    <mergeCell ref="B134:C134"/>
    <mergeCell ref="B135:C135"/>
    <mergeCell ref="B125:C125"/>
    <mergeCell ref="B126:C126"/>
    <mergeCell ref="B137:C137"/>
    <mergeCell ref="H139:J139"/>
    <mergeCell ref="B82:C82"/>
    <mergeCell ref="B83:C83"/>
    <mergeCell ref="B84:C84"/>
    <mergeCell ref="B85:C85"/>
    <mergeCell ref="B86:C86"/>
    <mergeCell ref="B87:C87"/>
    <mergeCell ref="B97:C97"/>
    <mergeCell ref="B98:C98"/>
    <mergeCell ref="B127:C127"/>
    <mergeCell ref="B128:C128"/>
    <mergeCell ref="B129:C129"/>
    <mergeCell ref="B99:C99"/>
    <mergeCell ref="B100:C100"/>
    <mergeCell ref="B101:C101"/>
    <mergeCell ref="B102:C102"/>
    <mergeCell ref="B103:C103"/>
    <mergeCell ref="B104:C104"/>
    <mergeCell ref="B44:C44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2:C42"/>
    <mergeCell ref="B43:C43"/>
    <mergeCell ref="B56:C56"/>
    <mergeCell ref="B57:C57"/>
    <mergeCell ref="B58:C58"/>
    <mergeCell ref="B59:C59"/>
    <mergeCell ref="B60:C60"/>
    <mergeCell ref="B61:C61"/>
    <mergeCell ref="B50:C50"/>
    <mergeCell ref="B51:C51"/>
    <mergeCell ref="B52:C52"/>
    <mergeCell ref="B53:C53"/>
    <mergeCell ref="B54:C54"/>
    <mergeCell ref="B55:C55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B74:C74"/>
    <mergeCell ref="B75:C75"/>
    <mergeCell ref="B76:C76"/>
    <mergeCell ref="B77:C77"/>
    <mergeCell ref="B78:C78"/>
    <mergeCell ref="B79:C79"/>
    <mergeCell ref="B117:C117"/>
    <mergeCell ref="B118:C118"/>
    <mergeCell ref="B111:C111"/>
    <mergeCell ref="B112:C112"/>
    <mergeCell ref="B113:C113"/>
    <mergeCell ref="B114:C114"/>
    <mergeCell ref="B115:C115"/>
    <mergeCell ref="B116:C116"/>
    <mergeCell ref="B105:C105"/>
    <mergeCell ref="B106:C106"/>
    <mergeCell ref="B107:C107"/>
    <mergeCell ref="B108:C108"/>
    <mergeCell ref="B109:C109"/>
    <mergeCell ref="B110:C110"/>
  </mergeCells>
  <conditionalFormatting sqref="B10:K135">
    <cfRule type="expression" dxfId="47" priority="3" stopIfTrue="1">
      <formula>$I10&gt;0</formula>
    </cfRule>
    <cfRule type="expression" dxfId="46" priority="4" stopIfTrue="1">
      <formula>$K10=100%</formula>
    </cfRule>
  </conditionalFormatting>
  <conditionalFormatting sqref="D10:K135">
    <cfRule type="expression" dxfId="45" priority="1" stopIfTrue="1">
      <formula>$K10=""</formula>
    </cfRule>
    <cfRule type="expression" dxfId="44" priority="2" stopIfTrue="1">
      <formula>$K10&gt;100%</formula>
    </cfRule>
  </conditionalFormatting>
  <pageMargins left="0.7" right="0.7" top="0.75" bottom="0.75" header="0.3" footer="0.3"/>
  <pageSetup scale="78" orientation="portrait" verticalDpi="1200" r:id="rId1"/>
  <colBreaks count="1" manualBreakCount="1">
    <brk id="11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48"/>
  <sheetViews>
    <sheetView showGridLines="0" zoomScale="90" zoomScaleNormal="90" workbookViewId="0">
      <selection activeCell="F28" sqref="F28"/>
    </sheetView>
  </sheetViews>
  <sheetFormatPr defaultColWidth="6.59765625" defaultRowHeight="15.75"/>
  <cols>
    <col min="1" max="1" width="4.8984375" style="1" customWidth="1"/>
    <col min="2" max="2" width="5.69921875" style="1" customWidth="1"/>
    <col min="3" max="3" width="15.19921875" style="1" customWidth="1"/>
    <col min="4" max="5" width="10.59765625" style="1" customWidth="1"/>
    <col min="6" max="9" width="10.69921875" style="1" customWidth="1"/>
    <col min="10" max="10" width="10.59765625" style="1" customWidth="1"/>
    <col min="11" max="11" width="5.09765625" style="18" customWidth="1"/>
    <col min="12" max="16384" width="6.59765625" style="1"/>
  </cols>
  <sheetData>
    <row r="1" spans="1:11">
      <c r="A1" s="171" t="s">
        <v>18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</row>
    <row r="2" spans="1:11">
      <c r="A2" s="174"/>
      <c r="B2" s="153"/>
      <c r="C2" s="153"/>
      <c r="D2" s="153"/>
      <c r="E2" s="153"/>
      <c r="F2" s="153"/>
      <c r="G2" s="153"/>
      <c r="H2" s="153"/>
      <c r="I2" s="153"/>
      <c r="J2" s="153"/>
      <c r="K2" s="175"/>
    </row>
    <row r="3" spans="1:11">
      <c r="A3" s="74"/>
      <c r="B3" s="13" t="s">
        <v>7</v>
      </c>
      <c r="C3" s="35" t="str">
        <f>'SCHEDULE OF VALUE WORKSHEET'!$B$3</f>
        <v>Angeleno Investments</v>
      </c>
      <c r="F3" s="6"/>
      <c r="G3" s="28"/>
      <c r="H3" s="55"/>
      <c r="I3" s="41" t="s">
        <v>5</v>
      </c>
      <c r="J3" s="38">
        <f>SUM(J137)</f>
        <v>0</v>
      </c>
      <c r="K3" s="80" t="e">
        <f>SUM(J3)/J7</f>
        <v>#REF!</v>
      </c>
    </row>
    <row r="4" spans="1:11" ht="16.350000000000001" customHeight="1">
      <c r="A4" s="74"/>
      <c r="B4" s="34" t="s">
        <v>0</v>
      </c>
      <c r="C4" s="36">
        <f ca="1">TODAY()</f>
        <v>45978</v>
      </c>
      <c r="D4" s="36"/>
      <c r="E4" s="36"/>
      <c r="F4" s="15"/>
      <c r="G4" s="3"/>
      <c r="H4" s="75"/>
      <c r="I4" s="41" t="s">
        <v>13</v>
      </c>
      <c r="J4" s="38" t="e">
        <f>SUM(H137)</f>
        <v>#REF!</v>
      </c>
      <c r="K4" s="80"/>
    </row>
    <row r="5" spans="1:11">
      <c r="A5" s="74"/>
      <c r="B5" s="34" t="s">
        <v>6</v>
      </c>
      <c r="C5" s="37" t="str">
        <f>'SCHEDULE OF VALUE WORKSHEET'!B5</f>
        <v>10910 Huston Street</v>
      </c>
      <c r="F5" s="56"/>
      <c r="G5" s="57"/>
      <c r="H5" s="75"/>
      <c r="I5" s="41" t="s">
        <v>14</v>
      </c>
      <c r="J5" s="38" t="e">
        <f>SUM(D137)</f>
        <v>#REF!</v>
      </c>
      <c r="K5" s="80"/>
    </row>
    <row r="6" spans="1:11">
      <c r="A6" s="74"/>
      <c r="B6" s="34" t="s">
        <v>20</v>
      </c>
      <c r="C6" s="48">
        <f>SUM(I137)</f>
        <v>0</v>
      </c>
      <c r="D6" s="6"/>
      <c r="E6" s="6"/>
      <c r="F6" s="6"/>
      <c r="G6" s="57"/>
      <c r="H6" s="75"/>
      <c r="I6" s="42" t="s">
        <v>17</v>
      </c>
      <c r="J6" s="38">
        <f>SUM(F137)</f>
        <v>0</v>
      </c>
      <c r="K6" s="80"/>
    </row>
    <row r="7" spans="1:11">
      <c r="A7" s="78"/>
      <c r="G7" s="28"/>
      <c r="H7" s="20"/>
      <c r="I7" s="34" t="s">
        <v>15</v>
      </c>
      <c r="J7" s="29" t="e">
        <f>SUM(G137)</f>
        <v>#REF!</v>
      </c>
      <c r="K7" s="80"/>
    </row>
    <row r="8" spans="1:11">
      <c r="A8" s="19"/>
      <c r="B8" s="169" t="s">
        <v>1</v>
      </c>
      <c r="C8" s="170"/>
      <c r="D8" s="177" t="s">
        <v>8</v>
      </c>
      <c r="E8" s="102" t="s">
        <v>24</v>
      </c>
      <c r="F8" s="176" t="s">
        <v>26</v>
      </c>
      <c r="G8" s="177" t="s">
        <v>9</v>
      </c>
      <c r="H8" s="30" t="s">
        <v>10</v>
      </c>
      <c r="I8" s="31" t="s">
        <v>12</v>
      </c>
      <c r="J8" s="178" t="s">
        <v>3</v>
      </c>
      <c r="K8" s="179"/>
    </row>
    <row r="9" spans="1:11" ht="14.1" customHeight="1">
      <c r="A9" s="19"/>
      <c r="B9" s="146"/>
      <c r="C9" s="147"/>
      <c r="D9" s="162"/>
      <c r="E9" s="103" t="s">
        <v>25</v>
      </c>
      <c r="F9" s="164"/>
      <c r="G9" s="162"/>
      <c r="H9" s="32" t="s">
        <v>22</v>
      </c>
      <c r="I9" s="33">
        <v>10</v>
      </c>
      <c r="J9" s="180" t="s">
        <v>4</v>
      </c>
      <c r="K9" s="181"/>
    </row>
    <row r="10" spans="1:11" ht="14.1" customHeight="1">
      <c r="A10" s="4">
        <f>'SCHEDULE OF VALUE WORKSHEET'!A7</f>
        <v>1</v>
      </c>
      <c r="B10" s="142" t="str">
        <f>'SCHEDULE OF VALUE WORKSHEET'!B7</f>
        <v>SOFT COSTS</v>
      </c>
      <c r="C10" s="143"/>
      <c r="D10" s="104">
        <f>SUM('SCHEDULE OF VALUE WORKSHEET'!E7)</f>
        <v>0</v>
      </c>
      <c r="E10" s="104">
        <f>SUM('Draw #9'!E10:F10)</f>
        <v>0</v>
      </c>
      <c r="F10" s="105">
        <v>0</v>
      </c>
      <c r="G10" s="104">
        <f>SUM('Draw #9'!G10)+F10</f>
        <v>0</v>
      </c>
      <c r="H10" s="109">
        <f t="shared" ref="H10" si="0">SUM(G10-J10)</f>
        <v>0</v>
      </c>
      <c r="I10" s="110">
        <v>0</v>
      </c>
      <c r="J10" s="109">
        <f>SUM(I10+'Draw #9'!J10)</f>
        <v>0</v>
      </c>
      <c r="K10" s="101" t="str">
        <f t="shared" ref="K10" si="1">IF(J10=0,"",J10/G10)</f>
        <v/>
      </c>
    </row>
    <row r="11" spans="1:11" ht="14.1" customHeight="1">
      <c r="A11" s="4">
        <f>'SCHEDULE OF VALUE WORKSHEET'!A8</f>
        <v>2</v>
      </c>
      <c r="B11" s="142" t="str">
        <f>'SCHEDULE OF VALUE WORKSHEET'!B8</f>
        <v>Site Security</v>
      </c>
      <c r="C11" s="143"/>
      <c r="D11" s="104">
        <f>SUM('SCHEDULE OF VALUE WORKSHEET'!E8)</f>
        <v>10580.63</v>
      </c>
      <c r="E11" s="104">
        <f>SUM('Draw #9'!E11:F11)</f>
        <v>0</v>
      </c>
      <c r="F11" s="105">
        <v>0</v>
      </c>
      <c r="G11" s="104">
        <f>SUM('Draw #9'!G11)+F11</f>
        <v>10580.63</v>
      </c>
      <c r="H11" s="109">
        <f t="shared" ref="H11:H74" si="2">SUM(G11-J11)</f>
        <v>10580.63</v>
      </c>
      <c r="I11" s="110">
        <v>0</v>
      </c>
      <c r="J11" s="109">
        <f>SUM(I11+'Draw #9'!J11)</f>
        <v>0</v>
      </c>
      <c r="K11" s="101" t="str">
        <f t="shared" ref="K11:K74" si="3">IF(J11=0,"",J11/G11)</f>
        <v/>
      </c>
    </row>
    <row r="12" spans="1:11" ht="14.1" customHeight="1">
      <c r="A12" s="4">
        <f>'SCHEDULE OF VALUE WORKSHEET'!A9</f>
        <v>3</v>
      </c>
      <c r="B12" s="142" t="str">
        <f>'SCHEDULE OF VALUE WORKSHEET'!B9</f>
        <v>Soils Inspection</v>
      </c>
      <c r="C12" s="143"/>
      <c r="D12" s="104">
        <f>SUM('SCHEDULE OF VALUE WORKSHEET'!E9)</f>
        <v>0</v>
      </c>
      <c r="E12" s="104">
        <f>SUM('Draw #9'!E12:F12)</f>
        <v>0</v>
      </c>
      <c r="F12" s="105">
        <v>0</v>
      </c>
      <c r="G12" s="104">
        <f>SUM('Draw #9'!G12)+F12</f>
        <v>0</v>
      </c>
      <c r="H12" s="109">
        <f t="shared" si="2"/>
        <v>0</v>
      </c>
      <c r="I12" s="110">
        <v>0</v>
      </c>
      <c r="J12" s="109">
        <f>SUM(I12+'Draw #9'!J12)</f>
        <v>0</v>
      </c>
      <c r="K12" s="101" t="str">
        <f t="shared" si="3"/>
        <v/>
      </c>
    </row>
    <row r="13" spans="1:11" ht="14.1" customHeight="1">
      <c r="A13" s="4">
        <f>'SCHEDULE OF VALUE WORKSHEET'!A10</f>
        <v>4</v>
      </c>
      <c r="B13" s="142" t="str">
        <f>'SCHEDULE OF VALUE WORKSHEET'!B10</f>
        <v>Offsites (Transformer)</v>
      </c>
      <c r="C13" s="143"/>
      <c r="D13" s="104">
        <f>SUM('SCHEDULE OF VALUE WORKSHEET'!E10)</f>
        <v>20000</v>
      </c>
      <c r="E13" s="104">
        <f>SUM('Draw #9'!E13:F13)</f>
        <v>0</v>
      </c>
      <c r="F13" s="105">
        <v>0</v>
      </c>
      <c r="G13" s="104">
        <f>SUM('Draw #9'!G13)+F13</f>
        <v>20000</v>
      </c>
      <c r="H13" s="109">
        <f t="shared" si="2"/>
        <v>20000</v>
      </c>
      <c r="I13" s="110">
        <v>0</v>
      </c>
      <c r="J13" s="109">
        <f>SUM(I13+'Draw #9'!J13)</f>
        <v>0</v>
      </c>
      <c r="K13" s="101" t="str">
        <f t="shared" si="3"/>
        <v/>
      </c>
    </row>
    <row r="14" spans="1:11" ht="14.1" customHeight="1">
      <c r="A14" s="4">
        <f>'SCHEDULE OF VALUE WORKSHEET'!A11</f>
        <v>5</v>
      </c>
      <c r="B14" s="142" t="str">
        <f>'SCHEDULE OF VALUE WORKSHEET'!B11</f>
        <v>Plan Check Fees</v>
      </c>
      <c r="C14" s="143"/>
      <c r="D14" s="104">
        <f>SUM('SCHEDULE OF VALUE WORKSHEET'!E11)</f>
        <v>0</v>
      </c>
      <c r="E14" s="104">
        <f>SUM('Draw #9'!E14:F14)</f>
        <v>0</v>
      </c>
      <c r="F14" s="105">
        <v>0</v>
      </c>
      <c r="G14" s="104">
        <f>SUM('Draw #9'!G14)+F14</f>
        <v>0</v>
      </c>
      <c r="H14" s="109">
        <f t="shared" si="2"/>
        <v>0</v>
      </c>
      <c r="I14" s="110">
        <v>0</v>
      </c>
      <c r="J14" s="109">
        <f>SUM(I14+'Draw #9'!J14)</f>
        <v>0</v>
      </c>
      <c r="K14" s="101" t="str">
        <f t="shared" si="3"/>
        <v/>
      </c>
    </row>
    <row r="15" spans="1:11" ht="14.1" customHeight="1">
      <c r="A15" s="4">
        <f>'SCHEDULE OF VALUE WORKSHEET'!A12</f>
        <v>6</v>
      </c>
      <c r="B15" s="142" t="str">
        <f>'SCHEDULE OF VALUE WORKSHEET'!B12</f>
        <v>Permits</v>
      </c>
      <c r="C15" s="143"/>
      <c r="D15" s="104">
        <f>SUM('SCHEDULE OF VALUE WORKSHEET'!E12)</f>
        <v>0</v>
      </c>
      <c r="E15" s="104">
        <f>SUM('Draw #9'!E15:F15)</f>
        <v>0</v>
      </c>
      <c r="F15" s="105">
        <v>0</v>
      </c>
      <c r="G15" s="104">
        <f>SUM('Draw #9'!G15)+F15</f>
        <v>0</v>
      </c>
      <c r="H15" s="109">
        <f t="shared" si="2"/>
        <v>0</v>
      </c>
      <c r="I15" s="110">
        <v>0</v>
      </c>
      <c r="J15" s="109">
        <f>SUM(I15+'Draw #9'!J15)</f>
        <v>0</v>
      </c>
      <c r="K15" s="101" t="str">
        <f t="shared" si="3"/>
        <v/>
      </c>
    </row>
    <row r="16" spans="1:11" ht="14.1" customHeight="1">
      <c r="A16" s="4">
        <f>'SCHEDULE OF VALUE WORKSHEET'!A13</f>
        <v>7</v>
      </c>
      <c r="B16" s="142" t="str">
        <f>'SCHEDULE OF VALUE WORKSHEET'!B13</f>
        <v>Survey</v>
      </c>
      <c r="C16" s="143"/>
      <c r="D16" s="104">
        <f>SUM('SCHEDULE OF VALUE WORKSHEET'!E13)</f>
        <v>0</v>
      </c>
      <c r="E16" s="104">
        <f>SUM('Draw #9'!E16:F16)</f>
        <v>0</v>
      </c>
      <c r="F16" s="105">
        <v>0</v>
      </c>
      <c r="G16" s="104">
        <f>SUM('Draw #9'!G16)+F16</f>
        <v>0</v>
      </c>
      <c r="H16" s="109">
        <f t="shared" si="2"/>
        <v>0</v>
      </c>
      <c r="I16" s="110">
        <v>0</v>
      </c>
      <c r="J16" s="109">
        <f>SUM(I16+'Draw #9'!J16)</f>
        <v>0</v>
      </c>
      <c r="K16" s="101" t="str">
        <f t="shared" si="3"/>
        <v/>
      </c>
    </row>
    <row r="17" spans="1:11" ht="14.1" customHeight="1">
      <c r="A17" s="4">
        <f>'SCHEDULE OF VALUE WORKSHEET'!A14</f>
        <v>8</v>
      </c>
      <c r="B17" s="142" t="str">
        <f>'SCHEDULE OF VALUE WORKSHEET'!B14</f>
        <v>Soils Engineer</v>
      </c>
      <c r="C17" s="143"/>
      <c r="D17" s="104">
        <f>SUM('SCHEDULE OF VALUE WORKSHEET'!E14)</f>
        <v>0</v>
      </c>
      <c r="E17" s="104">
        <f>SUM('Draw #9'!E17:F17)</f>
        <v>0</v>
      </c>
      <c r="F17" s="105">
        <v>0</v>
      </c>
      <c r="G17" s="104">
        <f>SUM('Draw #9'!G17)+F17</f>
        <v>0</v>
      </c>
      <c r="H17" s="109">
        <f t="shared" si="2"/>
        <v>0</v>
      </c>
      <c r="I17" s="110">
        <v>0</v>
      </c>
      <c r="J17" s="109">
        <f>SUM(I17+'Draw #9'!J17)</f>
        <v>0</v>
      </c>
      <c r="K17" s="101" t="str">
        <f t="shared" si="3"/>
        <v/>
      </c>
    </row>
    <row r="18" spans="1:11" ht="14.1" customHeight="1">
      <c r="A18" s="4">
        <f>'SCHEDULE OF VALUE WORKSHEET'!A15</f>
        <v>9</v>
      </c>
      <c r="B18" s="142" t="str">
        <f>'SCHEDULE OF VALUE WORKSHEET'!B15</f>
        <v>Soils Permit + T24</v>
      </c>
      <c r="C18" s="143"/>
      <c r="D18" s="104">
        <f>SUM('SCHEDULE OF VALUE WORKSHEET'!E15)</f>
        <v>2500</v>
      </c>
      <c r="E18" s="104">
        <f>SUM('Draw #9'!E18:F18)</f>
        <v>0</v>
      </c>
      <c r="F18" s="105">
        <v>0</v>
      </c>
      <c r="G18" s="104">
        <f>SUM('Draw #9'!G18)+F18</f>
        <v>2500</v>
      </c>
      <c r="H18" s="109">
        <f t="shared" si="2"/>
        <v>2500</v>
      </c>
      <c r="I18" s="110">
        <v>0</v>
      </c>
      <c r="J18" s="109">
        <f>SUM(I18+'Draw #9'!J18)</f>
        <v>0</v>
      </c>
      <c r="K18" s="101" t="str">
        <f t="shared" si="3"/>
        <v/>
      </c>
    </row>
    <row r="19" spans="1:11" ht="14.1" customHeight="1">
      <c r="A19" s="4">
        <f>'SCHEDULE OF VALUE WORKSHEET'!A16</f>
        <v>10</v>
      </c>
      <c r="B19" s="142" t="str">
        <f>'SCHEDULE OF VALUE WORKSHEET'!B16</f>
        <v>Special Inspections - Deputy</v>
      </c>
      <c r="C19" s="143"/>
      <c r="D19" s="104">
        <f>SUM('SCHEDULE OF VALUE WORKSHEET'!E16)</f>
        <v>15000</v>
      </c>
      <c r="E19" s="104">
        <f>SUM('Draw #9'!E19:F19)</f>
        <v>0</v>
      </c>
      <c r="F19" s="105">
        <v>0</v>
      </c>
      <c r="G19" s="104">
        <f>SUM('Draw #9'!G19)+F19</f>
        <v>15000</v>
      </c>
      <c r="H19" s="109">
        <f t="shared" si="2"/>
        <v>15000</v>
      </c>
      <c r="I19" s="110">
        <v>0</v>
      </c>
      <c r="J19" s="109">
        <f>SUM(I19+'Draw #9'!J19)</f>
        <v>0</v>
      </c>
      <c r="K19" s="101" t="str">
        <f t="shared" si="3"/>
        <v/>
      </c>
    </row>
    <row r="20" spans="1:11" ht="14.1" customHeight="1">
      <c r="A20" s="4">
        <f>'SCHEDULE OF VALUE WORKSHEET'!A17</f>
        <v>11</v>
      </c>
      <c r="B20" s="142" t="str">
        <f>'SCHEDULE OF VALUE WORKSHEET'!B17</f>
        <v>Architect</v>
      </c>
      <c r="C20" s="143"/>
      <c r="D20" s="104">
        <f>SUM('SCHEDULE OF VALUE WORKSHEET'!E17)</f>
        <v>0</v>
      </c>
      <c r="E20" s="104">
        <f>SUM('Draw #9'!E20:F20)</f>
        <v>0</v>
      </c>
      <c r="F20" s="105">
        <v>0</v>
      </c>
      <c r="G20" s="104">
        <f>SUM('Draw #9'!G20)+F20</f>
        <v>0</v>
      </c>
      <c r="H20" s="109">
        <f t="shared" si="2"/>
        <v>0</v>
      </c>
      <c r="I20" s="110">
        <v>0</v>
      </c>
      <c r="J20" s="109">
        <f>SUM(I20+'Draw #9'!J20)</f>
        <v>0</v>
      </c>
      <c r="K20" s="101" t="str">
        <f t="shared" si="3"/>
        <v/>
      </c>
    </row>
    <row r="21" spans="1:11" ht="14.1" customHeight="1">
      <c r="A21" s="4">
        <f>'SCHEDULE OF VALUE WORKSHEET'!A18</f>
        <v>12</v>
      </c>
      <c r="B21" s="142" t="str">
        <f>'SCHEDULE OF VALUE WORKSHEET'!B18</f>
        <v>Structural Engineer</v>
      </c>
      <c r="C21" s="143"/>
      <c r="D21" s="104">
        <f>SUM('SCHEDULE OF VALUE WORKSHEET'!E18)</f>
        <v>0</v>
      </c>
      <c r="E21" s="104">
        <f>SUM('Draw #9'!E21:F21)</f>
        <v>0</v>
      </c>
      <c r="F21" s="105">
        <v>0</v>
      </c>
      <c r="G21" s="104">
        <f>SUM('Draw #9'!G21)+F21</f>
        <v>0</v>
      </c>
      <c r="H21" s="109">
        <f t="shared" si="2"/>
        <v>0</v>
      </c>
      <c r="I21" s="110">
        <v>0</v>
      </c>
      <c r="J21" s="109">
        <f>SUM(I21+'Draw #9'!J21)</f>
        <v>0</v>
      </c>
      <c r="K21" s="101" t="str">
        <f t="shared" si="3"/>
        <v/>
      </c>
    </row>
    <row r="22" spans="1:11" ht="14.1" customHeight="1">
      <c r="A22" s="4">
        <f>'SCHEDULE OF VALUE WORKSHEET'!A19</f>
        <v>13</v>
      </c>
      <c r="B22" s="142" t="str">
        <f>'SCHEDULE OF VALUE WORKSHEET'!B19</f>
        <v>Structural Observation</v>
      </c>
      <c r="C22" s="143"/>
      <c r="D22" s="104">
        <f>SUM('SCHEDULE OF VALUE WORKSHEET'!E19)</f>
        <v>8000</v>
      </c>
      <c r="E22" s="104">
        <f>SUM('Draw #9'!E22:F22)</f>
        <v>0</v>
      </c>
      <c r="F22" s="105">
        <v>0</v>
      </c>
      <c r="G22" s="104">
        <f>SUM('Draw #9'!G22)+F22</f>
        <v>8000</v>
      </c>
      <c r="H22" s="109">
        <f t="shared" si="2"/>
        <v>8000</v>
      </c>
      <c r="I22" s="110">
        <v>0</v>
      </c>
      <c r="J22" s="109">
        <f>SUM(I22+'Draw #9'!J22)</f>
        <v>0</v>
      </c>
      <c r="K22" s="101" t="str">
        <f t="shared" si="3"/>
        <v/>
      </c>
    </row>
    <row r="23" spans="1:11" ht="14.1" customHeight="1">
      <c r="A23" s="4">
        <f>'SCHEDULE OF VALUE WORKSHEET'!A20</f>
        <v>14</v>
      </c>
      <c r="B23" s="142" t="str">
        <f>'SCHEDULE OF VALUE WORKSHEET'!B20</f>
        <v>Civil Engineering</v>
      </c>
      <c r="C23" s="143"/>
      <c r="D23" s="104">
        <f>SUM('SCHEDULE OF VALUE WORKSHEET'!E20)</f>
        <v>0</v>
      </c>
      <c r="E23" s="104">
        <f>SUM('Draw #9'!E23:F23)</f>
        <v>0</v>
      </c>
      <c r="F23" s="105">
        <v>0</v>
      </c>
      <c r="G23" s="104">
        <f>SUM('Draw #9'!G23)+F23</f>
        <v>0</v>
      </c>
      <c r="H23" s="109">
        <f t="shared" si="2"/>
        <v>0</v>
      </c>
      <c r="I23" s="110">
        <v>0</v>
      </c>
      <c r="J23" s="109">
        <f>SUM(I23+'Draw #9'!J23)</f>
        <v>0</v>
      </c>
      <c r="K23" s="101" t="str">
        <f t="shared" si="3"/>
        <v/>
      </c>
    </row>
    <row r="24" spans="1:11" ht="14.1" customHeight="1">
      <c r="A24" s="4">
        <f>'SCHEDULE OF VALUE WORKSHEET'!A21</f>
        <v>15</v>
      </c>
      <c r="B24" s="142" t="str">
        <f>'SCHEDULE OF VALUE WORKSHEET'!B21</f>
        <v>Grading Permit</v>
      </c>
      <c r="C24" s="143"/>
      <c r="D24" s="104">
        <f>SUM('SCHEDULE OF VALUE WORKSHEET'!E21)</f>
        <v>0</v>
      </c>
      <c r="E24" s="104">
        <f>SUM('Draw #9'!E24:F24)</f>
        <v>0</v>
      </c>
      <c r="F24" s="105">
        <v>0</v>
      </c>
      <c r="G24" s="104">
        <f>SUM('Draw #9'!G24)+F24</f>
        <v>0</v>
      </c>
      <c r="H24" s="109">
        <f t="shared" si="2"/>
        <v>0</v>
      </c>
      <c r="I24" s="110">
        <v>0</v>
      </c>
      <c r="J24" s="109">
        <f>SUM(I24+'Draw #9'!J24)</f>
        <v>0</v>
      </c>
      <c r="K24" s="101" t="str">
        <f t="shared" si="3"/>
        <v/>
      </c>
    </row>
    <row r="25" spans="1:11" ht="14.1" customHeight="1">
      <c r="A25" s="4">
        <f>'SCHEDULE OF VALUE WORKSHEET'!A22</f>
        <v>16</v>
      </c>
      <c r="B25" s="142" t="str">
        <f>'SCHEDULE OF VALUE WORKSHEET'!B22</f>
        <v>Landscape Architect/Designer</v>
      </c>
      <c r="C25" s="143"/>
      <c r="D25" s="104">
        <f>SUM('SCHEDULE OF VALUE WORKSHEET'!E22)</f>
        <v>0</v>
      </c>
      <c r="E25" s="104">
        <f>SUM('Draw #9'!E25:F25)</f>
        <v>0</v>
      </c>
      <c r="F25" s="105">
        <v>0</v>
      </c>
      <c r="G25" s="104">
        <f>SUM('Draw #9'!G25)+F25</f>
        <v>0</v>
      </c>
      <c r="H25" s="109">
        <f t="shared" si="2"/>
        <v>0</v>
      </c>
      <c r="I25" s="110">
        <v>0</v>
      </c>
      <c r="J25" s="109">
        <f>SUM(I25+'Draw #9'!J25)</f>
        <v>0</v>
      </c>
      <c r="K25" s="101" t="str">
        <f t="shared" si="3"/>
        <v/>
      </c>
    </row>
    <row r="26" spans="1:11" ht="14.1" customHeight="1">
      <c r="A26" s="4">
        <f>'SCHEDULE OF VALUE WORKSHEET'!A23</f>
        <v>17</v>
      </c>
      <c r="B26" s="142" t="str">
        <f>'SCHEDULE OF VALUE WORKSHEET'!B23</f>
        <v>Driveway Apron Permit</v>
      </c>
      <c r="C26" s="143"/>
      <c r="D26" s="104">
        <f>SUM('SCHEDULE OF VALUE WORKSHEET'!E23)</f>
        <v>2500</v>
      </c>
      <c r="E26" s="104">
        <f>SUM('Draw #9'!E26:F26)</f>
        <v>0</v>
      </c>
      <c r="F26" s="105">
        <v>0</v>
      </c>
      <c r="G26" s="104">
        <f>SUM('Draw #9'!G26)+F26</f>
        <v>2500</v>
      </c>
      <c r="H26" s="109">
        <f t="shared" si="2"/>
        <v>2500</v>
      </c>
      <c r="I26" s="110">
        <v>0</v>
      </c>
      <c r="J26" s="109">
        <f>SUM(I26+'Draw #9'!J26)</f>
        <v>0</v>
      </c>
      <c r="K26" s="101" t="str">
        <f t="shared" si="3"/>
        <v/>
      </c>
    </row>
    <row r="27" spans="1:11" ht="14.1" customHeight="1">
      <c r="A27" s="4">
        <f>'SCHEDULE OF VALUE WORKSHEET'!A24</f>
        <v>18</v>
      </c>
      <c r="B27" s="142" t="str">
        <f>'SCHEDULE OF VALUE WORKSHEET'!B24</f>
        <v>Punch List - Misc.</v>
      </c>
      <c r="C27" s="143"/>
      <c r="D27" s="104">
        <f>SUM('SCHEDULE OF VALUE WORKSHEET'!E24)</f>
        <v>21962.77</v>
      </c>
      <c r="E27" s="104">
        <f>SUM('Draw #9'!E27:F27)</f>
        <v>0</v>
      </c>
      <c r="F27" s="105">
        <v>0</v>
      </c>
      <c r="G27" s="104">
        <f>SUM('Draw #9'!G27)+F27</f>
        <v>21962.77</v>
      </c>
      <c r="H27" s="109">
        <f t="shared" si="2"/>
        <v>21962.77</v>
      </c>
      <c r="I27" s="110">
        <v>0</v>
      </c>
      <c r="J27" s="109">
        <f>SUM(I27+'Draw #9'!J27)</f>
        <v>0</v>
      </c>
      <c r="K27" s="101" t="str">
        <f t="shared" si="3"/>
        <v/>
      </c>
    </row>
    <row r="28" spans="1:11" ht="14.1" customHeight="1">
      <c r="A28" s="4">
        <f>'SCHEDULE OF VALUE WORKSHEET'!A25</f>
        <v>19</v>
      </c>
      <c r="B28" s="142" t="str">
        <f>'SCHEDULE OF VALUE WORKSHEET'!B25</f>
        <v>EBM, Low Voltage, Landscape, Waterproofing CA</v>
      </c>
      <c r="C28" s="143"/>
      <c r="D28" s="104">
        <f>SUM('SCHEDULE OF VALUE WORKSHEET'!E25)</f>
        <v>0</v>
      </c>
      <c r="E28" s="104">
        <f>SUM('Draw #9'!E28:F28)</f>
        <v>0</v>
      </c>
      <c r="F28" s="105">
        <v>0</v>
      </c>
      <c r="G28" s="104">
        <f>SUM('Draw #9'!G28)+F28</f>
        <v>0</v>
      </c>
      <c r="H28" s="109">
        <f t="shared" si="2"/>
        <v>0</v>
      </c>
      <c r="I28" s="110">
        <v>0</v>
      </c>
      <c r="J28" s="109">
        <f>SUM(I28+'Draw #9'!J28)</f>
        <v>0</v>
      </c>
      <c r="K28" s="101" t="str">
        <f t="shared" si="3"/>
        <v/>
      </c>
    </row>
    <row r="29" spans="1:11" ht="14.1" customHeight="1">
      <c r="A29" s="4">
        <f>'SCHEDULE OF VALUE WORKSHEET'!A26</f>
        <v>20</v>
      </c>
      <c r="B29" s="142" t="str">
        <f>'SCHEDULE OF VALUE WORKSHEET'!B26</f>
        <v>Project Accounting/Tax Filing</v>
      </c>
      <c r="C29" s="143"/>
      <c r="D29" s="104">
        <f>SUM('SCHEDULE OF VALUE WORKSHEET'!E26)</f>
        <v>12994.01</v>
      </c>
      <c r="E29" s="104">
        <f>SUM('Draw #9'!E29:F29)</f>
        <v>0</v>
      </c>
      <c r="F29" s="105">
        <v>0</v>
      </c>
      <c r="G29" s="104">
        <f>SUM('Draw #9'!G29)+F29</f>
        <v>12994.01</v>
      </c>
      <c r="H29" s="109">
        <f t="shared" si="2"/>
        <v>12994.01</v>
      </c>
      <c r="I29" s="110">
        <v>0</v>
      </c>
      <c r="J29" s="109">
        <f>SUM(I29+'Draw #9'!J29)</f>
        <v>0</v>
      </c>
      <c r="K29" s="101" t="str">
        <f t="shared" si="3"/>
        <v/>
      </c>
    </row>
    <row r="30" spans="1:11" ht="14.1" customHeight="1">
      <c r="A30" s="4">
        <f>'SCHEDULE OF VALUE WORKSHEET'!A27</f>
        <v>21</v>
      </c>
      <c r="B30" s="142" t="str">
        <f>'SCHEDULE OF VALUE WORKSHEET'!B27</f>
        <v>Legal &amp; Professional Fees</v>
      </c>
      <c r="C30" s="143"/>
      <c r="D30" s="104">
        <f>SUM('SCHEDULE OF VALUE WORKSHEET'!E27)</f>
        <v>873.38999999999942</v>
      </c>
      <c r="E30" s="104">
        <f>SUM('Draw #9'!E30:F30)</f>
        <v>0</v>
      </c>
      <c r="F30" s="105">
        <v>0</v>
      </c>
      <c r="G30" s="104">
        <f>SUM('Draw #9'!G30)+F30</f>
        <v>873.38999999999942</v>
      </c>
      <c r="H30" s="109">
        <f t="shared" si="2"/>
        <v>873.38999999999942</v>
      </c>
      <c r="I30" s="110">
        <v>0</v>
      </c>
      <c r="J30" s="109">
        <f>SUM(I30+'Draw #9'!J30)</f>
        <v>0</v>
      </c>
      <c r="K30" s="101" t="str">
        <f t="shared" si="3"/>
        <v/>
      </c>
    </row>
    <row r="31" spans="1:11" ht="14.1" customHeight="1">
      <c r="A31" s="4">
        <f>'SCHEDULE OF VALUE WORKSHEET'!A28</f>
        <v>22</v>
      </c>
      <c r="B31" s="142" t="str">
        <f>'SCHEDULE OF VALUE WORKSHEET'!B28</f>
        <v>Sewer CCTV and inspection</v>
      </c>
      <c r="C31" s="143"/>
      <c r="D31" s="104">
        <f>SUM('SCHEDULE OF VALUE WORKSHEET'!E28)</f>
        <v>0</v>
      </c>
      <c r="E31" s="104">
        <f>SUM('Draw #9'!E31:F31)</f>
        <v>0</v>
      </c>
      <c r="F31" s="105">
        <v>0</v>
      </c>
      <c r="G31" s="104">
        <f>SUM('Draw #9'!G31)+F31</f>
        <v>0</v>
      </c>
      <c r="H31" s="109">
        <f t="shared" si="2"/>
        <v>0</v>
      </c>
      <c r="I31" s="110">
        <v>0</v>
      </c>
      <c r="J31" s="109">
        <f>SUM(I31+'Draw #9'!J31)</f>
        <v>0</v>
      </c>
      <c r="K31" s="101" t="str">
        <f t="shared" si="3"/>
        <v/>
      </c>
    </row>
    <row r="32" spans="1:11" ht="14.1" customHeight="1">
      <c r="A32" s="4">
        <f>'SCHEDULE OF VALUE WORKSHEET'!A29</f>
        <v>23</v>
      </c>
      <c r="B32" s="142" t="str">
        <f>'SCHEDULE OF VALUE WORKSHEET'!B29</f>
        <v>Environmental Phase I</v>
      </c>
      <c r="C32" s="143"/>
      <c r="D32" s="104">
        <f>SUM('SCHEDULE OF VALUE WORKSHEET'!E29)</f>
        <v>0</v>
      </c>
      <c r="E32" s="104">
        <f>SUM('Draw #9'!E32:F32)</f>
        <v>0</v>
      </c>
      <c r="F32" s="105">
        <v>0</v>
      </c>
      <c r="G32" s="104">
        <f>SUM('Draw #9'!G32)+F32</f>
        <v>0</v>
      </c>
      <c r="H32" s="109">
        <f t="shared" si="2"/>
        <v>0</v>
      </c>
      <c r="I32" s="110">
        <v>0</v>
      </c>
      <c r="J32" s="109">
        <f>SUM(I32+'Draw #9'!J32)</f>
        <v>0</v>
      </c>
      <c r="K32" s="101" t="str">
        <f t="shared" si="3"/>
        <v/>
      </c>
    </row>
    <row r="33" spans="1:11" ht="14.1" customHeight="1">
      <c r="A33" s="4">
        <f>'SCHEDULE OF VALUE WORKSHEET'!A30</f>
        <v>24</v>
      </c>
      <c r="B33" s="142" t="str">
        <f>'SCHEDULE OF VALUE WORKSHEET'!B30</f>
        <v>Dry Utility Consultant</v>
      </c>
      <c r="C33" s="143"/>
      <c r="D33" s="104">
        <f>SUM('SCHEDULE OF VALUE WORKSHEET'!E30)</f>
        <v>0</v>
      </c>
      <c r="E33" s="104">
        <f>SUM('Draw #9'!E33:F33)</f>
        <v>0</v>
      </c>
      <c r="F33" s="105">
        <v>0</v>
      </c>
      <c r="G33" s="104">
        <f>SUM('Draw #9'!G33)+F33</f>
        <v>0</v>
      </c>
      <c r="H33" s="109">
        <f t="shared" si="2"/>
        <v>0</v>
      </c>
      <c r="I33" s="110">
        <v>0</v>
      </c>
      <c r="J33" s="109">
        <f>SUM(I33+'Draw #9'!J33)</f>
        <v>0</v>
      </c>
      <c r="K33" s="101" t="str">
        <f t="shared" si="3"/>
        <v/>
      </c>
    </row>
    <row r="34" spans="1:11" ht="14.1" customHeight="1">
      <c r="A34" s="4">
        <f>'SCHEDULE OF VALUE WORKSHEET'!A31</f>
        <v>25</v>
      </c>
      <c r="B34" s="142" t="str">
        <f>'SCHEDULE OF VALUE WORKSHEET'!B31</f>
        <v>Dry Utility Survey</v>
      </c>
      <c r="C34" s="143"/>
      <c r="D34" s="104">
        <f>SUM('SCHEDULE OF VALUE WORKSHEET'!E31)</f>
        <v>5000</v>
      </c>
      <c r="E34" s="104">
        <f>SUM('Draw #9'!E34:F34)</f>
        <v>0</v>
      </c>
      <c r="F34" s="105">
        <v>0</v>
      </c>
      <c r="G34" s="104">
        <f>SUM('Draw #9'!G34)+F34</f>
        <v>5000</v>
      </c>
      <c r="H34" s="109">
        <f t="shared" si="2"/>
        <v>5000</v>
      </c>
      <c r="I34" s="110">
        <v>0</v>
      </c>
      <c r="J34" s="109">
        <f>SUM(I34+'Draw #9'!J34)</f>
        <v>0</v>
      </c>
      <c r="K34" s="101" t="str">
        <f t="shared" si="3"/>
        <v/>
      </c>
    </row>
    <row r="35" spans="1:11" ht="14.1" customHeight="1">
      <c r="A35" s="4">
        <f>'SCHEDULE OF VALUE WORKSHEET'!A32</f>
        <v>26</v>
      </c>
      <c r="B35" s="142" t="str">
        <f>'SCHEDULE OF VALUE WORKSHEET'!B32</f>
        <v>MEP</v>
      </c>
      <c r="C35" s="143"/>
      <c r="D35" s="104">
        <f>SUM('SCHEDULE OF VALUE WORKSHEET'!E32)</f>
        <v>0</v>
      </c>
      <c r="E35" s="104">
        <f>SUM('Draw #9'!E35:F35)</f>
        <v>0</v>
      </c>
      <c r="F35" s="105">
        <v>0</v>
      </c>
      <c r="G35" s="104">
        <f>SUM('Draw #9'!G35)+F35</f>
        <v>0</v>
      </c>
      <c r="H35" s="109">
        <f t="shared" si="2"/>
        <v>0</v>
      </c>
      <c r="I35" s="110">
        <v>0</v>
      </c>
      <c r="J35" s="109">
        <f>SUM(I35+'Draw #9'!J35)</f>
        <v>0</v>
      </c>
      <c r="K35" s="101" t="str">
        <f t="shared" si="3"/>
        <v/>
      </c>
    </row>
    <row r="36" spans="1:11" ht="14.1" customHeight="1">
      <c r="A36" s="4">
        <f>'SCHEDULE OF VALUE WORKSHEET'!A33</f>
        <v>27</v>
      </c>
      <c r="B36" s="142" t="str">
        <f>'SCHEDULE OF VALUE WORKSHEET'!B33</f>
        <v>Civil Construction Administration</v>
      </c>
      <c r="C36" s="143"/>
      <c r="D36" s="104">
        <f>SUM('SCHEDULE OF VALUE WORKSHEET'!E33)</f>
        <v>5000</v>
      </c>
      <c r="E36" s="104">
        <f>SUM('Draw #9'!E36:F36)</f>
        <v>0</v>
      </c>
      <c r="F36" s="105">
        <v>0</v>
      </c>
      <c r="G36" s="104">
        <f>SUM('Draw #9'!G36)+F36</f>
        <v>5000</v>
      </c>
      <c r="H36" s="109">
        <f t="shared" si="2"/>
        <v>5000</v>
      </c>
      <c r="I36" s="110">
        <v>0</v>
      </c>
      <c r="J36" s="109">
        <f>SUM(I36+'Draw #9'!J36)</f>
        <v>0</v>
      </c>
      <c r="K36" s="101" t="str">
        <f t="shared" si="3"/>
        <v/>
      </c>
    </row>
    <row r="37" spans="1:11" ht="14.1" customHeight="1">
      <c r="A37" s="4">
        <f>'SCHEDULE OF VALUE WORKSHEET'!A34</f>
        <v>28</v>
      </c>
      <c r="B37" s="142" t="str">
        <f>'SCHEDULE OF VALUE WORKSHEET'!B34</f>
        <v>Permit Clearances &amp; Agency Reviews</v>
      </c>
      <c r="C37" s="143"/>
      <c r="D37" s="104">
        <f>SUM('SCHEDULE OF VALUE WORKSHEET'!E34)</f>
        <v>0</v>
      </c>
      <c r="E37" s="104">
        <f>SUM('Draw #9'!E37:F37)</f>
        <v>0</v>
      </c>
      <c r="F37" s="105">
        <v>0</v>
      </c>
      <c r="G37" s="104">
        <f>SUM('Draw #9'!G37)+F37</f>
        <v>0</v>
      </c>
      <c r="H37" s="109">
        <f t="shared" si="2"/>
        <v>0</v>
      </c>
      <c r="I37" s="110">
        <v>0</v>
      </c>
      <c r="J37" s="109">
        <f>SUM(I37+'Draw #9'!J37)</f>
        <v>0</v>
      </c>
      <c r="K37" s="101" t="str">
        <f t="shared" si="3"/>
        <v/>
      </c>
    </row>
    <row r="38" spans="1:11" ht="14.1" customHeight="1">
      <c r="A38" s="4">
        <f>'SCHEDULE OF VALUE WORKSHEET'!A35</f>
        <v>29</v>
      </c>
      <c r="B38" s="142" t="str">
        <f>'SCHEDULE OF VALUE WORKSHEET'!B35</f>
        <v>Demo Permit Fees</v>
      </c>
      <c r="C38" s="143"/>
      <c r="D38" s="104">
        <f>SUM('SCHEDULE OF VALUE WORKSHEET'!E35)</f>
        <v>500</v>
      </c>
      <c r="E38" s="104">
        <f>SUM('Draw #9'!E38:F38)</f>
        <v>0</v>
      </c>
      <c r="F38" s="105">
        <v>0</v>
      </c>
      <c r="G38" s="104">
        <f>SUM('Draw #9'!G38)+F38</f>
        <v>500</v>
      </c>
      <c r="H38" s="109">
        <f t="shared" si="2"/>
        <v>500</v>
      </c>
      <c r="I38" s="110">
        <v>0</v>
      </c>
      <c r="J38" s="109">
        <f>SUM(I38+'Draw #9'!J38)</f>
        <v>0</v>
      </c>
      <c r="K38" s="101" t="str">
        <f t="shared" si="3"/>
        <v/>
      </c>
    </row>
    <row r="39" spans="1:11" ht="14.1" customHeight="1">
      <c r="A39" s="4">
        <f>'SCHEDULE OF VALUE WORKSHEET'!A36</f>
        <v>30</v>
      </c>
      <c r="B39" s="142" t="str">
        <f>'SCHEDULE OF VALUE WORKSHEET'!B36</f>
        <v>MEP Fees</v>
      </c>
      <c r="C39" s="143"/>
      <c r="D39" s="104">
        <f>SUM('SCHEDULE OF VALUE WORKSHEET'!E36)</f>
        <v>0</v>
      </c>
      <c r="E39" s="104">
        <f>SUM('Draw #9'!E39:F39)</f>
        <v>0</v>
      </c>
      <c r="F39" s="105">
        <v>0</v>
      </c>
      <c r="G39" s="104">
        <f>SUM('Draw #9'!G39)+F39</f>
        <v>0</v>
      </c>
      <c r="H39" s="109">
        <f t="shared" si="2"/>
        <v>0</v>
      </c>
      <c r="I39" s="110">
        <v>0</v>
      </c>
      <c r="J39" s="109">
        <f>SUM(I39+'Draw #9'!J39)</f>
        <v>0</v>
      </c>
      <c r="K39" s="101" t="str">
        <f t="shared" si="3"/>
        <v/>
      </c>
    </row>
    <row r="40" spans="1:11" ht="14.1" customHeight="1">
      <c r="A40" s="4">
        <f>'SCHEDULE OF VALUE WORKSHEET'!A37</f>
        <v>31</v>
      </c>
      <c r="B40" s="142" t="str">
        <f>'SCHEDULE OF VALUE WORKSHEET'!B37</f>
        <v>Agency Signoffs</v>
      </c>
      <c r="C40" s="143"/>
      <c r="D40" s="104">
        <f>SUM('SCHEDULE OF VALUE WORKSHEET'!E37)</f>
        <v>0</v>
      </c>
      <c r="E40" s="104">
        <f>SUM('Draw #9'!E40:F40)</f>
        <v>0</v>
      </c>
      <c r="F40" s="105">
        <v>0</v>
      </c>
      <c r="G40" s="104">
        <f>SUM('Draw #9'!G40)+F40</f>
        <v>0</v>
      </c>
      <c r="H40" s="109">
        <f t="shared" si="2"/>
        <v>0</v>
      </c>
      <c r="I40" s="110">
        <v>0</v>
      </c>
      <c r="J40" s="109">
        <f>SUM(I40+'Draw #9'!J40)</f>
        <v>0</v>
      </c>
      <c r="K40" s="101" t="str">
        <f t="shared" si="3"/>
        <v/>
      </c>
    </row>
    <row r="41" spans="1:11" ht="14.1" customHeight="1">
      <c r="A41" s="4">
        <f>'SCHEDULE OF VALUE WORKSHEET'!A38</f>
        <v>32</v>
      </c>
      <c r="B41" s="142" t="str">
        <f>'SCHEDULE OF VALUE WORKSHEET'!B38</f>
        <v>Specifications Writer Consultant</v>
      </c>
      <c r="C41" s="143"/>
      <c r="D41" s="104">
        <f>SUM('SCHEDULE OF VALUE WORKSHEET'!E38)</f>
        <v>2000</v>
      </c>
      <c r="E41" s="104">
        <f>SUM('Draw #9'!E41:F41)</f>
        <v>0</v>
      </c>
      <c r="F41" s="105">
        <v>0</v>
      </c>
      <c r="G41" s="104">
        <f>SUM('Draw #9'!G41)+F41</f>
        <v>2000</v>
      </c>
      <c r="H41" s="109">
        <f t="shared" si="2"/>
        <v>2000</v>
      </c>
      <c r="I41" s="110">
        <v>0</v>
      </c>
      <c r="J41" s="109">
        <f>SUM(I41+'Draw #9'!J41)</f>
        <v>0</v>
      </c>
      <c r="K41" s="101" t="str">
        <f t="shared" si="3"/>
        <v/>
      </c>
    </row>
    <row r="42" spans="1:11" ht="14.1" customHeight="1">
      <c r="A42" s="4">
        <f>'SCHEDULE OF VALUE WORKSHEET'!A39</f>
        <v>33</v>
      </c>
      <c r="B42" s="142" t="str">
        <f>'SCHEDULE OF VALUE WORKSHEET'!B39</f>
        <v>Construction Consultant</v>
      </c>
      <c r="C42" s="143"/>
      <c r="D42" s="104">
        <f>SUM('SCHEDULE OF VALUE WORKSHEET'!E39)</f>
        <v>0</v>
      </c>
      <c r="E42" s="104">
        <f>SUM('Draw #9'!E42:F42)</f>
        <v>0</v>
      </c>
      <c r="F42" s="105">
        <v>0</v>
      </c>
      <c r="G42" s="104">
        <f>SUM('Draw #9'!G42)+F42</f>
        <v>0</v>
      </c>
      <c r="H42" s="109">
        <f t="shared" si="2"/>
        <v>0</v>
      </c>
      <c r="I42" s="110">
        <v>0</v>
      </c>
      <c r="J42" s="109">
        <f>SUM(I42+'Draw #9'!J42)</f>
        <v>0</v>
      </c>
      <c r="K42" s="101" t="str">
        <f t="shared" si="3"/>
        <v/>
      </c>
    </row>
    <row r="43" spans="1:11" ht="14.1" customHeight="1">
      <c r="A43" s="4">
        <f>'SCHEDULE OF VALUE WORKSHEET'!A40</f>
        <v>34</v>
      </c>
      <c r="B43" s="142" t="str">
        <f>'SCHEDULE OF VALUE WORKSHEET'!B40</f>
        <v>Low Voltage Consultant</v>
      </c>
      <c r="C43" s="143"/>
      <c r="D43" s="104">
        <f>SUM('SCHEDULE OF VALUE WORKSHEET'!E40)</f>
        <v>15524</v>
      </c>
      <c r="E43" s="104">
        <f>SUM('Draw #9'!E43:F43)</f>
        <v>0</v>
      </c>
      <c r="F43" s="105">
        <v>0</v>
      </c>
      <c r="G43" s="104">
        <f>SUM('Draw #9'!G43)+F43</f>
        <v>15524</v>
      </c>
      <c r="H43" s="109">
        <f t="shared" si="2"/>
        <v>15524</v>
      </c>
      <c r="I43" s="110">
        <v>0</v>
      </c>
      <c r="J43" s="109">
        <f>SUM(I43+'Draw #9'!J43)</f>
        <v>0</v>
      </c>
      <c r="K43" s="101" t="str">
        <f t="shared" si="3"/>
        <v/>
      </c>
    </row>
    <row r="44" spans="1:11" ht="14.1" customHeight="1">
      <c r="A44" s="4">
        <f>'SCHEDULE OF VALUE WORKSHEET'!A41</f>
        <v>35</v>
      </c>
      <c r="B44" s="142" t="str">
        <f>'SCHEDULE OF VALUE WORKSHEET'!B41</f>
        <v>Photovoltaic Consultant</v>
      </c>
      <c r="C44" s="143"/>
      <c r="D44" s="104">
        <f>SUM('SCHEDULE OF VALUE WORKSHEET'!E41)</f>
        <v>5000</v>
      </c>
      <c r="E44" s="104">
        <f>SUM('Draw #9'!E44:F44)</f>
        <v>0</v>
      </c>
      <c r="F44" s="105">
        <v>0</v>
      </c>
      <c r="G44" s="104">
        <f>SUM('Draw #9'!G44)+F44</f>
        <v>5000</v>
      </c>
      <c r="H44" s="109">
        <f t="shared" si="2"/>
        <v>5000</v>
      </c>
      <c r="I44" s="110">
        <v>0</v>
      </c>
      <c r="J44" s="109">
        <f>SUM(I44+'Draw #9'!J44)</f>
        <v>0</v>
      </c>
      <c r="K44" s="101" t="str">
        <f t="shared" si="3"/>
        <v/>
      </c>
    </row>
    <row r="45" spans="1:11" ht="14.1" customHeight="1">
      <c r="A45" s="4">
        <f>'SCHEDULE OF VALUE WORKSHEET'!A42</f>
        <v>36</v>
      </c>
      <c r="B45" s="142" t="str">
        <f>'SCHEDULE OF VALUE WORKSHEET'!B42</f>
        <v>Construction Management / Observation (OO)</v>
      </c>
      <c r="C45" s="143"/>
      <c r="D45" s="104">
        <f>SUM('SCHEDULE OF VALUE WORKSHEET'!E42)</f>
        <v>49427.9</v>
      </c>
      <c r="E45" s="104">
        <f>SUM('Draw #9'!E45:F45)</f>
        <v>0</v>
      </c>
      <c r="F45" s="105">
        <v>0</v>
      </c>
      <c r="G45" s="104">
        <f>SUM('Draw #9'!G45)+F45</f>
        <v>49427.9</v>
      </c>
      <c r="H45" s="109">
        <f t="shared" si="2"/>
        <v>49427.9</v>
      </c>
      <c r="I45" s="110">
        <v>0</v>
      </c>
      <c r="J45" s="109">
        <f>SUM(I45+'Draw #9'!J45)</f>
        <v>0</v>
      </c>
      <c r="K45" s="101" t="str">
        <f t="shared" si="3"/>
        <v/>
      </c>
    </row>
    <row r="46" spans="1:11" ht="14.1" customHeight="1">
      <c r="A46" s="4" t="e">
        <f>'SCHEDULE OF VALUE WORKSHEET'!#REF!</f>
        <v>#REF!</v>
      </c>
      <c r="B46" s="142" t="e">
        <f>'SCHEDULE OF VALUE WORKSHEET'!#REF!</f>
        <v>#REF!</v>
      </c>
      <c r="C46" s="143"/>
      <c r="D46" s="104" t="e">
        <f>SUM('SCHEDULE OF VALUE WORKSHEET'!#REF!)</f>
        <v>#REF!</v>
      </c>
      <c r="E46" s="104">
        <f>SUM('Draw #9'!E46:F46)</f>
        <v>0</v>
      </c>
      <c r="F46" s="105">
        <v>0</v>
      </c>
      <c r="G46" s="104" t="e">
        <f>SUM('Draw #9'!G46)+F46</f>
        <v>#REF!</v>
      </c>
      <c r="H46" s="109" t="e">
        <f t="shared" si="2"/>
        <v>#REF!</v>
      </c>
      <c r="I46" s="110">
        <v>0</v>
      </c>
      <c r="J46" s="109">
        <f>SUM(I46+'Draw #9'!J46)</f>
        <v>0</v>
      </c>
      <c r="K46" s="101" t="str">
        <f t="shared" si="3"/>
        <v/>
      </c>
    </row>
    <row r="47" spans="1:11" ht="14.1" customHeight="1">
      <c r="A47" s="4">
        <f>'SCHEDULE OF VALUE WORKSHEET'!A43</f>
        <v>37</v>
      </c>
      <c r="B47" s="142" t="str">
        <f>'SCHEDULE OF VALUE WORKSHEET'!B43</f>
        <v>CMFA Startup Fee</v>
      </c>
      <c r="C47" s="143"/>
      <c r="D47" s="104">
        <f>SUM('SCHEDULE OF VALUE WORKSHEET'!E43)</f>
        <v>22800</v>
      </c>
      <c r="E47" s="104">
        <f>SUM('Draw #9'!E47:F47)</f>
        <v>0</v>
      </c>
      <c r="F47" s="105">
        <v>0</v>
      </c>
      <c r="G47" s="104">
        <f>SUM('Draw #9'!G47)+F47</f>
        <v>22800</v>
      </c>
      <c r="H47" s="109">
        <f t="shared" si="2"/>
        <v>22800</v>
      </c>
      <c r="I47" s="110">
        <v>0</v>
      </c>
      <c r="J47" s="109">
        <f>SUM(I47+'Draw #9'!J47)</f>
        <v>0</v>
      </c>
      <c r="K47" s="101" t="str">
        <f t="shared" si="3"/>
        <v/>
      </c>
    </row>
    <row r="48" spans="1:11" ht="14.1" customHeight="1">
      <c r="A48" s="4">
        <f>'SCHEDULE OF VALUE WORKSHEET'!A44</f>
        <v>38</v>
      </c>
      <c r="B48" s="142" t="str">
        <f>'SCHEDULE OF VALUE WORKSHEET'!B44</f>
        <v>Non-Profit Start Up Fee</v>
      </c>
      <c r="C48" s="143"/>
      <c r="D48" s="104">
        <f>SUM('SCHEDULE OF VALUE WORKSHEET'!E44)</f>
        <v>25000</v>
      </c>
      <c r="E48" s="104">
        <f>SUM('Draw #9'!E48:F48)</f>
        <v>0</v>
      </c>
      <c r="F48" s="105">
        <v>0</v>
      </c>
      <c r="G48" s="104">
        <f>SUM('Draw #9'!G48)+F48</f>
        <v>25000</v>
      </c>
      <c r="H48" s="109">
        <f t="shared" si="2"/>
        <v>25000</v>
      </c>
      <c r="I48" s="110">
        <v>0</v>
      </c>
      <c r="J48" s="109">
        <f>SUM(I48+'Draw #9'!J48)</f>
        <v>0</v>
      </c>
      <c r="K48" s="101" t="str">
        <f t="shared" si="3"/>
        <v/>
      </c>
    </row>
    <row r="49" spans="1:11" ht="14.1" customHeight="1">
      <c r="A49" s="4">
        <f>'SCHEDULE OF VALUE WORKSHEET'!A45</f>
        <v>39</v>
      </c>
      <c r="B49" s="142" t="str">
        <f>'SCHEDULE OF VALUE WORKSHEET'!B45</f>
        <v>CMFA Construction Fee</v>
      </c>
      <c r="C49" s="143"/>
      <c r="D49" s="104">
        <f>SUM('SCHEDULE OF VALUE WORKSHEET'!E45)</f>
        <v>12000</v>
      </c>
      <c r="E49" s="104">
        <f>SUM('Draw #9'!E49:F49)</f>
        <v>0</v>
      </c>
      <c r="F49" s="105">
        <v>0</v>
      </c>
      <c r="G49" s="104">
        <f>SUM('Draw #9'!G49)+F49</f>
        <v>12000</v>
      </c>
      <c r="H49" s="109">
        <f t="shared" si="2"/>
        <v>12000</v>
      </c>
      <c r="I49" s="110">
        <v>0</v>
      </c>
      <c r="J49" s="109">
        <f>SUM(I49+'Draw #9'!J49)</f>
        <v>0</v>
      </c>
      <c r="K49" s="101" t="str">
        <f t="shared" si="3"/>
        <v/>
      </c>
    </row>
    <row r="50" spans="1:11" ht="14.1" customHeight="1">
      <c r="A50" s="4">
        <f>'SCHEDULE OF VALUE WORKSHEET'!A46</f>
        <v>40</v>
      </c>
      <c r="B50" s="142" t="str">
        <f>'SCHEDULE OF VALUE WORKSHEET'!B46</f>
        <v>Non-Profit Construction Fee</v>
      </c>
      <c r="C50" s="143"/>
      <c r="D50" s="104">
        <f>SUM('SCHEDULE OF VALUE WORKSHEET'!E46)</f>
        <v>10000</v>
      </c>
      <c r="E50" s="104">
        <f>SUM('Draw #9'!E50:F50)</f>
        <v>0</v>
      </c>
      <c r="F50" s="105">
        <v>0</v>
      </c>
      <c r="G50" s="104">
        <f>SUM('Draw #9'!G50)+F50</f>
        <v>10000</v>
      </c>
      <c r="H50" s="109">
        <f t="shared" si="2"/>
        <v>10000</v>
      </c>
      <c r="I50" s="110">
        <v>0</v>
      </c>
      <c r="J50" s="109">
        <f>SUM(I50+'Draw #9'!J50)</f>
        <v>0</v>
      </c>
      <c r="K50" s="101" t="str">
        <f t="shared" si="3"/>
        <v/>
      </c>
    </row>
    <row r="51" spans="1:11" ht="14.1" customHeight="1">
      <c r="A51" s="4">
        <f>'SCHEDULE OF VALUE WORKSHEET'!A47</f>
        <v>41</v>
      </c>
      <c r="B51" s="142" t="str">
        <f>'SCHEDULE OF VALUE WORKSHEET'!B47</f>
        <v>WTE Legal Costs for CMFA &amp; Non-Profit Partner</v>
      </c>
      <c r="C51" s="143"/>
      <c r="D51" s="104">
        <f>SUM('SCHEDULE OF VALUE WORKSHEET'!E47)</f>
        <v>20000</v>
      </c>
      <c r="E51" s="104">
        <f>SUM('Draw #9'!E51:F51)</f>
        <v>0</v>
      </c>
      <c r="F51" s="105">
        <v>0</v>
      </c>
      <c r="G51" s="104">
        <f>SUM('Draw #9'!G51)+F51</f>
        <v>20000</v>
      </c>
      <c r="H51" s="109">
        <f t="shared" si="2"/>
        <v>20000</v>
      </c>
      <c r="I51" s="110">
        <v>0</v>
      </c>
      <c r="J51" s="109">
        <f>SUM(I51+'Draw #9'!J51)</f>
        <v>0</v>
      </c>
      <c r="K51" s="101" t="str">
        <f t="shared" si="3"/>
        <v/>
      </c>
    </row>
    <row r="52" spans="1:11" ht="14.1" customHeight="1">
      <c r="A52" s="4" t="e">
        <f>'SCHEDULE OF VALUE WORKSHEET'!#REF!</f>
        <v>#REF!</v>
      </c>
      <c r="B52" s="142" t="e">
        <f>'SCHEDULE OF VALUE WORKSHEET'!#REF!</f>
        <v>#REF!</v>
      </c>
      <c r="C52" s="143"/>
      <c r="D52" s="104" t="e">
        <f>SUM('SCHEDULE OF VALUE WORKSHEET'!#REF!)</f>
        <v>#REF!</v>
      </c>
      <c r="E52" s="104">
        <f>SUM('Draw #9'!E52:F52)</f>
        <v>0</v>
      </c>
      <c r="F52" s="105">
        <v>0</v>
      </c>
      <c r="G52" s="104" t="e">
        <f>SUM('Draw #9'!G52)+F52</f>
        <v>#REF!</v>
      </c>
      <c r="H52" s="109" t="e">
        <f t="shared" si="2"/>
        <v>#REF!</v>
      </c>
      <c r="I52" s="110">
        <v>0</v>
      </c>
      <c r="J52" s="109">
        <f>SUM(I52+'Draw #9'!J52)</f>
        <v>0</v>
      </c>
      <c r="K52" s="101" t="str">
        <f t="shared" si="3"/>
        <v/>
      </c>
    </row>
    <row r="53" spans="1:11" ht="14.1" customHeight="1">
      <c r="A53" s="4">
        <f>'SCHEDULE OF VALUE WORKSHEET'!A49</f>
        <v>43</v>
      </c>
      <c r="B53" s="142" t="str">
        <f>'SCHEDULE OF VALUE WORKSHEET'!B49</f>
        <v>GENERAL CONDITIONS</v>
      </c>
      <c r="C53" s="143"/>
      <c r="D53" s="104">
        <f>SUM('SCHEDULE OF VALUE WORKSHEET'!E49)</f>
        <v>362115.24</v>
      </c>
      <c r="E53" s="104">
        <f>SUM('Draw #9'!E53:F53)</f>
        <v>0</v>
      </c>
      <c r="F53" s="105">
        <v>0</v>
      </c>
      <c r="G53" s="104">
        <f>SUM('Draw #9'!G53)+F53</f>
        <v>362115.24</v>
      </c>
      <c r="H53" s="109">
        <f t="shared" si="2"/>
        <v>362115.24</v>
      </c>
      <c r="I53" s="110">
        <v>0</v>
      </c>
      <c r="J53" s="109">
        <f>SUM(I53+'Draw #9'!J53)</f>
        <v>0</v>
      </c>
      <c r="K53" s="101" t="str">
        <f t="shared" si="3"/>
        <v/>
      </c>
    </row>
    <row r="54" spans="1:11" ht="14.1" customHeight="1">
      <c r="A54" s="4">
        <f>'SCHEDULE OF VALUE WORKSHEET'!A50</f>
        <v>44</v>
      </c>
      <c r="B54" s="142" t="str">
        <f>'SCHEDULE OF VALUE WORKSHEET'!B50</f>
        <v>GENERAL REQUIREMENT</v>
      </c>
      <c r="C54" s="143"/>
      <c r="D54" s="104">
        <f>SUM('SCHEDULE OF VALUE WORKSHEET'!E50)</f>
        <v>124657.88</v>
      </c>
      <c r="E54" s="104">
        <f>SUM('Draw #9'!E54:F54)</f>
        <v>0</v>
      </c>
      <c r="F54" s="105">
        <v>0</v>
      </c>
      <c r="G54" s="104">
        <f>SUM('Draw #9'!G54)+F54</f>
        <v>124657.88</v>
      </c>
      <c r="H54" s="109">
        <f t="shared" si="2"/>
        <v>124657.88</v>
      </c>
      <c r="I54" s="110">
        <v>0</v>
      </c>
      <c r="J54" s="109">
        <f>SUM(I54+'Draw #9'!J54)</f>
        <v>0</v>
      </c>
      <c r="K54" s="101" t="str">
        <f t="shared" si="3"/>
        <v/>
      </c>
    </row>
    <row r="55" spans="1:11" ht="14.1" customHeight="1">
      <c r="A55" s="4">
        <f>'SCHEDULE OF VALUE WORKSHEET'!A51</f>
        <v>45</v>
      </c>
      <c r="B55" s="142" t="str">
        <f>'SCHEDULE OF VALUE WORKSHEET'!B51</f>
        <v>SITE WORK</v>
      </c>
      <c r="C55" s="143"/>
      <c r="D55" s="104">
        <f>SUM('SCHEDULE OF VALUE WORKSHEET'!E51)</f>
        <v>139049.51</v>
      </c>
      <c r="E55" s="104">
        <f>SUM('Draw #9'!E55:F55)</f>
        <v>0</v>
      </c>
      <c r="F55" s="105">
        <v>0</v>
      </c>
      <c r="G55" s="104">
        <f>SUM('Draw #9'!G55)+F55</f>
        <v>139049.51</v>
      </c>
      <c r="H55" s="109">
        <f t="shared" si="2"/>
        <v>139049.51</v>
      </c>
      <c r="I55" s="110">
        <v>0</v>
      </c>
      <c r="J55" s="109">
        <f>SUM(I55+'Draw #9'!J55)</f>
        <v>0</v>
      </c>
      <c r="K55" s="101" t="str">
        <f t="shared" si="3"/>
        <v/>
      </c>
    </row>
    <row r="56" spans="1:11" ht="14.1" customHeight="1">
      <c r="A56" s="4">
        <f>'SCHEDULE OF VALUE WORKSHEET'!A52</f>
        <v>46</v>
      </c>
      <c r="B56" s="142" t="str">
        <f>'SCHEDULE OF VALUE WORKSHEET'!B52</f>
        <v>CONCRETE</v>
      </c>
      <c r="C56" s="143"/>
      <c r="D56" s="104">
        <f>SUM('SCHEDULE OF VALUE WORKSHEET'!E52)</f>
        <v>253182</v>
      </c>
      <c r="E56" s="104">
        <f>SUM('Draw #9'!E56:F56)</f>
        <v>0</v>
      </c>
      <c r="F56" s="105">
        <v>0</v>
      </c>
      <c r="G56" s="104">
        <f>SUM('Draw #9'!G56)+F56</f>
        <v>253182</v>
      </c>
      <c r="H56" s="109">
        <f t="shared" si="2"/>
        <v>253182</v>
      </c>
      <c r="I56" s="110">
        <v>0</v>
      </c>
      <c r="J56" s="109">
        <f>SUM(I56+'Draw #9'!J56)</f>
        <v>0</v>
      </c>
      <c r="K56" s="101" t="str">
        <f t="shared" si="3"/>
        <v/>
      </c>
    </row>
    <row r="57" spans="1:11" ht="14.1" customHeight="1">
      <c r="A57" s="4">
        <f>'SCHEDULE OF VALUE WORKSHEET'!A53</f>
        <v>47</v>
      </c>
      <c r="B57" s="142" t="str">
        <f>'SCHEDULE OF VALUE WORKSHEET'!B53</f>
        <v>MASONRY</v>
      </c>
      <c r="C57" s="143"/>
      <c r="D57" s="104">
        <f>SUM('SCHEDULE OF VALUE WORKSHEET'!E53)</f>
        <v>3562.64</v>
      </c>
      <c r="E57" s="104">
        <f>SUM('Draw #9'!E57:F57)</f>
        <v>0</v>
      </c>
      <c r="F57" s="105">
        <v>0</v>
      </c>
      <c r="G57" s="104">
        <f>SUM('Draw #9'!G57)+F57</f>
        <v>3562.64</v>
      </c>
      <c r="H57" s="109">
        <f t="shared" si="2"/>
        <v>3562.64</v>
      </c>
      <c r="I57" s="110">
        <v>0</v>
      </c>
      <c r="J57" s="109">
        <f>SUM(I57+'Draw #9'!J57)</f>
        <v>0</v>
      </c>
      <c r="K57" s="101" t="str">
        <f t="shared" si="3"/>
        <v/>
      </c>
    </row>
    <row r="58" spans="1:11" ht="14.1" customHeight="1">
      <c r="A58" s="4">
        <f>'SCHEDULE OF VALUE WORKSHEET'!A54</f>
        <v>48</v>
      </c>
      <c r="B58" s="142" t="str">
        <f>'SCHEDULE OF VALUE WORKSHEET'!B54</f>
        <v>METALS</v>
      </c>
      <c r="C58" s="143"/>
      <c r="D58" s="104">
        <f>SUM('SCHEDULE OF VALUE WORKSHEET'!E54)</f>
        <v>324100</v>
      </c>
      <c r="E58" s="104">
        <f>SUM('Draw #9'!E58:F58)</f>
        <v>0</v>
      </c>
      <c r="F58" s="105">
        <v>0</v>
      </c>
      <c r="G58" s="104">
        <f>SUM('Draw #9'!G58)+F58</f>
        <v>324100</v>
      </c>
      <c r="H58" s="109">
        <f t="shared" si="2"/>
        <v>324100</v>
      </c>
      <c r="I58" s="110">
        <v>0</v>
      </c>
      <c r="J58" s="109">
        <f>SUM(I58+'Draw #9'!J58)</f>
        <v>0</v>
      </c>
      <c r="K58" s="101" t="str">
        <f t="shared" si="3"/>
        <v/>
      </c>
    </row>
    <row r="59" spans="1:11" ht="14.1" customHeight="1">
      <c r="A59" s="4">
        <f>'SCHEDULE OF VALUE WORKSHEET'!A55</f>
        <v>49</v>
      </c>
      <c r="B59" s="142" t="str">
        <f>'SCHEDULE OF VALUE WORKSHEET'!B55</f>
        <v>FRAMING</v>
      </c>
      <c r="C59" s="143"/>
      <c r="D59" s="104">
        <f>SUM('SCHEDULE OF VALUE WORKSHEET'!E55)</f>
        <v>818554</v>
      </c>
      <c r="E59" s="104">
        <f>SUM('Draw #9'!E59:F59)</f>
        <v>0</v>
      </c>
      <c r="F59" s="105">
        <v>0</v>
      </c>
      <c r="G59" s="104">
        <f>SUM('Draw #9'!G59)+F59</f>
        <v>818554</v>
      </c>
      <c r="H59" s="109">
        <f t="shared" si="2"/>
        <v>818554</v>
      </c>
      <c r="I59" s="110">
        <v>0</v>
      </c>
      <c r="J59" s="109">
        <f>SUM(I59+'Draw #9'!J59)</f>
        <v>0</v>
      </c>
      <c r="K59" s="101" t="str">
        <f t="shared" si="3"/>
        <v/>
      </c>
    </row>
    <row r="60" spans="1:11" ht="14.1" customHeight="1">
      <c r="A60" s="4">
        <f>'SCHEDULE OF VALUE WORKSHEET'!A56</f>
        <v>50</v>
      </c>
      <c r="B60" s="142" t="str">
        <f>'SCHEDULE OF VALUE WORKSHEET'!B56</f>
        <v>COUNTERTOPS</v>
      </c>
      <c r="C60" s="143"/>
      <c r="D60" s="104">
        <f>SUM('SCHEDULE OF VALUE WORKSHEET'!E56)</f>
        <v>56930</v>
      </c>
      <c r="E60" s="104">
        <f>SUM('Draw #9'!E60:F60)</f>
        <v>0</v>
      </c>
      <c r="F60" s="105">
        <v>0</v>
      </c>
      <c r="G60" s="104">
        <f>SUM('Draw #9'!G60)+F60</f>
        <v>56930</v>
      </c>
      <c r="H60" s="109">
        <f t="shared" si="2"/>
        <v>56930</v>
      </c>
      <c r="I60" s="110">
        <v>0</v>
      </c>
      <c r="J60" s="109">
        <f>SUM(I60+'Draw #9'!J60)</f>
        <v>0</v>
      </c>
      <c r="K60" s="101" t="str">
        <f t="shared" si="3"/>
        <v/>
      </c>
    </row>
    <row r="61" spans="1:11" ht="14.1" customHeight="1">
      <c r="A61" s="4">
        <f>'SCHEDULE OF VALUE WORKSHEET'!A57</f>
        <v>51</v>
      </c>
      <c r="B61" s="142" t="str">
        <f>'SCHEDULE OF VALUE WORKSHEET'!B57</f>
        <v>CABINETS</v>
      </c>
      <c r="C61" s="143"/>
      <c r="D61" s="104">
        <f>SUM('SCHEDULE OF VALUE WORKSHEET'!E57)</f>
        <v>56930</v>
      </c>
      <c r="E61" s="104">
        <f>SUM('Draw #9'!E61:F61)</f>
        <v>0</v>
      </c>
      <c r="F61" s="105">
        <v>0</v>
      </c>
      <c r="G61" s="104">
        <f>SUM('Draw #9'!G61)+F61</f>
        <v>56930</v>
      </c>
      <c r="H61" s="109">
        <f t="shared" si="2"/>
        <v>56930</v>
      </c>
      <c r="I61" s="110">
        <v>0</v>
      </c>
      <c r="J61" s="109">
        <f>SUM(I61+'Draw #9'!J61)</f>
        <v>0</v>
      </c>
      <c r="K61" s="101" t="str">
        <f t="shared" si="3"/>
        <v/>
      </c>
    </row>
    <row r="62" spans="1:11" ht="14.1" customHeight="1">
      <c r="A62" s="4">
        <f>'SCHEDULE OF VALUE WORKSHEET'!A58</f>
        <v>52</v>
      </c>
      <c r="B62" s="142" t="str">
        <f>'SCHEDULE OF VALUE WORKSHEET'!B58</f>
        <v>THERMAL MOISTURE PROTECTION</v>
      </c>
      <c r="C62" s="143"/>
      <c r="D62" s="104">
        <f>SUM('SCHEDULE OF VALUE WORKSHEET'!E58)</f>
        <v>173148</v>
      </c>
      <c r="E62" s="104">
        <f>SUM('Draw #9'!E62:F62)</f>
        <v>0</v>
      </c>
      <c r="F62" s="105">
        <v>0</v>
      </c>
      <c r="G62" s="104">
        <f>SUM('Draw #9'!G62)+F62</f>
        <v>173148</v>
      </c>
      <c r="H62" s="109">
        <f t="shared" si="2"/>
        <v>173148</v>
      </c>
      <c r="I62" s="110">
        <v>0</v>
      </c>
      <c r="J62" s="109">
        <f>SUM(I62+'Draw #9'!J62)</f>
        <v>0</v>
      </c>
      <c r="K62" s="101" t="str">
        <f t="shared" si="3"/>
        <v/>
      </c>
    </row>
    <row r="63" spans="1:11" ht="14.1" customHeight="1">
      <c r="A63" s="4">
        <f>'SCHEDULE OF VALUE WORKSHEET'!A59</f>
        <v>53</v>
      </c>
      <c r="B63" s="142" t="str">
        <f>'SCHEDULE OF VALUE WORKSHEET'!B59</f>
        <v>DOORS</v>
      </c>
      <c r="C63" s="143"/>
      <c r="D63" s="104">
        <f>SUM('SCHEDULE OF VALUE WORKSHEET'!E59)</f>
        <v>204087.33</v>
      </c>
      <c r="E63" s="104">
        <f>SUM('Draw #9'!E63:F63)</f>
        <v>0</v>
      </c>
      <c r="F63" s="105">
        <v>0</v>
      </c>
      <c r="G63" s="104">
        <f>SUM('Draw #9'!G63)+F63</f>
        <v>204087.33</v>
      </c>
      <c r="H63" s="109">
        <f t="shared" si="2"/>
        <v>204087.33</v>
      </c>
      <c r="I63" s="110">
        <v>0</v>
      </c>
      <c r="J63" s="109">
        <f>SUM(I63+'Draw #9'!J63)</f>
        <v>0</v>
      </c>
      <c r="K63" s="101" t="str">
        <f t="shared" si="3"/>
        <v/>
      </c>
    </row>
    <row r="64" spans="1:11" ht="14.1" customHeight="1">
      <c r="A64" s="4">
        <f>'SCHEDULE OF VALUE WORKSHEET'!A60</f>
        <v>54</v>
      </c>
      <c r="B64" s="142" t="str">
        <f>'SCHEDULE OF VALUE WORKSHEET'!B60</f>
        <v>WINDOWS</v>
      </c>
      <c r="C64" s="143"/>
      <c r="D64" s="104">
        <f>SUM('SCHEDULE OF VALUE WORKSHEET'!E60)</f>
        <v>106274.25</v>
      </c>
      <c r="E64" s="104">
        <f>SUM('Draw #9'!E64:F64)</f>
        <v>0</v>
      </c>
      <c r="F64" s="105">
        <v>0</v>
      </c>
      <c r="G64" s="104">
        <f>SUM('Draw #9'!G64)+F64</f>
        <v>106274.25</v>
      </c>
      <c r="H64" s="109">
        <f t="shared" si="2"/>
        <v>106274.25</v>
      </c>
      <c r="I64" s="110">
        <v>0</v>
      </c>
      <c r="J64" s="109">
        <f>SUM(I64+'Draw #9'!J64)</f>
        <v>0</v>
      </c>
      <c r="K64" s="101" t="str">
        <f t="shared" si="3"/>
        <v/>
      </c>
    </row>
    <row r="65" spans="1:11" ht="14.1" customHeight="1">
      <c r="A65" s="4">
        <f>'SCHEDULE OF VALUE WORKSHEET'!A61</f>
        <v>55</v>
      </c>
      <c r="B65" s="142" t="str">
        <f>'SCHEDULE OF VALUE WORKSHEET'!B61</f>
        <v>STUCCO</v>
      </c>
      <c r="C65" s="143"/>
      <c r="D65" s="104">
        <f>SUM('SCHEDULE OF VALUE WORKSHEET'!E61)</f>
        <v>208002</v>
      </c>
      <c r="E65" s="104">
        <f>SUM('Draw #9'!E65:F65)</f>
        <v>0</v>
      </c>
      <c r="F65" s="105">
        <v>0</v>
      </c>
      <c r="G65" s="104">
        <f>SUM('Draw #9'!G65)+F65</f>
        <v>208002</v>
      </c>
      <c r="H65" s="109">
        <f t="shared" si="2"/>
        <v>208002</v>
      </c>
      <c r="I65" s="110">
        <v>0</v>
      </c>
      <c r="J65" s="109">
        <f>SUM(I65+'Draw #9'!J65)</f>
        <v>0</v>
      </c>
      <c r="K65" s="101" t="str">
        <f t="shared" si="3"/>
        <v/>
      </c>
    </row>
    <row r="66" spans="1:11" ht="14.1" customHeight="1">
      <c r="A66" s="4">
        <f>'SCHEDULE OF VALUE WORKSHEET'!A62</f>
        <v>56</v>
      </c>
      <c r="B66" s="142" t="str">
        <f>'SCHEDULE OF VALUE WORKSHEET'!B62</f>
        <v>DRYWALL</v>
      </c>
      <c r="C66" s="143"/>
      <c r="D66" s="104">
        <f>SUM('SCHEDULE OF VALUE WORKSHEET'!E62)</f>
        <v>416355</v>
      </c>
      <c r="E66" s="104">
        <f>SUM('Draw #9'!E66:F66)</f>
        <v>0</v>
      </c>
      <c r="F66" s="105">
        <v>0</v>
      </c>
      <c r="G66" s="104">
        <f>SUM('Draw #9'!G66)+F66</f>
        <v>416355</v>
      </c>
      <c r="H66" s="109">
        <f t="shared" si="2"/>
        <v>416355</v>
      </c>
      <c r="I66" s="110">
        <v>0</v>
      </c>
      <c r="J66" s="109">
        <f>SUM(I66+'Draw #9'!J66)</f>
        <v>0</v>
      </c>
      <c r="K66" s="101" t="str">
        <f t="shared" si="3"/>
        <v/>
      </c>
    </row>
    <row r="67" spans="1:11" ht="14.1" customHeight="1">
      <c r="A67" s="4">
        <f>'SCHEDULE OF VALUE WORKSHEET'!A63</f>
        <v>57</v>
      </c>
      <c r="B67" s="142" t="str">
        <f>'SCHEDULE OF VALUE WORKSHEET'!B63</f>
        <v>PAINTING</v>
      </c>
      <c r="C67" s="143"/>
      <c r="D67" s="104">
        <f>SUM('SCHEDULE OF VALUE WORKSHEET'!E63)</f>
        <v>120700</v>
      </c>
      <c r="E67" s="104">
        <f>SUM('Draw #9'!E67:F67)</f>
        <v>0</v>
      </c>
      <c r="F67" s="105">
        <v>0</v>
      </c>
      <c r="G67" s="104">
        <f>SUM('Draw #9'!G67)+F67</f>
        <v>120700</v>
      </c>
      <c r="H67" s="109">
        <f t="shared" si="2"/>
        <v>120700</v>
      </c>
      <c r="I67" s="110">
        <v>0</v>
      </c>
      <c r="J67" s="109">
        <f>SUM(I67+'Draw #9'!J67)</f>
        <v>0</v>
      </c>
      <c r="K67" s="101" t="str">
        <f t="shared" si="3"/>
        <v/>
      </c>
    </row>
    <row r="68" spans="1:11" ht="14.1" customHeight="1">
      <c r="A68" s="4">
        <f>'SCHEDULE OF VALUE WORKSHEET'!A64</f>
        <v>58</v>
      </c>
      <c r="B68" s="142" t="str">
        <f>'SCHEDULE OF VALUE WORKSHEET'!B64</f>
        <v>FLOORING - common areas</v>
      </c>
      <c r="C68" s="143"/>
      <c r="D68" s="104">
        <f>SUM('SCHEDULE OF VALUE WORKSHEET'!E64)</f>
        <v>45150</v>
      </c>
      <c r="E68" s="104">
        <f>SUM('Draw #9'!E68:F68)</f>
        <v>0</v>
      </c>
      <c r="F68" s="105">
        <v>0</v>
      </c>
      <c r="G68" s="104">
        <f>SUM('Draw #9'!G68)+F68</f>
        <v>45150</v>
      </c>
      <c r="H68" s="109">
        <f t="shared" si="2"/>
        <v>45150</v>
      </c>
      <c r="I68" s="110">
        <v>0</v>
      </c>
      <c r="J68" s="109">
        <f>SUM(I68+'Draw #9'!J68)</f>
        <v>0</v>
      </c>
      <c r="K68" s="101" t="str">
        <f t="shared" si="3"/>
        <v/>
      </c>
    </row>
    <row r="69" spans="1:11" ht="14.1" customHeight="1">
      <c r="A69" s="4">
        <f>'SCHEDULE OF VALUE WORKSHEET'!A65</f>
        <v>59</v>
      </c>
      <c r="B69" s="142" t="str">
        <f>'SCHEDULE OF VALUE WORKSHEET'!B65</f>
        <v>FLOORING - Units with baseboards</v>
      </c>
      <c r="C69" s="143"/>
      <c r="D69" s="104">
        <f>SUM('SCHEDULE OF VALUE WORKSHEET'!E65)</f>
        <v>93335</v>
      </c>
      <c r="E69" s="104">
        <f>SUM('Draw #9'!E69:F69)</f>
        <v>0</v>
      </c>
      <c r="F69" s="105">
        <v>0</v>
      </c>
      <c r="G69" s="104">
        <f>SUM('Draw #9'!G69)+F69</f>
        <v>93335</v>
      </c>
      <c r="H69" s="109">
        <f t="shared" si="2"/>
        <v>93335</v>
      </c>
      <c r="I69" s="110">
        <v>0</v>
      </c>
      <c r="J69" s="109">
        <f>SUM(I69+'Draw #9'!J69)</f>
        <v>0</v>
      </c>
      <c r="K69" s="101" t="str">
        <f t="shared" si="3"/>
        <v/>
      </c>
    </row>
    <row r="70" spans="1:11" ht="14.1" customHeight="1">
      <c r="A70" s="4">
        <f>'SCHEDULE OF VALUE WORKSHEET'!A66</f>
        <v>60</v>
      </c>
      <c r="B70" s="142" t="str">
        <f>'SCHEDULE OF VALUE WORKSHEET'!B66</f>
        <v>SPECIALTIES</v>
      </c>
      <c r="C70" s="143"/>
      <c r="D70" s="104">
        <f>SUM('SCHEDULE OF VALUE WORKSHEET'!E66)</f>
        <v>25109.21</v>
      </c>
      <c r="E70" s="104">
        <f>SUM('Draw #9'!E70:F70)</f>
        <v>0</v>
      </c>
      <c r="F70" s="105">
        <v>0</v>
      </c>
      <c r="G70" s="104">
        <f>SUM('Draw #9'!G70)+F70</f>
        <v>25109.21</v>
      </c>
      <c r="H70" s="109">
        <f t="shared" si="2"/>
        <v>25109.21</v>
      </c>
      <c r="I70" s="110">
        <v>0</v>
      </c>
      <c r="J70" s="109">
        <f>SUM(I70+'Draw #9'!J70)</f>
        <v>0</v>
      </c>
      <c r="K70" s="101" t="str">
        <f t="shared" si="3"/>
        <v/>
      </c>
    </row>
    <row r="71" spans="1:11" ht="14.1" customHeight="1">
      <c r="A71" s="4">
        <f>'SCHEDULE OF VALUE WORKSHEET'!A67</f>
        <v>61</v>
      </c>
      <c r="B71" s="142" t="str">
        <f>'SCHEDULE OF VALUE WORKSHEET'!B67</f>
        <v>EQUIPMENT</v>
      </c>
      <c r="C71" s="143"/>
      <c r="D71" s="104">
        <f>SUM('SCHEDULE OF VALUE WORKSHEET'!E67)</f>
        <v>153636</v>
      </c>
      <c r="E71" s="104">
        <f>SUM('Draw #9'!E71:F71)</f>
        <v>0</v>
      </c>
      <c r="F71" s="105">
        <v>0</v>
      </c>
      <c r="G71" s="104">
        <f>SUM('Draw #9'!G71)+F71</f>
        <v>153636</v>
      </c>
      <c r="H71" s="109">
        <f t="shared" si="2"/>
        <v>153636</v>
      </c>
      <c r="I71" s="110">
        <v>0</v>
      </c>
      <c r="J71" s="109">
        <f>SUM(I71+'Draw #9'!J71)</f>
        <v>0</v>
      </c>
      <c r="K71" s="101" t="str">
        <f t="shared" si="3"/>
        <v/>
      </c>
    </row>
    <row r="72" spans="1:11" ht="14.1" customHeight="1">
      <c r="A72" s="4">
        <f>'SCHEDULE OF VALUE WORKSHEET'!A68</f>
        <v>62</v>
      </c>
      <c r="B72" s="142" t="str">
        <f>'SCHEDULE OF VALUE WORKSHEET'!B68</f>
        <v>FURNISHING</v>
      </c>
      <c r="C72" s="143"/>
      <c r="D72" s="104">
        <f>SUM('SCHEDULE OF VALUE WORKSHEET'!E68)</f>
        <v>0</v>
      </c>
      <c r="E72" s="104">
        <f>SUM('Draw #9'!E72:F72)</f>
        <v>0</v>
      </c>
      <c r="F72" s="105">
        <v>0</v>
      </c>
      <c r="G72" s="104">
        <f>SUM('Draw #9'!G72)+F72</f>
        <v>0</v>
      </c>
      <c r="H72" s="109">
        <f t="shared" si="2"/>
        <v>0</v>
      </c>
      <c r="I72" s="110">
        <v>0</v>
      </c>
      <c r="J72" s="109">
        <f>SUM(I72+'Draw #9'!J72)</f>
        <v>0</v>
      </c>
      <c r="K72" s="101" t="str">
        <f t="shared" si="3"/>
        <v/>
      </c>
    </row>
    <row r="73" spans="1:11" ht="14.1" customHeight="1">
      <c r="A73" s="4">
        <f>'SCHEDULE OF VALUE WORKSHEET'!A69</f>
        <v>63</v>
      </c>
      <c r="B73" s="142" t="str">
        <f>'SCHEDULE OF VALUE WORKSHEET'!B69</f>
        <v>FIRE SPRINKLERS</v>
      </c>
      <c r="C73" s="143"/>
      <c r="D73" s="104">
        <f>SUM('SCHEDULE OF VALUE WORKSHEET'!E69)</f>
        <v>108500</v>
      </c>
      <c r="E73" s="104">
        <f>SUM('Draw #9'!E73:F73)</f>
        <v>0</v>
      </c>
      <c r="F73" s="105">
        <v>0</v>
      </c>
      <c r="G73" s="104">
        <f>SUM('Draw #9'!G73)+F73</f>
        <v>108500</v>
      </c>
      <c r="H73" s="109">
        <f t="shared" si="2"/>
        <v>108500</v>
      </c>
      <c r="I73" s="110">
        <v>0</v>
      </c>
      <c r="J73" s="109">
        <f>SUM(I73+'Draw #9'!J73)</f>
        <v>0</v>
      </c>
      <c r="K73" s="101" t="str">
        <f t="shared" si="3"/>
        <v/>
      </c>
    </row>
    <row r="74" spans="1:11" ht="14.1" customHeight="1">
      <c r="A74" s="4">
        <f>'SCHEDULE OF VALUE WORKSHEET'!A70</f>
        <v>64</v>
      </c>
      <c r="B74" s="142" t="str">
        <f>'SCHEDULE OF VALUE WORKSHEET'!B70</f>
        <v>FIRE ALARM</v>
      </c>
      <c r="C74" s="143"/>
      <c r="D74" s="104">
        <f>SUM('SCHEDULE OF VALUE WORKSHEET'!E70)</f>
        <v>68401</v>
      </c>
      <c r="E74" s="104">
        <f>SUM('Draw #9'!E74:F74)</f>
        <v>0</v>
      </c>
      <c r="F74" s="105">
        <v>0</v>
      </c>
      <c r="G74" s="104">
        <f>SUM('Draw #9'!G74)+F74</f>
        <v>68401</v>
      </c>
      <c r="H74" s="109">
        <f t="shared" si="2"/>
        <v>68401</v>
      </c>
      <c r="I74" s="110">
        <v>0</v>
      </c>
      <c r="J74" s="109">
        <f>SUM(I74+'Draw #9'!J74)</f>
        <v>0</v>
      </c>
      <c r="K74" s="101" t="str">
        <f t="shared" si="3"/>
        <v/>
      </c>
    </row>
    <row r="75" spans="1:11" ht="14.1" customHeight="1">
      <c r="A75" s="4">
        <f>'SCHEDULE OF VALUE WORKSHEET'!A71</f>
        <v>65</v>
      </c>
      <c r="B75" s="142" t="str">
        <f>'SCHEDULE OF VALUE WORKSHEET'!B71</f>
        <v>SOLAR PANELS</v>
      </c>
      <c r="C75" s="143"/>
      <c r="D75" s="104">
        <f>SUM('SCHEDULE OF VALUE WORKSHEET'!E71)</f>
        <v>97000</v>
      </c>
      <c r="E75" s="104">
        <f>SUM('Draw #9'!E75:F75)</f>
        <v>0</v>
      </c>
      <c r="F75" s="105">
        <v>0</v>
      </c>
      <c r="G75" s="104">
        <f>SUM('Draw #9'!G75)+F75</f>
        <v>97000</v>
      </c>
      <c r="H75" s="109">
        <f t="shared" ref="H75:H135" si="4">SUM(G75-J75)</f>
        <v>97000</v>
      </c>
      <c r="I75" s="110">
        <v>0</v>
      </c>
      <c r="J75" s="109">
        <f>SUM(I75+'Draw #9'!J75)</f>
        <v>0</v>
      </c>
      <c r="K75" s="101" t="str">
        <f t="shared" ref="K75:K135" si="5">IF(J75=0,"",J75/G75)</f>
        <v/>
      </c>
    </row>
    <row r="76" spans="1:11" ht="14.1" customHeight="1">
      <c r="A76" s="4">
        <f>'SCHEDULE OF VALUE WORKSHEET'!A72</f>
        <v>66</v>
      </c>
      <c r="B76" s="142" t="str">
        <f>'SCHEDULE OF VALUE WORKSHEET'!B72</f>
        <v>SECURITY ACCESS &amp; SURVEILLANCE</v>
      </c>
      <c r="C76" s="143"/>
      <c r="D76" s="104">
        <f>SUM('SCHEDULE OF VALUE WORKSHEET'!E72)</f>
        <v>136430</v>
      </c>
      <c r="E76" s="104">
        <f>SUM('Draw #9'!E76:F76)</f>
        <v>0</v>
      </c>
      <c r="F76" s="105">
        <v>0</v>
      </c>
      <c r="G76" s="104">
        <f>SUM('Draw #9'!G76)+F76</f>
        <v>136430</v>
      </c>
      <c r="H76" s="109">
        <f t="shared" si="4"/>
        <v>136430</v>
      </c>
      <c r="I76" s="110">
        <v>0</v>
      </c>
      <c r="J76" s="109">
        <f>SUM(I76+'Draw #9'!J76)</f>
        <v>0</v>
      </c>
      <c r="K76" s="101" t="str">
        <f t="shared" si="5"/>
        <v/>
      </c>
    </row>
    <row r="77" spans="1:11" ht="14.1" customHeight="1">
      <c r="A77" s="4">
        <f>'SCHEDULE OF VALUE WORKSHEET'!A73</f>
        <v>67</v>
      </c>
      <c r="B77" s="142" t="str">
        <f>'SCHEDULE OF VALUE WORKSHEET'!B73</f>
        <v>ELEVATORS &amp; LIFT</v>
      </c>
      <c r="C77" s="143"/>
      <c r="D77" s="104">
        <f>SUM('SCHEDULE OF VALUE WORKSHEET'!E73)</f>
        <v>174882</v>
      </c>
      <c r="E77" s="104">
        <f>SUM('Draw #9'!E77:F77)</f>
        <v>0</v>
      </c>
      <c r="F77" s="105">
        <v>0</v>
      </c>
      <c r="G77" s="104">
        <f>SUM('Draw #9'!G77)+F77</f>
        <v>174882</v>
      </c>
      <c r="H77" s="109">
        <f t="shared" si="4"/>
        <v>174882</v>
      </c>
      <c r="I77" s="110">
        <v>0</v>
      </c>
      <c r="J77" s="109">
        <f>SUM(I77+'Draw #9'!J77)</f>
        <v>0</v>
      </c>
      <c r="K77" s="101" t="str">
        <f t="shared" si="5"/>
        <v/>
      </c>
    </row>
    <row r="78" spans="1:11" ht="14.1" customHeight="1">
      <c r="A78" s="4">
        <f>'SCHEDULE OF VALUE WORKSHEET'!A74</f>
        <v>68</v>
      </c>
      <c r="B78" s="142" t="str">
        <f>'SCHEDULE OF VALUE WORKSHEET'!B74</f>
        <v>WATER SUBMETER (material)</v>
      </c>
      <c r="C78" s="143"/>
      <c r="D78" s="104">
        <f>SUM('SCHEDULE OF VALUE WORKSHEET'!E74)</f>
        <v>12273</v>
      </c>
      <c r="E78" s="104">
        <f>SUM('Draw #9'!E78:F78)</f>
        <v>0</v>
      </c>
      <c r="F78" s="105">
        <v>0</v>
      </c>
      <c r="G78" s="104">
        <f>SUM('Draw #9'!G78)+F78</f>
        <v>12273</v>
      </c>
      <c r="H78" s="109">
        <f t="shared" si="4"/>
        <v>12273</v>
      </c>
      <c r="I78" s="110">
        <v>0</v>
      </c>
      <c r="J78" s="109">
        <f>SUM(I78+'Draw #9'!J78)</f>
        <v>0</v>
      </c>
      <c r="K78" s="101" t="str">
        <f t="shared" si="5"/>
        <v/>
      </c>
    </row>
    <row r="79" spans="1:11" ht="14.1" customHeight="1">
      <c r="A79" s="4">
        <f>'SCHEDULE OF VALUE WORKSHEET'!A75</f>
        <v>69</v>
      </c>
      <c r="B79" s="142" t="str">
        <f>'SCHEDULE OF VALUE WORKSHEET'!B75</f>
        <v>WATER SUBMETER (labor)</v>
      </c>
      <c r="C79" s="143"/>
      <c r="D79" s="104">
        <f>SUM('SCHEDULE OF VALUE WORKSHEET'!E75)</f>
        <v>0</v>
      </c>
      <c r="E79" s="104">
        <f>SUM('Draw #9'!E79:F79)</f>
        <v>0</v>
      </c>
      <c r="F79" s="105">
        <v>0</v>
      </c>
      <c r="G79" s="104">
        <f>SUM('Draw #9'!G79)+F79</f>
        <v>0</v>
      </c>
      <c r="H79" s="109">
        <f t="shared" si="4"/>
        <v>0</v>
      </c>
      <c r="I79" s="110">
        <v>0</v>
      </c>
      <c r="J79" s="109">
        <f>SUM(I79+'Draw #9'!J79)</f>
        <v>0</v>
      </c>
      <c r="K79" s="101" t="str">
        <f t="shared" si="5"/>
        <v/>
      </c>
    </row>
    <row r="80" spans="1:11" ht="14.1" customHeight="1">
      <c r="A80" s="4">
        <f>'SCHEDULE OF VALUE WORKSHEET'!A76</f>
        <v>70</v>
      </c>
      <c r="B80" s="142" t="str">
        <f>'SCHEDULE OF VALUE WORKSHEET'!B76</f>
        <v>ROUGH PLUMBING</v>
      </c>
      <c r="C80" s="143"/>
      <c r="D80" s="104">
        <f>SUM('SCHEDULE OF VALUE WORKSHEET'!E76)</f>
        <v>751927</v>
      </c>
      <c r="E80" s="104">
        <f>SUM('Draw #9'!E80:F80)</f>
        <v>0</v>
      </c>
      <c r="F80" s="105">
        <v>0</v>
      </c>
      <c r="G80" s="104">
        <f>SUM('Draw #9'!G80)+F80</f>
        <v>751927</v>
      </c>
      <c r="H80" s="109">
        <f t="shared" si="4"/>
        <v>751927</v>
      </c>
      <c r="I80" s="110">
        <v>0</v>
      </c>
      <c r="J80" s="109">
        <f>SUM(I80+'Draw #9'!J80)</f>
        <v>0</v>
      </c>
      <c r="K80" s="101" t="str">
        <f t="shared" si="5"/>
        <v/>
      </c>
    </row>
    <row r="81" spans="1:11" ht="14.1" customHeight="1">
      <c r="A81" s="4">
        <f>'SCHEDULE OF VALUE WORKSHEET'!A77</f>
        <v>71</v>
      </c>
      <c r="B81" s="142" t="str">
        <f>'SCHEDULE OF VALUE WORKSHEET'!B77</f>
        <v>FINISH PLUMBING</v>
      </c>
      <c r="C81" s="143"/>
      <c r="D81" s="104">
        <f>SUM('SCHEDULE OF VALUE WORKSHEET'!E77)</f>
        <v>90000</v>
      </c>
      <c r="E81" s="104">
        <f>SUM('Draw #9'!E81:F81)</f>
        <v>0</v>
      </c>
      <c r="F81" s="105">
        <v>0</v>
      </c>
      <c r="G81" s="104">
        <f>SUM('Draw #9'!G81)+F81</f>
        <v>90000</v>
      </c>
      <c r="H81" s="109">
        <f t="shared" si="4"/>
        <v>90000</v>
      </c>
      <c r="I81" s="110">
        <v>0</v>
      </c>
      <c r="J81" s="109">
        <f>SUM(I81+'Draw #9'!J81)</f>
        <v>0</v>
      </c>
      <c r="K81" s="101" t="str">
        <f t="shared" si="5"/>
        <v/>
      </c>
    </row>
    <row r="82" spans="1:11" ht="14.1" customHeight="1">
      <c r="A82" s="4">
        <f>'SCHEDULE OF VALUE WORKSHEET'!A78</f>
        <v>72</v>
      </c>
      <c r="B82" s="142" t="str">
        <f>'SCHEDULE OF VALUE WORKSHEET'!B78</f>
        <v>HVAC</v>
      </c>
      <c r="C82" s="143"/>
      <c r="D82" s="104">
        <f>SUM('SCHEDULE OF VALUE WORKSHEET'!E78)</f>
        <v>259000</v>
      </c>
      <c r="E82" s="104">
        <f>SUM('Draw #9'!E82:F82)</f>
        <v>0</v>
      </c>
      <c r="F82" s="105">
        <v>0</v>
      </c>
      <c r="G82" s="104">
        <f>SUM('Draw #9'!G82)+F82</f>
        <v>259000</v>
      </c>
      <c r="H82" s="109">
        <f t="shared" si="4"/>
        <v>259000</v>
      </c>
      <c r="I82" s="110">
        <v>0</v>
      </c>
      <c r="J82" s="109">
        <f>SUM(I82+'Draw #9'!J82)</f>
        <v>0</v>
      </c>
      <c r="K82" s="101" t="str">
        <f t="shared" si="5"/>
        <v/>
      </c>
    </row>
    <row r="83" spans="1:11" ht="14.1" customHeight="1">
      <c r="A83" s="4">
        <f>'SCHEDULE OF VALUE WORKSHEET'!A79</f>
        <v>73</v>
      </c>
      <c r="B83" s="142" t="str">
        <f>'SCHEDULE OF VALUE WORKSHEET'!B79</f>
        <v>ELECTRICAL</v>
      </c>
      <c r="C83" s="143"/>
      <c r="D83" s="104">
        <f>SUM('SCHEDULE OF VALUE WORKSHEET'!E79)</f>
        <v>880486.32</v>
      </c>
      <c r="E83" s="104">
        <f>SUM('Draw #9'!E83:F83)</f>
        <v>0</v>
      </c>
      <c r="F83" s="105">
        <v>0</v>
      </c>
      <c r="G83" s="104">
        <f>SUM('Draw #9'!G83)+F83</f>
        <v>880486.32</v>
      </c>
      <c r="H83" s="109">
        <f t="shared" si="4"/>
        <v>880486.32</v>
      </c>
      <c r="I83" s="110">
        <v>0</v>
      </c>
      <c r="J83" s="109">
        <f>SUM(I83+'Draw #9'!J83)</f>
        <v>0</v>
      </c>
      <c r="K83" s="101" t="str">
        <f t="shared" si="5"/>
        <v/>
      </c>
    </row>
    <row r="84" spans="1:11" ht="14.1" customHeight="1">
      <c r="A84" s="4">
        <f>'SCHEDULE OF VALUE WORKSHEET'!A80</f>
        <v>74</v>
      </c>
      <c r="B84" s="142" t="str">
        <f>'SCHEDULE OF VALUE WORKSHEET'!B80</f>
        <v xml:space="preserve">CONTINGENCY </v>
      </c>
      <c r="C84" s="143"/>
      <c r="D84" s="104">
        <f>SUM('SCHEDULE OF VALUE WORKSHEET'!E80)</f>
        <v>529215.20000000007</v>
      </c>
      <c r="E84" s="104">
        <f>SUM('Draw #9'!E84:F84)</f>
        <v>0</v>
      </c>
      <c r="F84" s="105">
        <v>0</v>
      </c>
      <c r="G84" s="104">
        <f>SUM('Draw #9'!G84)+F84</f>
        <v>529215.20000000007</v>
      </c>
      <c r="H84" s="109">
        <f t="shared" si="4"/>
        <v>529215.20000000007</v>
      </c>
      <c r="I84" s="110">
        <v>0</v>
      </c>
      <c r="J84" s="109">
        <f>SUM(I84+'Draw #9'!J84)</f>
        <v>0</v>
      </c>
      <c r="K84" s="101" t="str">
        <f t="shared" si="5"/>
        <v/>
      </c>
    </row>
    <row r="85" spans="1:11" ht="14.1" customHeight="1">
      <c r="A85" s="4">
        <f>'SCHEDULE OF VALUE WORKSHEET'!A81</f>
        <v>75</v>
      </c>
      <c r="B85" s="142" t="str">
        <f>'SCHEDULE OF VALUE WORKSHEET'!B81</f>
        <v>INSURANCE (GL w/auto, workers compl)</v>
      </c>
      <c r="C85" s="143"/>
      <c r="D85" s="104">
        <f>SUM('SCHEDULE OF VALUE WORKSHEET'!E81)</f>
        <v>97177.07</v>
      </c>
      <c r="E85" s="104">
        <f>SUM('Draw #9'!E85:F85)</f>
        <v>0</v>
      </c>
      <c r="F85" s="105">
        <v>0</v>
      </c>
      <c r="G85" s="104">
        <f>SUM('Draw #9'!G85)+F85</f>
        <v>97177.07</v>
      </c>
      <c r="H85" s="109">
        <f t="shared" si="4"/>
        <v>97177.07</v>
      </c>
      <c r="I85" s="110">
        <v>0</v>
      </c>
      <c r="J85" s="109">
        <f>SUM(I85+'Draw #9'!J85)</f>
        <v>0</v>
      </c>
      <c r="K85" s="101" t="str">
        <f t="shared" si="5"/>
        <v/>
      </c>
    </row>
    <row r="86" spans="1:11" ht="14.1" customHeight="1">
      <c r="A86" s="4">
        <f>'SCHEDULE OF VALUE WORKSHEET'!A82</f>
        <v>76</v>
      </c>
      <c r="B86" s="142" t="str">
        <f>'SCHEDULE OF VALUE WORKSHEET'!B82</f>
        <v>GROSS RECEIPT TAX</v>
      </c>
      <c r="C86" s="143"/>
      <c r="D86" s="104">
        <f>SUM('SCHEDULE OF VALUE WORKSHEET'!E82)</f>
        <v>6543.26</v>
      </c>
      <c r="E86" s="104">
        <f>SUM('Draw #9'!E86:F86)</f>
        <v>0</v>
      </c>
      <c r="F86" s="105">
        <v>0</v>
      </c>
      <c r="G86" s="104">
        <f>SUM('Draw #9'!G86)+F86</f>
        <v>6543.26</v>
      </c>
      <c r="H86" s="109">
        <f t="shared" si="4"/>
        <v>6543.26</v>
      </c>
      <c r="I86" s="110">
        <v>0</v>
      </c>
      <c r="J86" s="109">
        <f>SUM(I86+'Draw #9'!J86)</f>
        <v>0</v>
      </c>
      <c r="K86" s="101" t="str">
        <f t="shared" si="5"/>
        <v/>
      </c>
    </row>
    <row r="87" spans="1:11" ht="14.1" customHeight="1">
      <c r="A87" s="4">
        <f>'SCHEDULE OF VALUE WORKSHEET'!A83</f>
        <v>77</v>
      </c>
      <c r="B87" s="142" t="str">
        <f>'SCHEDULE OF VALUE WORKSHEET'!B83</f>
        <v>GC FEE</v>
      </c>
      <c r="C87" s="143"/>
      <c r="D87" s="104">
        <f>SUM('SCHEDULE OF VALUE WORKSHEET'!E83)</f>
        <v>388708.28</v>
      </c>
      <c r="E87" s="104">
        <f>SUM('Draw #9'!E87:F87)</f>
        <v>0</v>
      </c>
      <c r="F87" s="105">
        <v>0</v>
      </c>
      <c r="G87" s="104">
        <f>SUM('Draw #9'!G87)+F87</f>
        <v>388708.28</v>
      </c>
      <c r="H87" s="109">
        <f t="shared" si="4"/>
        <v>388708.28</v>
      </c>
      <c r="I87" s="110">
        <v>0</v>
      </c>
      <c r="J87" s="109">
        <f>SUM(I87+'Draw #9'!J87)</f>
        <v>0</v>
      </c>
      <c r="K87" s="101" t="str">
        <f t="shared" si="5"/>
        <v/>
      </c>
    </row>
    <row r="88" spans="1:11" ht="14.1" customHeight="1">
      <c r="A88" s="4">
        <f>'SCHEDULE OF VALUE WORKSHEET'!A84</f>
        <v>78</v>
      </c>
      <c r="B88" s="142" t="str">
        <f>'SCHEDULE OF VALUE WORKSHEET'!B84</f>
        <v>DEVELOPMENT FEE</v>
      </c>
      <c r="C88" s="143"/>
      <c r="D88" s="104">
        <f>SUM('SCHEDULE OF VALUE WORKSHEET'!E84)</f>
        <v>180523.5</v>
      </c>
      <c r="E88" s="104">
        <f>SUM('Draw #9'!E88:F88)</f>
        <v>0</v>
      </c>
      <c r="F88" s="105">
        <v>0</v>
      </c>
      <c r="G88" s="104">
        <f>SUM('Draw #9'!G88)+F88</f>
        <v>180523.5</v>
      </c>
      <c r="H88" s="109">
        <f t="shared" si="4"/>
        <v>180523.5</v>
      </c>
      <c r="I88" s="110">
        <v>0</v>
      </c>
      <c r="J88" s="109">
        <f>SUM(I88+'Draw #9'!J88)</f>
        <v>0</v>
      </c>
      <c r="K88" s="101" t="str">
        <f t="shared" si="5"/>
        <v/>
      </c>
    </row>
    <row r="89" spans="1:11" ht="14.1" customHeight="1">
      <c r="A89" s="4">
        <f>'SCHEDULE OF VALUE WORKSHEET'!A85</f>
        <v>79</v>
      </c>
      <c r="B89" s="142" t="str">
        <f>'SCHEDULE OF VALUE WORKSHEET'!B85</f>
        <v>CARRYING COSTS</v>
      </c>
      <c r="C89" s="143"/>
      <c r="D89" s="104">
        <f>SUM('SCHEDULE OF VALUE WORKSHEET'!E85)</f>
        <v>92885.53</v>
      </c>
      <c r="E89" s="104">
        <f>SUM('Draw #9'!E89:F89)</f>
        <v>0</v>
      </c>
      <c r="F89" s="105">
        <v>0</v>
      </c>
      <c r="G89" s="104">
        <f>SUM('Draw #9'!G89)+F89</f>
        <v>92885.53</v>
      </c>
      <c r="H89" s="109">
        <f t="shared" si="4"/>
        <v>92885.53</v>
      </c>
      <c r="I89" s="110">
        <v>0</v>
      </c>
      <c r="J89" s="109">
        <f>SUM(I89+'Draw #9'!J89)</f>
        <v>0</v>
      </c>
      <c r="K89" s="101" t="str">
        <f t="shared" si="5"/>
        <v/>
      </c>
    </row>
    <row r="90" spans="1:11" ht="14.1" customHeight="1">
      <c r="A90" s="4">
        <f>'SCHEDULE OF VALUE WORKSHEET'!A86</f>
        <v>80</v>
      </c>
      <c r="B90" s="142" t="str">
        <f>'SCHEDULE OF VALUE WORKSHEET'!B86</f>
        <v>FINANCING COSTS</v>
      </c>
      <c r="C90" s="143"/>
      <c r="D90" s="104">
        <f>SUM('SCHEDULE OF VALUE WORKSHEET'!E86)</f>
        <v>0</v>
      </c>
      <c r="E90" s="104">
        <f>SUM('Draw #9'!E90:F90)</f>
        <v>0</v>
      </c>
      <c r="F90" s="105">
        <v>0</v>
      </c>
      <c r="G90" s="104">
        <f>SUM('Draw #9'!G90)+F90</f>
        <v>0</v>
      </c>
      <c r="H90" s="109">
        <f t="shared" si="4"/>
        <v>0</v>
      </c>
      <c r="I90" s="110">
        <v>0</v>
      </c>
      <c r="J90" s="109">
        <f>SUM(I90+'Draw #9'!J90)</f>
        <v>0</v>
      </c>
      <c r="K90" s="101" t="str">
        <f t="shared" si="5"/>
        <v/>
      </c>
    </row>
    <row r="91" spans="1:11" ht="14.1" customHeight="1">
      <c r="A91" s="4" t="e">
        <f>'SCHEDULE OF VALUE WORKSHEET'!#REF!</f>
        <v>#REF!</v>
      </c>
      <c r="B91" s="142" t="e">
        <f>'SCHEDULE OF VALUE WORKSHEET'!#REF!</f>
        <v>#REF!</v>
      </c>
      <c r="C91" s="143"/>
      <c r="D91" s="104" t="e">
        <f>SUM('SCHEDULE OF VALUE WORKSHEET'!#REF!)</f>
        <v>#REF!</v>
      </c>
      <c r="E91" s="104">
        <f>SUM('Draw #9'!E91:F91)</f>
        <v>0</v>
      </c>
      <c r="F91" s="105">
        <v>0</v>
      </c>
      <c r="G91" s="104" t="e">
        <f>SUM('Draw #9'!G91)+F91</f>
        <v>#REF!</v>
      </c>
      <c r="H91" s="109" t="e">
        <f t="shared" si="4"/>
        <v>#REF!</v>
      </c>
      <c r="I91" s="110">
        <v>0</v>
      </c>
      <c r="J91" s="109">
        <f>SUM(I91+'Draw #9'!J91)</f>
        <v>0</v>
      </c>
      <c r="K91" s="101" t="str">
        <f t="shared" si="5"/>
        <v/>
      </c>
    </row>
    <row r="92" spans="1:11" ht="14.1" customHeight="1">
      <c r="A92" s="4" t="e">
        <f>'SCHEDULE OF VALUE WORKSHEET'!#REF!</f>
        <v>#REF!</v>
      </c>
      <c r="B92" s="142" t="e">
        <f>'SCHEDULE OF VALUE WORKSHEET'!#REF!</f>
        <v>#REF!</v>
      </c>
      <c r="C92" s="143"/>
      <c r="D92" s="104" t="e">
        <f>SUM('SCHEDULE OF VALUE WORKSHEET'!#REF!)</f>
        <v>#REF!</v>
      </c>
      <c r="E92" s="104">
        <f>SUM('Draw #9'!E92:F92)</f>
        <v>0</v>
      </c>
      <c r="F92" s="105">
        <v>0</v>
      </c>
      <c r="G92" s="104" t="e">
        <f>SUM('Draw #9'!G92)+F92</f>
        <v>#REF!</v>
      </c>
      <c r="H92" s="109" t="e">
        <f t="shared" si="4"/>
        <v>#REF!</v>
      </c>
      <c r="I92" s="110">
        <v>0</v>
      </c>
      <c r="J92" s="109">
        <f>SUM(I92+'Draw #9'!J92)</f>
        <v>0</v>
      </c>
      <c r="K92" s="101" t="str">
        <f t="shared" si="5"/>
        <v/>
      </c>
    </row>
    <row r="93" spans="1:11" ht="14.1" customHeight="1">
      <c r="A93" s="4" t="e">
        <f>'SCHEDULE OF VALUE WORKSHEET'!#REF!</f>
        <v>#REF!</v>
      </c>
      <c r="B93" s="142" t="e">
        <f>'SCHEDULE OF VALUE WORKSHEET'!#REF!</f>
        <v>#REF!</v>
      </c>
      <c r="C93" s="143"/>
      <c r="D93" s="104" t="e">
        <f>SUM('SCHEDULE OF VALUE WORKSHEET'!#REF!)</f>
        <v>#REF!</v>
      </c>
      <c r="E93" s="104">
        <f>SUM('Draw #9'!E93:F93)</f>
        <v>0</v>
      </c>
      <c r="F93" s="105">
        <v>0</v>
      </c>
      <c r="G93" s="104" t="e">
        <f>SUM('Draw #9'!G93)+F93</f>
        <v>#REF!</v>
      </c>
      <c r="H93" s="109" t="e">
        <f t="shared" si="4"/>
        <v>#REF!</v>
      </c>
      <c r="I93" s="110">
        <v>0</v>
      </c>
      <c r="J93" s="109">
        <f>SUM(I93+'Draw #9'!J93)</f>
        <v>0</v>
      </c>
      <c r="K93" s="101" t="str">
        <f t="shared" si="5"/>
        <v/>
      </c>
    </row>
    <row r="94" spans="1:11" ht="14.1" customHeight="1">
      <c r="A94" s="4" t="e">
        <f>'SCHEDULE OF VALUE WORKSHEET'!#REF!</f>
        <v>#REF!</v>
      </c>
      <c r="B94" s="142" t="e">
        <f>'SCHEDULE OF VALUE WORKSHEET'!#REF!</f>
        <v>#REF!</v>
      </c>
      <c r="C94" s="143"/>
      <c r="D94" s="104" t="e">
        <f>SUM('SCHEDULE OF VALUE WORKSHEET'!#REF!)</f>
        <v>#REF!</v>
      </c>
      <c r="E94" s="104">
        <f>SUM('Draw #9'!E94:F94)</f>
        <v>0</v>
      </c>
      <c r="F94" s="105">
        <v>0</v>
      </c>
      <c r="G94" s="104" t="e">
        <f>SUM('Draw #9'!G94)+F94</f>
        <v>#REF!</v>
      </c>
      <c r="H94" s="109" t="e">
        <f t="shared" si="4"/>
        <v>#REF!</v>
      </c>
      <c r="I94" s="110">
        <v>0</v>
      </c>
      <c r="J94" s="109">
        <f>SUM(I94+'Draw #9'!J94)</f>
        <v>0</v>
      </c>
      <c r="K94" s="101" t="str">
        <f t="shared" si="5"/>
        <v/>
      </c>
    </row>
    <row r="95" spans="1:11" ht="14.1" customHeight="1">
      <c r="A95" s="4" t="e">
        <f>'SCHEDULE OF VALUE WORKSHEET'!#REF!</f>
        <v>#REF!</v>
      </c>
      <c r="B95" s="142" t="e">
        <f>'SCHEDULE OF VALUE WORKSHEET'!#REF!</f>
        <v>#REF!</v>
      </c>
      <c r="C95" s="143"/>
      <c r="D95" s="104" t="e">
        <f>SUM('SCHEDULE OF VALUE WORKSHEET'!#REF!)</f>
        <v>#REF!</v>
      </c>
      <c r="E95" s="104">
        <f>SUM('Draw #9'!E95:F95)</f>
        <v>0</v>
      </c>
      <c r="F95" s="105">
        <v>0</v>
      </c>
      <c r="G95" s="104" t="e">
        <f>SUM('Draw #9'!G95)+F95</f>
        <v>#REF!</v>
      </c>
      <c r="H95" s="109" t="e">
        <f t="shared" si="4"/>
        <v>#REF!</v>
      </c>
      <c r="I95" s="110">
        <v>0</v>
      </c>
      <c r="J95" s="109">
        <f>SUM(I95+'Draw #9'!J95)</f>
        <v>0</v>
      </c>
      <c r="K95" s="101" t="str">
        <f t="shared" si="5"/>
        <v/>
      </c>
    </row>
    <row r="96" spans="1:11" ht="14.1" customHeight="1">
      <c r="A96" s="4" t="e">
        <f>'SCHEDULE OF VALUE WORKSHEET'!#REF!</f>
        <v>#REF!</v>
      </c>
      <c r="B96" s="142" t="e">
        <f>'SCHEDULE OF VALUE WORKSHEET'!#REF!</f>
        <v>#REF!</v>
      </c>
      <c r="C96" s="143"/>
      <c r="D96" s="104" t="e">
        <f>SUM('SCHEDULE OF VALUE WORKSHEET'!#REF!)</f>
        <v>#REF!</v>
      </c>
      <c r="E96" s="104">
        <f>SUM('Draw #9'!E96:F96)</f>
        <v>0</v>
      </c>
      <c r="F96" s="105">
        <v>0</v>
      </c>
      <c r="G96" s="104" t="e">
        <f>SUM('Draw #9'!G96)+F96</f>
        <v>#REF!</v>
      </c>
      <c r="H96" s="109" t="e">
        <f t="shared" si="4"/>
        <v>#REF!</v>
      </c>
      <c r="I96" s="110">
        <v>0</v>
      </c>
      <c r="J96" s="109">
        <f>SUM(I96+'Draw #9'!J96)</f>
        <v>0</v>
      </c>
      <c r="K96" s="101" t="str">
        <f t="shared" si="5"/>
        <v/>
      </c>
    </row>
    <row r="97" spans="1:11" ht="14.1" customHeight="1">
      <c r="A97" s="4" t="e">
        <f>'SCHEDULE OF VALUE WORKSHEET'!#REF!</f>
        <v>#REF!</v>
      </c>
      <c r="B97" s="142" t="e">
        <f>'SCHEDULE OF VALUE WORKSHEET'!#REF!</f>
        <v>#REF!</v>
      </c>
      <c r="C97" s="143"/>
      <c r="D97" s="104" t="e">
        <f>SUM('SCHEDULE OF VALUE WORKSHEET'!#REF!)</f>
        <v>#REF!</v>
      </c>
      <c r="E97" s="104">
        <f>SUM('Draw #9'!E97:F97)</f>
        <v>0</v>
      </c>
      <c r="F97" s="105">
        <v>0</v>
      </c>
      <c r="G97" s="104" t="e">
        <f>SUM('Draw #9'!G97)+F97</f>
        <v>#REF!</v>
      </c>
      <c r="H97" s="109" t="e">
        <f t="shared" si="4"/>
        <v>#REF!</v>
      </c>
      <c r="I97" s="110">
        <v>0</v>
      </c>
      <c r="J97" s="109">
        <f>SUM(I97+'Draw #9'!J97)</f>
        <v>0</v>
      </c>
      <c r="K97" s="101" t="str">
        <f t="shared" si="5"/>
        <v/>
      </c>
    </row>
    <row r="98" spans="1:11" ht="14.1" customHeight="1">
      <c r="A98" s="4" t="e">
        <f>'SCHEDULE OF VALUE WORKSHEET'!#REF!</f>
        <v>#REF!</v>
      </c>
      <c r="B98" s="142" t="e">
        <f>'SCHEDULE OF VALUE WORKSHEET'!#REF!</f>
        <v>#REF!</v>
      </c>
      <c r="C98" s="143"/>
      <c r="D98" s="104" t="e">
        <f>SUM('SCHEDULE OF VALUE WORKSHEET'!#REF!)</f>
        <v>#REF!</v>
      </c>
      <c r="E98" s="104">
        <f>SUM('Draw #9'!E98:F98)</f>
        <v>0</v>
      </c>
      <c r="F98" s="105">
        <v>0</v>
      </c>
      <c r="G98" s="104" t="e">
        <f>SUM('Draw #9'!G98)+F98</f>
        <v>#REF!</v>
      </c>
      <c r="H98" s="109" t="e">
        <f t="shared" si="4"/>
        <v>#REF!</v>
      </c>
      <c r="I98" s="110">
        <v>0</v>
      </c>
      <c r="J98" s="109">
        <f>SUM(I98+'Draw #9'!J98)</f>
        <v>0</v>
      </c>
      <c r="K98" s="101" t="str">
        <f t="shared" si="5"/>
        <v/>
      </c>
    </row>
    <row r="99" spans="1:11" ht="14.1" customHeight="1">
      <c r="A99" s="4" t="e">
        <f>'SCHEDULE OF VALUE WORKSHEET'!#REF!</f>
        <v>#REF!</v>
      </c>
      <c r="B99" s="142" t="e">
        <f>'SCHEDULE OF VALUE WORKSHEET'!#REF!</f>
        <v>#REF!</v>
      </c>
      <c r="C99" s="143"/>
      <c r="D99" s="104" t="e">
        <f>SUM('SCHEDULE OF VALUE WORKSHEET'!#REF!)</f>
        <v>#REF!</v>
      </c>
      <c r="E99" s="104">
        <f>SUM('Draw #9'!E99:F99)</f>
        <v>0</v>
      </c>
      <c r="F99" s="105">
        <v>0</v>
      </c>
      <c r="G99" s="104" t="e">
        <f>SUM('Draw #9'!G99)+F99</f>
        <v>#REF!</v>
      </c>
      <c r="H99" s="109" t="e">
        <f t="shared" si="4"/>
        <v>#REF!</v>
      </c>
      <c r="I99" s="110">
        <v>0</v>
      </c>
      <c r="J99" s="109">
        <f>SUM(I99+'Draw #9'!J99)</f>
        <v>0</v>
      </c>
      <c r="K99" s="101" t="str">
        <f t="shared" si="5"/>
        <v/>
      </c>
    </row>
    <row r="100" spans="1:11" ht="14.1" customHeight="1">
      <c r="A100" s="4" t="e">
        <f>'SCHEDULE OF VALUE WORKSHEET'!#REF!</f>
        <v>#REF!</v>
      </c>
      <c r="B100" s="142" t="e">
        <f>'SCHEDULE OF VALUE WORKSHEET'!#REF!</f>
        <v>#REF!</v>
      </c>
      <c r="C100" s="143"/>
      <c r="D100" s="104" t="e">
        <f>SUM('SCHEDULE OF VALUE WORKSHEET'!#REF!)</f>
        <v>#REF!</v>
      </c>
      <c r="E100" s="104">
        <f>SUM('Draw #9'!E100:F100)</f>
        <v>0</v>
      </c>
      <c r="F100" s="105">
        <v>0</v>
      </c>
      <c r="G100" s="104" t="e">
        <f>SUM('Draw #9'!G100)+F100</f>
        <v>#REF!</v>
      </c>
      <c r="H100" s="109" t="e">
        <f t="shared" si="4"/>
        <v>#REF!</v>
      </c>
      <c r="I100" s="110">
        <v>0</v>
      </c>
      <c r="J100" s="109">
        <f>SUM(I100+'Draw #9'!J100)</f>
        <v>0</v>
      </c>
      <c r="K100" s="101" t="str">
        <f t="shared" si="5"/>
        <v/>
      </c>
    </row>
    <row r="101" spans="1:11" ht="14.1" customHeight="1">
      <c r="A101" s="4" t="e">
        <f>'SCHEDULE OF VALUE WORKSHEET'!#REF!</f>
        <v>#REF!</v>
      </c>
      <c r="B101" s="142" t="e">
        <f>'SCHEDULE OF VALUE WORKSHEET'!#REF!</f>
        <v>#REF!</v>
      </c>
      <c r="C101" s="143"/>
      <c r="D101" s="104" t="e">
        <f>SUM('SCHEDULE OF VALUE WORKSHEET'!#REF!)</f>
        <v>#REF!</v>
      </c>
      <c r="E101" s="104">
        <f>SUM('Draw #9'!E101:F101)</f>
        <v>0</v>
      </c>
      <c r="F101" s="105">
        <v>0</v>
      </c>
      <c r="G101" s="104" t="e">
        <f>SUM('Draw #9'!G101)+F101</f>
        <v>#REF!</v>
      </c>
      <c r="H101" s="109" t="e">
        <f t="shared" si="4"/>
        <v>#REF!</v>
      </c>
      <c r="I101" s="110">
        <v>0</v>
      </c>
      <c r="J101" s="109">
        <f>SUM(I101+'Draw #9'!J101)</f>
        <v>0</v>
      </c>
      <c r="K101" s="101" t="str">
        <f t="shared" si="5"/>
        <v/>
      </c>
    </row>
    <row r="102" spans="1:11" ht="14.1" customHeight="1">
      <c r="A102" s="4" t="e">
        <f>'SCHEDULE OF VALUE WORKSHEET'!#REF!</f>
        <v>#REF!</v>
      </c>
      <c r="B102" s="142" t="e">
        <f>'SCHEDULE OF VALUE WORKSHEET'!#REF!</f>
        <v>#REF!</v>
      </c>
      <c r="C102" s="143"/>
      <c r="D102" s="104" t="e">
        <f>SUM('SCHEDULE OF VALUE WORKSHEET'!#REF!)</f>
        <v>#REF!</v>
      </c>
      <c r="E102" s="104">
        <f>SUM('Draw #9'!E102:F102)</f>
        <v>0</v>
      </c>
      <c r="F102" s="105">
        <v>0</v>
      </c>
      <c r="G102" s="104" t="e">
        <f>SUM('Draw #9'!G102)+F102</f>
        <v>#REF!</v>
      </c>
      <c r="H102" s="109" t="e">
        <f t="shared" si="4"/>
        <v>#REF!</v>
      </c>
      <c r="I102" s="110">
        <v>0</v>
      </c>
      <c r="J102" s="109">
        <f>SUM(I102+'Draw #9'!J102)</f>
        <v>0</v>
      </c>
      <c r="K102" s="101" t="str">
        <f t="shared" si="5"/>
        <v/>
      </c>
    </row>
    <row r="103" spans="1:11" ht="14.1" customHeight="1">
      <c r="A103" s="4" t="e">
        <f>'SCHEDULE OF VALUE WORKSHEET'!#REF!</f>
        <v>#REF!</v>
      </c>
      <c r="B103" s="142" t="e">
        <f>'SCHEDULE OF VALUE WORKSHEET'!#REF!</f>
        <v>#REF!</v>
      </c>
      <c r="C103" s="143"/>
      <c r="D103" s="104" t="e">
        <f>SUM('SCHEDULE OF VALUE WORKSHEET'!#REF!)</f>
        <v>#REF!</v>
      </c>
      <c r="E103" s="104">
        <f>SUM('Draw #9'!E103:F103)</f>
        <v>0</v>
      </c>
      <c r="F103" s="105">
        <v>0</v>
      </c>
      <c r="G103" s="104" t="e">
        <f>SUM('Draw #9'!G103)+F103</f>
        <v>#REF!</v>
      </c>
      <c r="H103" s="109" t="e">
        <f t="shared" si="4"/>
        <v>#REF!</v>
      </c>
      <c r="I103" s="110">
        <v>0</v>
      </c>
      <c r="J103" s="109">
        <f>SUM(I103+'Draw #9'!J103)</f>
        <v>0</v>
      </c>
      <c r="K103" s="101" t="str">
        <f t="shared" si="5"/>
        <v/>
      </c>
    </row>
    <row r="104" spans="1:11" ht="14.1" customHeight="1">
      <c r="A104" s="4" t="e">
        <f>'SCHEDULE OF VALUE WORKSHEET'!#REF!</f>
        <v>#REF!</v>
      </c>
      <c r="B104" s="142" t="e">
        <f>'SCHEDULE OF VALUE WORKSHEET'!#REF!</f>
        <v>#REF!</v>
      </c>
      <c r="C104" s="143"/>
      <c r="D104" s="104" t="e">
        <f>SUM('SCHEDULE OF VALUE WORKSHEET'!#REF!)</f>
        <v>#REF!</v>
      </c>
      <c r="E104" s="104">
        <f>SUM('Draw #9'!E104:F104)</f>
        <v>0</v>
      </c>
      <c r="F104" s="105">
        <v>0</v>
      </c>
      <c r="G104" s="104" t="e">
        <f>SUM('Draw #9'!G104)+F104</f>
        <v>#REF!</v>
      </c>
      <c r="H104" s="109" t="e">
        <f t="shared" si="4"/>
        <v>#REF!</v>
      </c>
      <c r="I104" s="110">
        <v>0</v>
      </c>
      <c r="J104" s="109">
        <f>SUM(I104+'Draw #9'!J104)</f>
        <v>0</v>
      </c>
      <c r="K104" s="101" t="str">
        <f t="shared" si="5"/>
        <v/>
      </c>
    </row>
    <row r="105" spans="1:11" ht="14.1" customHeight="1">
      <c r="A105" s="4" t="e">
        <f>'SCHEDULE OF VALUE WORKSHEET'!#REF!</f>
        <v>#REF!</v>
      </c>
      <c r="B105" s="142" t="e">
        <f>'SCHEDULE OF VALUE WORKSHEET'!#REF!</f>
        <v>#REF!</v>
      </c>
      <c r="C105" s="143"/>
      <c r="D105" s="104" t="e">
        <f>SUM('SCHEDULE OF VALUE WORKSHEET'!#REF!)</f>
        <v>#REF!</v>
      </c>
      <c r="E105" s="104">
        <f>SUM('Draw #9'!E105:F105)</f>
        <v>0</v>
      </c>
      <c r="F105" s="105">
        <v>0</v>
      </c>
      <c r="G105" s="104" t="e">
        <f>SUM('Draw #9'!G105)+F105</f>
        <v>#REF!</v>
      </c>
      <c r="H105" s="109" t="e">
        <f t="shared" si="4"/>
        <v>#REF!</v>
      </c>
      <c r="I105" s="110">
        <v>0</v>
      </c>
      <c r="J105" s="109">
        <f>SUM(I105+'Draw #9'!J105)</f>
        <v>0</v>
      </c>
      <c r="K105" s="101" t="str">
        <f t="shared" si="5"/>
        <v/>
      </c>
    </row>
    <row r="106" spans="1:11" ht="14.1" customHeight="1">
      <c r="A106" s="4" t="e">
        <f>'SCHEDULE OF VALUE WORKSHEET'!#REF!</f>
        <v>#REF!</v>
      </c>
      <c r="B106" s="142" t="e">
        <f>'SCHEDULE OF VALUE WORKSHEET'!#REF!</f>
        <v>#REF!</v>
      </c>
      <c r="C106" s="143"/>
      <c r="D106" s="104" t="e">
        <f>SUM('SCHEDULE OF VALUE WORKSHEET'!#REF!)</f>
        <v>#REF!</v>
      </c>
      <c r="E106" s="104">
        <f>SUM('Draw #9'!E106:F106)</f>
        <v>0</v>
      </c>
      <c r="F106" s="105">
        <v>0</v>
      </c>
      <c r="G106" s="104" t="e">
        <f>SUM('Draw #9'!G106)+F106</f>
        <v>#REF!</v>
      </c>
      <c r="H106" s="109" t="e">
        <f t="shared" si="4"/>
        <v>#REF!</v>
      </c>
      <c r="I106" s="110">
        <v>0</v>
      </c>
      <c r="J106" s="109">
        <f>SUM(I106+'Draw #9'!J106)</f>
        <v>0</v>
      </c>
      <c r="K106" s="101" t="str">
        <f t="shared" si="5"/>
        <v/>
      </c>
    </row>
    <row r="107" spans="1:11" ht="14.1" customHeight="1">
      <c r="A107" s="4" t="e">
        <f>'SCHEDULE OF VALUE WORKSHEET'!#REF!</f>
        <v>#REF!</v>
      </c>
      <c r="B107" s="142" t="e">
        <f>'SCHEDULE OF VALUE WORKSHEET'!#REF!</f>
        <v>#REF!</v>
      </c>
      <c r="C107" s="143"/>
      <c r="D107" s="104" t="e">
        <f>SUM('SCHEDULE OF VALUE WORKSHEET'!#REF!)</f>
        <v>#REF!</v>
      </c>
      <c r="E107" s="104">
        <f>SUM('Draw #9'!E107:F107)</f>
        <v>0</v>
      </c>
      <c r="F107" s="105">
        <v>0</v>
      </c>
      <c r="G107" s="104" t="e">
        <f>SUM('Draw #9'!G107)+F107</f>
        <v>#REF!</v>
      </c>
      <c r="H107" s="109" t="e">
        <f t="shared" si="4"/>
        <v>#REF!</v>
      </c>
      <c r="I107" s="110">
        <v>0</v>
      </c>
      <c r="J107" s="109">
        <f>SUM(I107+'Draw #9'!J107)</f>
        <v>0</v>
      </c>
      <c r="K107" s="101" t="str">
        <f t="shared" si="5"/>
        <v/>
      </c>
    </row>
    <row r="108" spans="1:11" ht="14.1" customHeight="1">
      <c r="A108" s="4" t="e">
        <f>'SCHEDULE OF VALUE WORKSHEET'!#REF!</f>
        <v>#REF!</v>
      </c>
      <c r="B108" s="142" t="e">
        <f>'SCHEDULE OF VALUE WORKSHEET'!#REF!</f>
        <v>#REF!</v>
      </c>
      <c r="C108" s="143"/>
      <c r="D108" s="104" t="e">
        <f>SUM('SCHEDULE OF VALUE WORKSHEET'!#REF!)</f>
        <v>#REF!</v>
      </c>
      <c r="E108" s="104">
        <f>SUM('Draw #9'!E108:F108)</f>
        <v>0</v>
      </c>
      <c r="F108" s="105">
        <v>0</v>
      </c>
      <c r="G108" s="104" t="e">
        <f>SUM('Draw #9'!G108)+F108</f>
        <v>#REF!</v>
      </c>
      <c r="H108" s="109" t="e">
        <f t="shared" si="4"/>
        <v>#REF!</v>
      </c>
      <c r="I108" s="110">
        <v>0</v>
      </c>
      <c r="J108" s="109">
        <f>SUM(I108+'Draw #9'!J108)</f>
        <v>0</v>
      </c>
      <c r="K108" s="101" t="str">
        <f t="shared" si="5"/>
        <v/>
      </c>
    </row>
    <row r="109" spans="1:11" ht="14.1" customHeight="1">
      <c r="A109" s="4" t="e">
        <f>'SCHEDULE OF VALUE WORKSHEET'!#REF!</f>
        <v>#REF!</v>
      </c>
      <c r="B109" s="142" t="e">
        <f>'SCHEDULE OF VALUE WORKSHEET'!#REF!</f>
        <v>#REF!</v>
      </c>
      <c r="C109" s="143"/>
      <c r="D109" s="104" t="e">
        <f>SUM('SCHEDULE OF VALUE WORKSHEET'!#REF!)</f>
        <v>#REF!</v>
      </c>
      <c r="E109" s="104">
        <f>SUM('Draw #9'!E109:F109)</f>
        <v>0</v>
      </c>
      <c r="F109" s="105">
        <v>0</v>
      </c>
      <c r="G109" s="104" t="e">
        <f>SUM('Draw #9'!G109)+F109</f>
        <v>#REF!</v>
      </c>
      <c r="H109" s="109" t="e">
        <f t="shared" si="4"/>
        <v>#REF!</v>
      </c>
      <c r="I109" s="110">
        <v>0</v>
      </c>
      <c r="J109" s="109">
        <f>SUM(I109+'Draw #9'!J109)</f>
        <v>0</v>
      </c>
      <c r="K109" s="101" t="str">
        <f t="shared" si="5"/>
        <v/>
      </c>
    </row>
    <row r="110" spans="1:11" ht="14.1" customHeight="1">
      <c r="A110" s="4" t="e">
        <f>'SCHEDULE OF VALUE WORKSHEET'!#REF!</f>
        <v>#REF!</v>
      </c>
      <c r="B110" s="142" t="e">
        <f>'SCHEDULE OF VALUE WORKSHEET'!#REF!</f>
        <v>#REF!</v>
      </c>
      <c r="C110" s="143"/>
      <c r="D110" s="104" t="e">
        <f>SUM('SCHEDULE OF VALUE WORKSHEET'!#REF!)</f>
        <v>#REF!</v>
      </c>
      <c r="E110" s="104">
        <f>SUM('Draw #9'!E110:F110)</f>
        <v>0</v>
      </c>
      <c r="F110" s="105">
        <v>0</v>
      </c>
      <c r="G110" s="104" t="e">
        <f>SUM('Draw #9'!G110)+F110</f>
        <v>#REF!</v>
      </c>
      <c r="H110" s="109" t="e">
        <f t="shared" si="4"/>
        <v>#REF!</v>
      </c>
      <c r="I110" s="110">
        <v>0</v>
      </c>
      <c r="J110" s="109">
        <f>SUM(I110+'Draw #9'!J110)</f>
        <v>0</v>
      </c>
      <c r="K110" s="101" t="str">
        <f t="shared" si="5"/>
        <v/>
      </c>
    </row>
    <row r="111" spans="1:11" ht="14.1" customHeight="1">
      <c r="A111" s="4" t="e">
        <f>'SCHEDULE OF VALUE WORKSHEET'!#REF!</f>
        <v>#REF!</v>
      </c>
      <c r="B111" s="142" t="e">
        <f>'SCHEDULE OF VALUE WORKSHEET'!#REF!</f>
        <v>#REF!</v>
      </c>
      <c r="C111" s="143"/>
      <c r="D111" s="104" t="e">
        <f>SUM('SCHEDULE OF VALUE WORKSHEET'!#REF!)</f>
        <v>#REF!</v>
      </c>
      <c r="E111" s="104">
        <f>SUM('Draw #9'!E111:F111)</f>
        <v>0</v>
      </c>
      <c r="F111" s="105">
        <v>0</v>
      </c>
      <c r="G111" s="104" t="e">
        <f>SUM('Draw #9'!G111)+F111</f>
        <v>#REF!</v>
      </c>
      <c r="H111" s="109" t="e">
        <f t="shared" si="4"/>
        <v>#REF!</v>
      </c>
      <c r="I111" s="110">
        <v>0</v>
      </c>
      <c r="J111" s="109">
        <f>SUM(I111+'Draw #9'!J111)</f>
        <v>0</v>
      </c>
      <c r="K111" s="101" t="str">
        <f t="shared" si="5"/>
        <v/>
      </c>
    </row>
    <row r="112" spans="1:11" ht="14.1" customHeight="1">
      <c r="A112" s="4" t="e">
        <f>'SCHEDULE OF VALUE WORKSHEET'!#REF!</f>
        <v>#REF!</v>
      </c>
      <c r="B112" s="142" t="e">
        <f>'SCHEDULE OF VALUE WORKSHEET'!#REF!</f>
        <v>#REF!</v>
      </c>
      <c r="C112" s="143"/>
      <c r="D112" s="104" t="e">
        <f>SUM('SCHEDULE OF VALUE WORKSHEET'!#REF!)</f>
        <v>#REF!</v>
      </c>
      <c r="E112" s="104">
        <f>SUM('Draw #9'!E112:F112)</f>
        <v>0</v>
      </c>
      <c r="F112" s="105">
        <v>0</v>
      </c>
      <c r="G112" s="104" t="e">
        <f>SUM('Draw #9'!G112)+F112</f>
        <v>#REF!</v>
      </c>
      <c r="H112" s="109" t="e">
        <f t="shared" si="4"/>
        <v>#REF!</v>
      </c>
      <c r="I112" s="110">
        <v>0</v>
      </c>
      <c r="J112" s="109">
        <f>SUM(I112+'Draw #9'!J112)</f>
        <v>0</v>
      </c>
      <c r="K112" s="101" t="str">
        <f t="shared" si="5"/>
        <v/>
      </c>
    </row>
    <row r="113" spans="1:11" ht="14.1" customHeight="1">
      <c r="A113" s="4" t="e">
        <f>'SCHEDULE OF VALUE WORKSHEET'!#REF!</f>
        <v>#REF!</v>
      </c>
      <c r="B113" s="142" t="e">
        <f>'SCHEDULE OF VALUE WORKSHEET'!#REF!</f>
        <v>#REF!</v>
      </c>
      <c r="C113" s="143"/>
      <c r="D113" s="104" t="e">
        <f>SUM('SCHEDULE OF VALUE WORKSHEET'!#REF!)</f>
        <v>#REF!</v>
      </c>
      <c r="E113" s="104">
        <f>SUM('Draw #9'!E113:F113)</f>
        <v>0</v>
      </c>
      <c r="F113" s="105">
        <v>0</v>
      </c>
      <c r="G113" s="104" t="e">
        <f>SUM('Draw #9'!G113)+F113</f>
        <v>#REF!</v>
      </c>
      <c r="H113" s="109" t="e">
        <f t="shared" si="4"/>
        <v>#REF!</v>
      </c>
      <c r="I113" s="110">
        <v>0</v>
      </c>
      <c r="J113" s="109">
        <f>SUM(I113+'Draw #9'!J113)</f>
        <v>0</v>
      </c>
      <c r="K113" s="101" t="str">
        <f t="shared" si="5"/>
        <v/>
      </c>
    </row>
    <row r="114" spans="1:11" ht="14.1" customHeight="1">
      <c r="A114" s="4" t="e">
        <f>'SCHEDULE OF VALUE WORKSHEET'!#REF!</f>
        <v>#REF!</v>
      </c>
      <c r="B114" s="142" t="e">
        <f>'SCHEDULE OF VALUE WORKSHEET'!#REF!</f>
        <v>#REF!</v>
      </c>
      <c r="C114" s="143"/>
      <c r="D114" s="104" t="e">
        <f>SUM('SCHEDULE OF VALUE WORKSHEET'!#REF!)</f>
        <v>#REF!</v>
      </c>
      <c r="E114" s="104">
        <f>SUM('Draw #9'!E114:F114)</f>
        <v>0</v>
      </c>
      <c r="F114" s="105">
        <v>0</v>
      </c>
      <c r="G114" s="104" t="e">
        <f>SUM('Draw #9'!G114)+F114</f>
        <v>#REF!</v>
      </c>
      <c r="H114" s="109" t="e">
        <f t="shared" si="4"/>
        <v>#REF!</v>
      </c>
      <c r="I114" s="110">
        <v>0</v>
      </c>
      <c r="J114" s="109">
        <f>SUM(I114+'Draw #9'!J114)</f>
        <v>0</v>
      </c>
      <c r="K114" s="101" t="str">
        <f t="shared" si="5"/>
        <v/>
      </c>
    </row>
    <row r="115" spans="1:11" ht="14.1" customHeight="1">
      <c r="A115" s="4" t="e">
        <f>'SCHEDULE OF VALUE WORKSHEET'!#REF!</f>
        <v>#REF!</v>
      </c>
      <c r="B115" s="142" t="e">
        <f>'SCHEDULE OF VALUE WORKSHEET'!#REF!</f>
        <v>#REF!</v>
      </c>
      <c r="C115" s="143"/>
      <c r="D115" s="104" t="e">
        <f>SUM('SCHEDULE OF VALUE WORKSHEET'!#REF!)</f>
        <v>#REF!</v>
      </c>
      <c r="E115" s="104">
        <f>SUM('Draw #9'!E115:F115)</f>
        <v>0</v>
      </c>
      <c r="F115" s="105">
        <v>0</v>
      </c>
      <c r="G115" s="104" t="e">
        <f>SUM('Draw #9'!G115)+F115</f>
        <v>#REF!</v>
      </c>
      <c r="H115" s="109" t="e">
        <f t="shared" si="4"/>
        <v>#REF!</v>
      </c>
      <c r="I115" s="110">
        <v>0</v>
      </c>
      <c r="J115" s="109">
        <f>SUM(I115+'Draw #9'!J115)</f>
        <v>0</v>
      </c>
      <c r="K115" s="101" t="str">
        <f t="shared" si="5"/>
        <v/>
      </c>
    </row>
    <row r="116" spans="1:11" ht="14.1" customHeight="1">
      <c r="A116" s="4" t="e">
        <f>'SCHEDULE OF VALUE WORKSHEET'!#REF!</f>
        <v>#REF!</v>
      </c>
      <c r="B116" s="142" t="e">
        <f>'SCHEDULE OF VALUE WORKSHEET'!#REF!</f>
        <v>#REF!</v>
      </c>
      <c r="C116" s="143"/>
      <c r="D116" s="104" t="e">
        <f>SUM('SCHEDULE OF VALUE WORKSHEET'!#REF!)</f>
        <v>#REF!</v>
      </c>
      <c r="E116" s="104">
        <f>SUM('Draw #9'!E116:F116)</f>
        <v>0</v>
      </c>
      <c r="F116" s="105">
        <v>0</v>
      </c>
      <c r="G116" s="104" t="e">
        <f>SUM('Draw #9'!G116)+F116</f>
        <v>#REF!</v>
      </c>
      <c r="H116" s="109" t="e">
        <f t="shared" si="4"/>
        <v>#REF!</v>
      </c>
      <c r="I116" s="110">
        <v>0</v>
      </c>
      <c r="J116" s="109">
        <f>SUM(I116+'Draw #9'!J116)</f>
        <v>0</v>
      </c>
      <c r="K116" s="101" t="str">
        <f t="shared" si="5"/>
        <v/>
      </c>
    </row>
    <row r="117" spans="1:11" ht="14.1" customHeight="1">
      <c r="A117" s="4">
        <f>'SCHEDULE OF VALUE WORKSHEET'!A87</f>
        <v>82</v>
      </c>
      <c r="B117" s="142" t="str">
        <f>'SCHEDULE OF VALUE WORKSHEET'!B87</f>
        <v xml:space="preserve">Open Item </v>
      </c>
      <c r="C117" s="143"/>
      <c r="D117" s="104">
        <f>SUM('SCHEDULE OF VALUE WORKSHEET'!E87)</f>
        <v>0</v>
      </c>
      <c r="E117" s="104">
        <f>SUM('Draw #9'!E117:F117)</f>
        <v>0</v>
      </c>
      <c r="F117" s="105">
        <v>0</v>
      </c>
      <c r="G117" s="104">
        <f>SUM('Draw #9'!G117)+F117</f>
        <v>0</v>
      </c>
      <c r="H117" s="109">
        <f t="shared" si="4"/>
        <v>0</v>
      </c>
      <c r="I117" s="110">
        <v>0</v>
      </c>
      <c r="J117" s="109">
        <f>SUM(I117+'Draw #9'!J117)</f>
        <v>0</v>
      </c>
      <c r="K117" s="101" t="str">
        <f t="shared" si="5"/>
        <v/>
      </c>
    </row>
    <row r="118" spans="1:11" ht="14.1" customHeight="1">
      <c r="A118" s="4">
        <f>'SCHEDULE OF VALUE WORKSHEET'!A88</f>
        <v>83</v>
      </c>
      <c r="B118" s="142" t="str">
        <f>'SCHEDULE OF VALUE WORKSHEET'!B88</f>
        <v xml:space="preserve">Open Item </v>
      </c>
      <c r="C118" s="143"/>
      <c r="D118" s="104">
        <f>SUM('SCHEDULE OF VALUE WORKSHEET'!E88)</f>
        <v>0</v>
      </c>
      <c r="E118" s="104">
        <f>SUM('Draw #9'!E118:F118)</f>
        <v>0</v>
      </c>
      <c r="F118" s="105">
        <v>0</v>
      </c>
      <c r="G118" s="104">
        <f>SUM('Draw #9'!G118)+F118</f>
        <v>0</v>
      </c>
      <c r="H118" s="109">
        <f t="shared" si="4"/>
        <v>0</v>
      </c>
      <c r="I118" s="110">
        <v>0</v>
      </c>
      <c r="J118" s="109">
        <f>SUM(I118+'Draw #9'!J118)</f>
        <v>0</v>
      </c>
      <c r="K118" s="101" t="str">
        <f t="shared" si="5"/>
        <v/>
      </c>
    </row>
    <row r="119" spans="1:11" ht="14.1" customHeight="1">
      <c r="A119" s="4">
        <f>'SCHEDULE OF VALUE WORKSHEET'!A89</f>
        <v>84</v>
      </c>
      <c r="B119" s="142" t="str">
        <f>'SCHEDULE OF VALUE WORKSHEET'!B89</f>
        <v xml:space="preserve">Open Item </v>
      </c>
      <c r="C119" s="143"/>
      <c r="D119" s="104">
        <f>SUM('SCHEDULE OF VALUE WORKSHEET'!E89)</f>
        <v>0</v>
      </c>
      <c r="E119" s="104">
        <f>SUM('Draw #9'!E119:F119)</f>
        <v>0</v>
      </c>
      <c r="F119" s="105">
        <v>0</v>
      </c>
      <c r="G119" s="104">
        <f>SUM('Draw #9'!G119)+F119</f>
        <v>0</v>
      </c>
      <c r="H119" s="109">
        <f t="shared" si="4"/>
        <v>0</v>
      </c>
      <c r="I119" s="110">
        <v>0</v>
      </c>
      <c r="J119" s="109">
        <f>SUM(I119+'Draw #9'!J119)</f>
        <v>0</v>
      </c>
      <c r="K119" s="101" t="str">
        <f t="shared" si="5"/>
        <v/>
      </c>
    </row>
    <row r="120" spans="1:11" ht="14.1" customHeight="1">
      <c r="A120" s="4">
        <f>'SCHEDULE OF VALUE WORKSHEET'!A90</f>
        <v>85</v>
      </c>
      <c r="B120" s="142" t="str">
        <f>'SCHEDULE OF VALUE WORKSHEET'!B90</f>
        <v xml:space="preserve">Open Item </v>
      </c>
      <c r="C120" s="143"/>
      <c r="D120" s="104">
        <f>SUM('SCHEDULE OF VALUE WORKSHEET'!E90)</f>
        <v>0</v>
      </c>
      <c r="E120" s="104">
        <f>SUM('Draw #9'!E120:F120)</f>
        <v>0</v>
      </c>
      <c r="F120" s="105">
        <v>0</v>
      </c>
      <c r="G120" s="104">
        <f>SUM('Draw #9'!G120)+F120</f>
        <v>0</v>
      </c>
      <c r="H120" s="109">
        <f t="shared" si="4"/>
        <v>0</v>
      </c>
      <c r="I120" s="110">
        <v>0</v>
      </c>
      <c r="J120" s="109">
        <f>SUM(I120+'Draw #9'!J120)</f>
        <v>0</v>
      </c>
      <c r="K120" s="101" t="str">
        <f t="shared" si="5"/>
        <v/>
      </c>
    </row>
    <row r="121" spans="1:11" ht="14.1" customHeight="1">
      <c r="A121" s="4">
        <f>'SCHEDULE OF VALUE WORKSHEET'!A91</f>
        <v>86</v>
      </c>
      <c r="B121" s="142" t="str">
        <f>'SCHEDULE OF VALUE WORKSHEET'!B91</f>
        <v xml:space="preserve">Open Item </v>
      </c>
      <c r="C121" s="143"/>
      <c r="D121" s="104">
        <f>SUM('SCHEDULE OF VALUE WORKSHEET'!E91)</f>
        <v>0</v>
      </c>
      <c r="E121" s="104">
        <f>SUM('Draw #9'!E121:F121)</f>
        <v>0</v>
      </c>
      <c r="F121" s="105">
        <v>0</v>
      </c>
      <c r="G121" s="104">
        <f>SUM('Draw #9'!G121)+F121</f>
        <v>0</v>
      </c>
      <c r="H121" s="109">
        <f t="shared" si="4"/>
        <v>0</v>
      </c>
      <c r="I121" s="110">
        <v>0</v>
      </c>
      <c r="J121" s="109">
        <f>SUM(I121+'Draw #9'!J121)</f>
        <v>0</v>
      </c>
      <c r="K121" s="101" t="str">
        <f t="shared" si="5"/>
        <v/>
      </c>
    </row>
    <row r="122" spans="1:11" ht="14.1" customHeight="1">
      <c r="A122" s="4">
        <f>'SCHEDULE OF VALUE WORKSHEET'!A92</f>
        <v>87</v>
      </c>
      <c r="B122" s="142" t="str">
        <f>'SCHEDULE OF VALUE WORKSHEET'!B92</f>
        <v xml:space="preserve">Open Item </v>
      </c>
      <c r="C122" s="143"/>
      <c r="D122" s="104">
        <f>SUM('SCHEDULE OF VALUE WORKSHEET'!E92)</f>
        <v>0</v>
      </c>
      <c r="E122" s="104">
        <f>SUM('Draw #9'!E122:F122)</f>
        <v>0</v>
      </c>
      <c r="F122" s="105">
        <v>0</v>
      </c>
      <c r="G122" s="104">
        <f>SUM('Draw #9'!G122)+F122</f>
        <v>0</v>
      </c>
      <c r="H122" s="109">
        <f t="shared" si="4"/>
        <v>0</v>
      </c>
      <c r="I122" s="110">
        <v>0</v>
      </c>
      <c r="J122" s="109">
        <f>SUM(I122+'Draw #9'!J122)</f>
        <v>0</v>
      </c>
      <c r="K122" s="101" t="str">
        <f t="shared" si="5"/>
        <v/>
      </c>
    </row>
    <row r="123" spans="1:11" ht="14.1" customHeight="1">
      <c r="A123" s="4">
        <f>'SCHEDULE OF VALUE WORKSHEET'!A93</f>
        <v>88</v>
      </c>
      <c r="B123" s="142" t="str">
        <f>'SCHEDULE OF VALUE WORKSHEET'!B93</f>
        <v xml:space="preserve">Open Item </v>
      </c>
      <c r="C123" s="143"/>
      <c r="D123" s="104">
        <f>SUM('SCHEDULE OF VALUE WORKSHEET'!E93)</f>
        <v>0</v>
      </c>
      <c r="E123" s="104">
        <f>SUM('Draw #9'!E123:F123)</f>
        <v>0</v>
      </c>
      <c r="F123" s="105">
        <v>0</v>
      </c>
      <c r="G123" s="104">
        <f>SUM('Draw #9'!G123)+F123</f>
        <v>0</v>
      </c>
      <c r="H123" s="109">
        <f t="shared" si="4"/>
        <v>0</v>
      </c>
      <c r="I123" s="110">
        <v>0</v>
      </c>
      <c r="J123" s="109">
        <f>SUM(I123+'Draw #9'!J123)</f>
        <v>0</v>
      </c>
      <c r="K123" s="101" t="str">
        <f t="shared" si="5"/>
        <v/>
      </c>
    </row>
    <row r="124" spans="1:11" ht="14.1" customHeight="1">
      <c r="A124" s="4">
        <f>'SCHEDULE OF VALUE WORKSHEET'!A94</f>
        <v>89</v>
      </c>
      <c r="B124" s="142" t="str">
        <f>'SCHEDULE OF VALUE WORKSHEET'!B94</f>
        <v xml:space="preserve">Open Item </v>
      </c>
      <c r="C124" s="143"/>
      <c r="D124" s="104">
        <f>SUM('SCHEDULE OF VALUE WORKSHEET'!E94)</f>
        <v>0</v>
      </c>
      <c r="E124" s="104">
        <f>SUM('Draw #9'!E124:F124)</f>
        <v>0</v>
      </c>
      <c r="F124" s="105">
        <v>0</v>
      </c>
      <c r="G124" s="104">
        <f>SUM('Draw #9'!G124)+F124</f>
        <v>0</v>
      </c>
      <c r="H124" s="109">
        <f t="shared" si="4"/>
        <v>0</v>
      </c>
      <c r="I124" s="110">
        <v>0</v>
      </c>
      <c r="J124" s="109">
        <f>SUM(I124+'Draw #9'!J124)</f>
        <v>0</v>
      </c>
      <c r="K124" s="101" t="str">
        <f t="shared" si="5"/>
        <v/>
      </c>
    </row>
    <row r="125" spans="1:11" ht="14.1" customHeight="1">
      <c r="A125" s="4">
        <f>'SCHEDULE OF VALUE WORKSHEET'!A95</f>
        <v>90</v>
      </c>
      <c r="B125" s="142" t="str">
        <f>'SCHEDULE OF VALUE WORKSHEET'!B95</f>
        <v xml:space="preserve">Open Item </v>
      </c>
      <c r="C125" s="143"/>
      <c r="D125" s="104">
        <f>SUM('SCHEDULE OF VALUE WORKSHEET'!E95)</f>
        <v>0</v>
      </c>
      <c r="E125" s="104">
        <f>SUM('Draw #9'!E125:F125)</f>
        <v>0</v>
      </c>
      <c r="F125" s="105">
        <v>0</v>
      </c>
      <c r="G125" s="104">
        <f>SUM('Draw #9'!G125)+F125</f>
        <v>0</v>
      </c>
      <c r="H125" s="109">
        <f t="shared" si="4"/>
        <v>0</v>
      </c>
      <c r="I125" s="110">
        <v>0</v>
      </c>
      <c r="J125" s="109">
        <f>SUM(I125+'Draw #9'!J125)</f>
        <v>0</v>
      </c>
      <c r="K125" s="101" t="str">
        <f t="shared" si="5"/>
        <v/>
      </c>
    </row>
    <row r="126" spans="1:11" ht="14.1" customHeight="1">
      <c r="A126" s="4">
        <f>'SCHEDULE OF VALUE WORKSHEET'!A96</f>
        <v>91</v>
      </c>
      <c r="B126" s="142" t="str">
        <f>'SCHEDULE OF VALUE WORKSHEET'!B96</f>
        <v xml:space="preserve">Open Item </v>
      </c>
      <c r="C126" s="143"/>
      <c r="D126" s="104">
        <f>SUM('SCHEDULE OF VALUE WORKSHEET'!E96)</f>
        <v>0</v>
      </c>
      <c r="E126" s="104">
        <f>SUM('Draw #9'!E126:F126)</f>
        <v>0</v>
      </c>
      <c r="F126" s="105">
        <v>0</v>
      </c>
      <c r="G126" s="104">
        <f>SUM('Draw #9'!G126)+F126</f>
        <v>0</v>
      </c>
      <c r="H126" s="109">
        <f t="shared" si="4"/>
        <v>0</v>
      </c>
      <c r="I126" s="110">
        <v>0</v>
      </c>
      <c r="J126" s="109">
        <f>SUM(I126+'Draw #9'!J126)</f>
        <v>0</v>
      </c>
      <c r="K126" s="101" t="str">
        <f t="shared" si="5"/>
        <v/>
      </c>
    </row>
    <row r="127" spans="1:11" ht="14.1" customHeight="1">
      <c r="A127" s="4">
        <f>'SCHEDULE OF VALUE WORKSHEET'!A97</f>
        <v>92</v>
      </c>
      <c r="B127" s="142" t="str">
        <f>'SCHEDULE OF VALUE WORKSHEET'!B97</f>
        <v xml:space="preserve">Open Item </v>
      </c>
      <c r="C127" s="143"/>
      <c r="D127" s="104">
        <f>SUM('SCHEDULE OF VALUE WORKSHEET'!E97)</f>
        <v>0</v>
      </c>
      <c r="E127" s="104">
        <f>SUM('Draw #9'!E127:F127)</f>
        <v>0</v>
      </c>
      <c r="F127" s="105">
        <v>0</v>
      </c>
      <c r="G127" s="104">
        <f>SUM('Draw #9'!G127)+F127</f>
        <v>0</v>
      </c>
      <c r="H127" s="109">
        <f t="shared" si="4"/>
        <v>0</v>
      </c>
      <c r="I127" s="110">
        <v>0</v>
      </c>
      <c r="J127" s="109">
        <f>SUM(I127+'Draw #9'!J127)</f>
        <v>0</v>
      </c>
      <c r="K127" s="101" t="str">
        <f t="shared" si="5"/>
        <v/>
      </c>
    </row>
    <row r="128" spans="1:11" ht="14.1" customHeight="1">
      <c r="A128" s="4">
        <f>'SCHEDULE OF VALUE WORKSHEET'!A98</f>
        <v>93</v>
      </c>
      <c r="B128" s="142" t="str">
        <f>'SCHEDULE OF VALUE WORKSHEET'!B98</f>
        <v xml:space="preserve">Open Item </v>
      </c>
      <c r="C128" s="143"/>
      <c r="D128" s="104">
        <f>SUM('SCHEDULE OF VALUE WORKSHEET'!E98)</f>
        <v>0</v>
      </c>
      <c r="E128" s="104">
        <f>SUM('Draw #9'!E128:F128)</f>
        <v>0</v>
      </c>
      <c r="F128" s="105">
        <v>0</v>
      </c>
      <c r="G128" s="104">
        <f>SUM('Draw #9'!G128)+F128</f>
        <v>0</v>
      </c>
      <c r="H128" s="109">
        <f t="shared" si="4"/>
        <v>0</v>
      </c>
      <c r="I128" s="110">
        <v>0</v>
      </c>
      <c r="J128" s="109">
        <f>SUM(I128+'Draw #9'!J128)</f>
        <v>0</v>
      </c>
      <c r="K128" s="101" t="str">
        <f t="shared" si="5"/>
        <v/>
      </c>
    </row>
    <row r="129" spans="1:11" ht="14.1" customHeight="1">
      <c r="A129" s="4">
        <f>'SCHEDULE OF VALUE WORKSHEET'!A99</f>
        <v>94</v>
      </c>
      <c r="B129" s="142" t="str">
        <f>'SCHEDULE OF VALUE WORKSHEET'!B99</f>
        <v xml:space="preserve">Open Item </v>
      </c>
      <c r="C129" s="143"/>
      <c r="D129" s="104">
        <f>SUM('SCHEDULE OF VALUE WORKSHEET'!E99)</f>
        <v>0</v>
      </c>
      <c r="E129" s="104">
        <f>SUM('Draw #9'!E129:F129)</f>
        <v>0</v>
      </c>
      <c r="F129" s="105">
        <v>0</v>
      </c>
      <c r="G129" s="104">
        <f>SUM('Draw #9'!G129)+F129</f>
        <v>0</v>
      </c>
      <c r="H129" s="109">
        <f t="shared" si="4"/>
        <v>0</v>
      </c>
      <c r="I129" s="110">
        <v>0</v>
      </c>
      <c r="J129" s="109">
        <f>SUM(I129+'Draw #9'!J129)</f>
        <v>0</v>
      </c>
      <c r="K129" s="101" t="str">
        <f t="shared" si="5"/>
        <v/>
      </c>
    </row>
    <row r="130" spans="1:11" ht="14.1" customHeight="1">
      <c r="A130" s="4">
        <f>'SCHEDULE OF VALUE WORKSHEET'!A100</f>
        <v>95</v>
      </c>
      <c r="B130" s="142" t="str">
        <f>'SCHEDULE OF VALUE WORKSHEET'!B100</f>
        <v xml:space="preserve">Open Item </v>
      </c>
      <c r="C130" s="143"/>
      <c r="D130" s="104">
        <f>SUM('SCHEDULE OF VALUE WORKSHEET'!E100)</f>
        <v>0</v>
      </c>
      <c r="E130" s="104">
        <f>SUM('Draw #9'!E130:F130)</f>
        <v>0</v>
      </c>
      <c r="F130" s="105">
        <v>0</v>
      </c>
      <c r="G130" s="104">
        <f>SUM('Draw #9'!G130)+F130</f>
        <v>0</v>
      </c>
      <c r="H130" s="109">
        <f t="shared" si="4"/>
        <v>0</v>
      </c>
      <c r="I130" s="110">
        <v>0</v>
      </c>
      <c r="J130" s="109">
        <f>SUM(I130+'Draw #9'!J130)</f>
        <v>0</v>
      </c>
      <c r="K130" s="101" t="str">
        <f t="shared" si="5"/>
        <v/>
      </c>
    </row>
    <row r="131" spans="1:11" ht="14.1" customHeight="1">
      <c r="A131" s="4">
        <f>'SCHEDULE OF VALUE WORKSHEET'!A101</f>
        <v>96</v>
      </c>
      <c r="B131" s="142" t="str">
        <f>'SCHEDULE OF VALUE WORKSHEET'!B101</f>
        <v xml:space="preserve">Open Item </v>
      </c>
      <c r="C131" s="143"/>
      <c r="D131" s="104">
        <f>SUM('SCHEDULE OF VALUE WORKSHEET'!E101)</f>
        <v>0</v>
      </c>
      <c r="E131" s="104">
        <f>SUM('Draw #9'!E131:F131)</f>
        <v>0</v>
      </c>
      <c r="F131" s="105">
        <v>0</v>
      </c>
      <c r="G131" s="104">
        <f>SUM('Draw #9'!G131)+F131</f>
        <v>0</v>
      </c>
      <c r="H131" s="109">
        <f t="shared" si="4"/>
        <v>0</v>
      </c>
      <c r="I131" s="110">
        <v>0</v>
      </c>
      <c r="J131" s="109">
        <f>SUM(I131+'Draw #9'!J131)</f>
        <v>0</v>
      </c>
      <c r="K131" s="101" t="str">
        <f t="shared" si="5"/>
        <v/>
      </c>
    </row>
    <row r="132" spans="1:11" ht="14.1" customHeight="1">
      <c r="A132" s="4">
        <f>'SCHEDULE OF VALUE WORKSHEET'!A102</f>
        <v>97</v>
      </c>
      <c r="B132" s="142" t="str">
        <f>'SCHEDULE OF VALUE WORKSHEET'!B102</f>
        <v xml:space="preserve">Open Item </v>
      </c>
      <c r="C132" s="143"/>
      <c r="D132" s="104">
        <f>SUM('SCHEDULE OF VALUE WORKSHEET'!E102)</f>
        <v>0</v>
      </c>
      <c r="E132" s="104">
        <f>SUM('Draw #9'!E132:F132)</f>
        <v>0</v>
      </c>
      <c r="F132" s="105">
        <v>0</v>
      </c>
      <c r="G132" s="104">
        <f>SUM('Draw #9'!G132)+F132</f>
        <v>0</v>
      </c>
      <c r="H132" s="109">
        <f t="shared" si="4"/>
        <v>0</v>
      </c>
      <c r="I132" s="110">
        <v>0</v>
      </c>
      <c r="J132" s="109">
        <f>SUM(I132+'Draw #9'!J132)</f>
        <v>0</v>
      </c>
      <c r="K132" s="101" t="str">
        <f t="shared" si="5"/>
        <v/>
      </c>
    </row>
    <row r="133" spans="1:11" ht="14.1" customHeight="1">
      <c r="A133" s="4">
        <f>'SCHEDULE OF VALUE WORKSHEET'!A103</f>
        <v>98</v>
      </c>
      <c r="B133" s="142" t="str">
        <f>'SCHEDULE OF VALUE WORKSHEET'!B103</f>
        <v xml:space="preserve">Open Item </v>
      </c>
      <c r="C133" s="143"/>
      <c r="D133" s="104">
        <f>SUM('SCHEDULE OF VALUE WORKSHEET'!E103)</f>
        <v>0</v>
      </c>
      <c r="E133" s="104">
        <f>SUM('Draw #9'!E133:F133)</f>
        <v>0</v>
      </c>
      <c r="F133" s="105">
        <v>0</v>
      </c>
      <c r="G133" s="104">
        <f>SUM('Draw #9'!G133)+F133</f>
        <v>0</v>
      </c>
      <c r="H133" s="109">
        <f t="shared" si="4"/>
        <v>0</v>
      </c>
      <c r="I133" s="110">
        <v>0</v>
      </c>
      <c r="J133" s="109">
        <f>SUM(I133+'Draw #9'!J133)</f>
        <v>0</v>
      </c>
      <c r="K133" s="101" t="str">
        <f t="shared" si="5"/>
        <v/>
      </c>
    </row>
    <row r="134" spans="1:11" ht="14.1" customHeight="1">
      <c r="A134" s="4">
        <f>'SCHEDULE OF VALUE WORKSHEET'!A104</f>
        <v>99</v>
      </c>
      <c r="B134" s="142" t="str">
        <f>'SCHEDULE OF VALUE WORKSHEET'!B104</f>
        <v xml:space="preserve">Open Item </v>
      </c>
      <c r="C134" s="143"/>
      <c r="D134" s="104">
        <f>SUM('SCHEDULE OF VALUE WORKSHEET'!E104)</f>
        <v>0</v>
      </c>
      <c r="E134" s="104">
        <f>SUM('Draw #9'!E134:F134)</f>
        <v>0</v>
      </c>
      <c r="F134" s="105">
        <v>0</v>
      </c>
      <c r="G134" s="104">
        <f>SUM('Draw #9'!G134)+F134</f>
        <v>0</v>
      </c>
      <c r="H134" s="109">
        <f t="shared" si="4"/>
        <v>0</v>
      </c>
      <c r="I134" s="110">
        <v>0</v>
      </c>
      <c r="J134" s="109">
        <f>SUM(I134+'Draw #9'!J134)</f>
        <v>0</v>
      </c>
      <c r="K134" s="101" t="str">
        <f t="shared" si="5"/>
        <v/>
      </c>
    </row>
    <row r="135" spans="1:11" ht="14.1" customHeight="1">
      <c r="A135" s="4" t="e">
        <f>'SCHEDULE OF VALUE WORKSHEET'!#REF!</f>
        <v>#REF!</v>
      </c>
      <c r="B135" s="142" t="e">
        <f>'SCHEDULE OF VALUE WORKSHEET'!#REF!</f>
        <v>#REF!</v>
      </c>
      <c r="C135" s="143"/>
      <c r="D135" s="104" t="e">
        <f>SUM('SCHEDULE OF VALUE WORKSHEET'!#REF!)</f>
        <v>#REF!</v>
      </c>
      <c r="E135" s="104">
        <f>SUM('Draw #9'!E135:F135)</f>
        <v>0</v>
      </c>
      <c r="F135" s="105">
        <v>0</v>
      </c>
      <c r="G135" s="104" t="e">
        <f>SUM('Draw #9'!G135)+F135</f>
        <v>#REF!</v>
      </c>
      <c r="H135" s="109" t="e">
        <f t="shared" si="4"/>
        <v>#REF!</v>
      </c>
      <c r="I135" s="110">
        <v>0</v>
      </c>
      <c r="J135" s="109">
        <f>SUM(I135+'Draw #9'!J135)</f>
        <v>0</v>
      </c>
      <c r="K135" s="101" t="str">
        <f t="shared" si="5"/>
        <v/>
      </c>
    </row>
    <row r="136" spans="1:11" ht="14.1" customHeight="1">
      <c r="A136" s="165"/>
      <c r="B136" s="166"/>
      <c r="C136" s="166"/>
      <c r="D136" s="166"/>
      <c r="E136" s="166"/>
      <c r="F136" s="166"/>
      <c r="G136" s="166"/>
      <c r="H136" s="166"/>
      <c r="I136" s="166"/>
      <c r="J136" s="166"/>
      <c r="K136" s="167"/>
    </row>
    <row r="137" spans="1:11" ht="18.75" customHeight="1">
      <c r="A137" s="7"/>
      <c r="B137" s="168" t="s">
        <v>2</v>
      </c>
      <c r="C137" s="168"/>
      <c r="D137" s="25" t="e">
        <f t="shared" ref="D137:J137" si="6">SUM(D10:D135)</f>
        <v>#REF!</v>
      </c>
      <c r="E137" s="25">
        <f t="shared" si="6"/>
        <v>0</v>
      </c>
      <c r="F137" s="25">
        <f t="shared" si="6"/>
        <v>0</v>
      </c>
      <c r="G137" s="25" t="e">
        <f t="shared" si="6"/>
        <v>#REF!</v>
      </c>
      <c r="H137" s="25" t="e">
        <f t="shared" si="6"/>
        <v>#REF!</v>
      </c>
      <c r="I137" s="25">
        <f t="shared" si="6"/>
        <v>0</v>
      </c>
      <c r="J137" s="25">
        <f t="shared" si="6"/>
        <v>0</v>
      </c>
      <c r="K137" s="17"/>
    </row>
    <row r="138" spans="1:11" ht="14.1" customHeight="1">
      <c r="A138" s="2"/>
      <c r="B138" s="2"/>
      <c r="C138" s="2"/>
      <c r="D138" s="2"/>
      <c r="E138" s="2"/>
      <c r="F138" s="2"/>
      <c r="G138" s="2"/>
    </row>
    <row r="139" spans="1:11" ht="14.1" customHeight="1">
      <c r="G139" s="2"/>
      <c r="H139" s="140"/>
      <c r="I139" s="140"/>
      <c r="J139" s="140"/>
    </row>
    <row r="140" spans="1:11" ht="14.1" customHeight="1">
      <c r="G140" s="2"/>
    </row>
    <row r="141" spans="1:11" ht="14.1" customHeight="1">
      <c r="G141" s="2"/>
      <c r="H141" s="8"/>
    </row>
    <row r="142" spans="1:11" ht="14.1" customHeight="1">
      <c r="G142" s="2"/>
      <c r="H142" s="8"/>
    </row>
    <row r="143" spans="1:11" ht="14.1" customHeight="1">
      <c r="G143" s="2"/>
    </row>
    <row r="144" spans="1:11" ht="14.1" customHeight="1">
      <c r="G144" s="2"/>
    </row>
    <row r="145" spans="7:7" ht="14.1" customHeight="1">
      <c r="G145" s="2"/>
    </row>
    <row r="146" spans="7:7" ht="14.1" customHeight="1">
      <c r="G146" s="2"/>
    </row>
    <row r="147" spans="7:7" ht="14.1" customHeight="1">
      <c r="G147" s="2"/>
    </row>
    <row r="148" spans="7:7" ht="14.1" customHeight="1">
      <c r="G148" s="3"/>
    </row>
  </sheetData>
  <sheetProtection algorithmName="SHA-512" hashValue="v4Sf15aOP8y9Mr37A344eBc66B/t4S3BLVSjCeaUjmfZw5pBAFmoB0/LolCrZJiBLlR8AukGgdNcnaMMzH8ZSQ==" saltValue="+3ZAGidmH0dlVkaQnWtzsg==" spinCount="100000" sheet="1" selectLockedCells="1"/>
  <mergeCells count="136">
    <mergeCell ref="A1:K2"/>
    <mergeCell ref="B83:C83"/>
    <mergeCell ref="B84:C84"/>
    <mergeCell ref="B85:C85"/>
    <mergeCell ref="B86:C86"/>
    <mergeCell ref="B8:C9"/>
    <mergeCell ref="D8:D9"/>
    <mergeCell ref="G8:G9"/>
    <mergeCell ref="J8:K8"/>
    <mergeCell ref="J9:K9"/>
    <mergeCell ref="F8:F9"/>
    <mergeCell ref="B10:C10"/>
    <mergeCell ref="B11:C11"/>
    <mergeCell ref="B12:C12"/>
    <mergeCell ref="B13:C13"/>
    <mergeCell ref="B26:C26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4:C34"/>
    <mergeCell ref="B35:C35"/>
    <mergeCell ref="B32:C32"/>
    <mergeCell ref="B33:C33"/>
    <mergeCell ref="B27:C27"/>
    <mergeCell ref="B36:C36"/>
    <mergeCell ref="B37:C37"/>
    <mergeCell ref="B82:C82"/>
    <mergeCell ref="A136:K136"/>
    <mergeCell ref="B38:C38"/>
    <mergeCell ref="B39:C39"/>
    <mergeCell ref="B87:C87"/>
    <mergeCell ref="B88:C88"/>
    <mergeCell ref="B89:C89"/>
    <mergeCell ref="B90:C90"/>
    <mergeCell ref="B130:C130"/>
    <mergeCell ref="B104:C104"/>
    <mergeCell ref="B116:C116"/>
    <mergeCell ref="B117:C117"/>
    <mergeCell ref="B118:C118"/>
    <mergeCell ref="B119:C119"/>
    <mergeCell ref="B120:C120"/>
    <mergeCell ref="B106:C106"/>
    <mergeCell ref="B107:C107"/>
    <mergeCell ref="B108:C108"/>
    <mergeCell ref="B131:C131"/>
    <mergeCell ref="B132:C132"/>
    <mergeCell ref="B133:C133"/>
    <mergeCell ref="B134:C134"/>
    <mergeCell ref="B137:C137"/>
    <mergeCell ref="H139:J139"/>
    <mergeCell ref="B40:C40"/>
    <mergeCell ref="B41:C41"/>
    <mergeCell ref="B42:C42"/>
    <mergeCell ref="B43:C43"/>
    <mergeCell ref="B44:C44"/>
    <mergeCell ref="B81:C81"/>
    <mergeCell ref="B91:C91"/>
    <mergeCell ref="B92:C92"/>
    <mergeCell ref="B135:C135"/>
    <mergeCell ref="B125:C125"/>
    <mergeCell ref="B126:C126"/>
    <mergeCell ref="B127:C127"/>
    <mergeCell ref="B128:C128"/>
    <mergeCell ref="B129:C129"/>
    <mergeCell ref="B51:C51"/>
    <mergeCell ref="B52:C52"/>
    <mergeCell ref="B53:C53"/>
    <mergeCell ref="B54:C54"/>
    <mergeCell ref="B55:C55"/>
    <mergeCell ref="B56:C56"/>
    <mergeCell ref="B45:C45"/>
    <mergeCell ref="B46:C46"/>
    <mergeCell ref="B47:C47"/>
    <mergeCell ref="B48:C48"/>
    <mergeCell ref="B49:C49"/>
    <mergeCell ref="B50:C50"/>
    <mergeCell ref="B63:C63"/>
    <mergeCell ref="B64:C64"/>
    <mergeCell ref="B65:C65"/>
    <mergeCell ref="B66:C66"/>
    <mergeCell ref="B67:C67"/>
    <mergeCell ref="B68:C68"/>
    <mergeCell ref="B57:C57"/>
    <mergeCell ref="B58:C58"/>
    <mergeCell ref="B59:C59"/>
    <mergeCell ref="B60:C60"/>
    <mergeCell ref="B61:C61"/>
    <mergeCell ref="B62:C62"/>
    <mergeCell ref="B75:C75"/>
    <mergeCell ref="B76:C76"/>
    <mergeCell ref="B77:C77"/>
    <mergeCell ref="B78:C78"/>
    <mergeCell ref="B79:C79"/>
    <mergeCell ref="B80:C80"/>
    <mergeCell ref="B69:C69"/>
    <mergeCell ref="B70:C70"/>
    <mergeCell ref="B71:C71"/>
    <mergeCell ref="B72:C72"/>
    <mergeCell ref="B73:C73"/>
    <mergeCell ref="B74:C74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115:C115"/>
    <mergeCell ref="B121:C121"/>
    <mergeCell ref="B122:C122"/>
    <mergeCell ref="B123:C123"/>
    <mergeCell ref="B124:C124"/>
    <mergeCell ref="B109:C109"/>
    <mergeCell ref="B110:C110"/>
    <mergeCell ref="B111:C111"/>
    <mergeCell ref="B112:C112"/>
    <mergeCell ref="B113:C113"/>
    <mergeCell ref="B114:C114"/>
  </mergeCells>
  <conditionalFormatting sqref="B10:K135">
    <cfRule type="expression" dxfId="43" priority="3" stopIfTrue="1">
      <formula>$I10&gt;0</formula>
    </cfRule>
    <cfRule type="expression" dxfId="42" priority="4" stopIfTrue="1">
      <formula>$K10=100%</formula>
    </cfRule>
  </conditionalFormatting>
  <conditionalFormatting sqref="D10:K135">
    <cfRule type="expression" dxfId="41" priority="1" stopIfTrue="1">
      <formula>$K10=""</formula>
    </cfRule>
    <cfRule type="expression" dxfId="40" priority="2" stopIfTrue="1">
      <formula>$K10&gt;100%</formula>
    </cfRule>
  </conditionalFormatting>
  <pageMargins left="0.7" right="0.7" top="0.75" bottom="0.75" header="0.3" footer="0.3"/>
  <pageSetup scale="7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148"/>
  <sheetViews>
    <sheetView showGridLines="0" showRuler="0" zoomScale="90" zoomScaleNormal="90" zoomScaleSheetLayoutView="100" workbookViewId="0">
      <selection activeCell="F22" sqref="F22"/>
    </sheetView>
  </sheetViews>
  <sheetFormatPr defaultColWidth="6.59765625" defaultRowHeight="12.95" customHeight="1"/>
  <cols>
    <col min="1" max="1" width="4.8984375" style="1" customWidth="1"/>
    <col min="2" max="2" width="5.69921875" style="1" customWidth="1"/>
    <col min="3" max="3" width="15.19921875" style="1" customWidth="1"/>
    <col min="4" max="5" width="10.59765625" style="1" customWidth="1"/>
    <col min="6" max="9" width="10.69921875" style="1" customWidth="1"/>
    <col min="10" max="10" width="10.59765625" style="1" customWidth="1"/>
    <col min="11" max="11" width="5.09765625" style="18" customWidth="1"/>
    <col min="12" max="13" width="4.69921875" style="1" customWidth="1"/>
    <col min="14" max="16384" width="6.59765625" style="1"/>
  </cols>
  <sheetData>
    <row r="1" spans="1:13" ht="15.75">
      <c r="A1" s="171" t="s">
        <v>18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</row>
    <row r="2" spans="1:13" ht="15.75">
      <c r="A2" s="174"/>
      <c r="B2" s="153"/>
      <c r="C2" s="153"/>
      <c r="D2" s="153"/>
      <c r="E2" s="153"/>
      <c r="F2" s="153"/>
      <c r="G2" s="153"/>
      <c r="H2" s="153"/>
      <c r="I2" s="153"/>
      <c r="J2" s="153"/>
      <c r="K2" s="175"/>
    </row>
    <row r="3" spans="1:13" ht="15.75">
      <c r="A3" s="74"/>
      <c r="B3" s="13" t="s">
        <v>7</v>
      </c>
      <c r="C3" s="35" t="str">
        <f>'SCHEDULE OF VALUE WORKSHEET'!$B$3</f>
        <v>Angeleno Investments</v>
      </c>
      <c r="F3" s="6"/>
      <c r="G3" s="28"/>
      <c r="H3" s="55"/>
      <c r="I3" s="41" t="s">
        <v>5</v>
      </c>
      <c r="J3" s="38">
        <f>SUM(J137)</f>
        <v>0</v>
      </c>
      <c r="K3" s="80" t="e">
        <f>SUM(J3)/J7</f>
        <v>#REF!</v>
      </c>
    </row>
    <row r="4" spans="1:13" ht="16.350000000000001" customHeight="1">
      <c r="A4" s="74"/>
      <c r="B4" s="34" t="s">
        <v>0</v>
      </c>
      <c r="C4" s="36">
        <f ca="1">TODAY()</f>
        <v>45978</v>
      </c>
      <c r="D4" s="36"/>
      <c r="E4" s="36"/>
      <c r="F4" s="15"/>
      <c r="G4" s="3"/>
      <c r="H4" s="75"/>
      <c r="I4" s="41" t="s">
        <v>13</v>
      </c>
      <c r="J4" s="38" t="e">
        <f>SUM(H137)</f>
        <v>#REF!</v>
      </c>
      <c r="K4" s="80"/>
    </row>
    <row r="5" spans="1:13" ht="15.75">
      <c r="A5" s="74"/>
      <c r="B5" s="34" t="s">
        <v>6</v>
      </c>
      <c r="C5" s="37" t="str">
        <f>'SCHEDULE OF VALUE WORKSHEET'!B5</f>
        <v>10910 Huston Street</v>
      </c>
      <c r="F5" s="56"/>
      <c r="G5" s="57"/>
      <c r="H5" s="75"/>
      <c r="I5" s="41" t="s">
        <v>14</v>
      </c>
      <c r="J5" s="38" t="e">
        <f>SUM(D137)</f>
        <v>#REF!</v>
      </c>
      <c r="K5" s="80"/>
    </row>
    <row r="6" spans="1:13" ht="15.75">
      <c r="A6" s="74"/>
      <c r="B6" s="34" t="s">
        <v>20</v>
      </c>
      <c r="C6" s="48">
        <f>SUM(I137)</f>
        <v>0</v>
      </c>
      <c r="D6" s="6"/>
      <c r="E6" s="6"/>
      <c r="F6" s="6"/>
      <c r="G6" s="57"/>
      <c r="H6" s="75"/>
      <c r="I6" s="42" t="s">
        <v>17</v>
      </c>
      <c r="J6" s="38">
        <f>SUM(F137)</f>
        <v>0</v>
      </c>
      <c r="K6" s="80"/>
    </row>
    <row r="7" spans="1:13" ht="15.75">
      <c r="A7" s="78"/>
      <c r="G7" s="28"/>
      <c r="H7" s="20"/>
      <c r="I7" s="34" t="s">
        <v>15</v>
      </c>
      <c r="J7" s="29" t="e">
        <f>SUM(G137)</f>
        <v>#REF!</v>
      </c>
      <c r="K7" s="80"/>
    </row>
    <row r="8" spans="1:13" ht="15.75">
      <c r="A8" s="19"/>
      <c r="B8" s="169" t="s">
        <v>1</v>
      </c>
      <c r="C8" s="170"/>
      <c r="D8" s="177" t="s">
        <v>8</v>
      </c>
      <c r="E8" s="102" t="s">
        <v>24</v>
      </c>
      <c r="F8" s="176" t="s">
        <v>26</v>
      </c>
      <c r="G8" s="177" t="s">
        <v>9</v>
      </c>
      <c r="H8" s="30" t="s">
        <v>10</v>
      </c>
      <c r="I8" s="31" t="s">
        <v>12</v>
      </c>
      <c r="J8" s="178" t="s">
        <v>3</v>
      </c>
      <c r="K8" s="179"/>
      <c r="L8" s="12"/>
      <c r="M8" s="12"/>
    </row>
    <row r="9" spans="1:13" ht="14.1" customHeight="1">
      <c r="A9" s="19"/>
      <c r="B9" s="146"/>
      <c r="C9" s="147"/>
      <c r="D9" s="162"/>
      <c r="E9" s="103" t="s">
        <v>25</v>
      </c>
      <c r="F9" s="164"/>
      <c r="G9" s="162"/>
      <c r="H9" s="32" t="s">
        <v>22</v>
      </c>
      <c r="I9" s="33">
        <v>11</v>
      </c>
      <c r="J9" s="180" t="s">
        <v>4</v>
      </c>
      <c r="K9" s="181"/>
      <c r="L9" s="12"/>
      <c r="M9" s="12"/>
    </row>
    <row r="10" spans="1:13" ht="14.1" customHeight="1">
      <c r="A10" s="4">
        <f>'SCHEDULE OF VALUE WORKSHEET'!A7</f>
        <v>1</v>
      </c>
      <c r="B10" s="142" t="str">
        <f>'SCHEDULE OF VALUE WORKSHEET'!B7</f>
        <v>SOFT COSTS</v>
      </c>
      <c r="C10" s="143"/>
      <c r="D10" s="104">
        <f>SUM('SCHEDULE OF VALUE WORKSHEET'!E7)</f>
        <v>0</v>
      </c>
      <c r="E10" s="104">
        <f>SUM('Draw #10'!E10:F10)</f>
        <v>0</v>
      </c>
      <c r="F10" s="105">
        <v>0</v>
      </c>
      <c r="G10" s="104">
        <f>SUM('Draw #10'!G10)+F10</f>
        <v>0</v>
      </c>
      <c r="H10" s="109">
        <f>SUM(G10-J10)</f>
        <v>0</v>
      </c>
      <c r="I10" s="110">
        <v>0</v>
      </c>
      <c r="J10" s="109">
        <f>SUM(I10+'Draw #10'!J10)</f>
        <v>0</v>
      </c>
      <c r="K10" s="101" t="str">
        <f>IF(J10=0,"",J10/G10)</f>
        <v/>
      </c>
      <c r="L10" s="9"/>
      <c r="M10" s="9"/>
    </row>
    <row r="11" spans="1:13" ht="14.1" customHeight="1">
      <c r="A11" s="4">
        <f>'SCHEDULE OF VALUE WORKSHEET'!A8</f>
        <v>2</v>
      </c>
      <c r="B11" s="142" t="str">
        <f>'SCHEDULE OF VALUE WORKSHEET'!B8</f>
        <v>Site Security</v>
      </c>
      <c r="C11" s="143"/>
      <c r="D11" s="104">
        <f>SUM('SCHEDULE OF VALUE WORKSHEET'!E8)</f>
        <v>10580.63</v>
      </c>
      <c r="E11" s="104">
        <f>SUM('Draw #10'!E11:F11)</f>
        <v>0</v>
      </c>
      <c r="F11" s="105">
        <v>0</v>
      </c>
      <c r="G11" s="104">
        <f>SUM('Draw #10'!G11)+F11</f>
        <v>10580.63</v>
      </c>
      <c r="H11" s="109">
        <f t="shared" ref="H11:H74" si="0">SUM(G11-J11)</f>
        <v>10580.63</v>
      </c>
      <c r="I11" s="110">
        <v>0</v>
      </c>
      <c r="J11" s="109">
        <f>SUM(I11+'Draw #10'!J11)</f>
        <v>0</v>
      </c>
      <c r="K11" s="101" t="str">
        <f t="shared" ref="K11:K74" si="1">IF(J11=0,"",J11/G11)</f>
        <v/>
      </c>
      <c r="L11" s="9"/>
      <c r="M11" s="9"/>
    </row>
    <row r="12" spans="1:13" ht="14.1" customHeight="1">
      <c r="A12" s="4">
        <f>'SCHEDULE OF VALUE WORKSHEET'!A9</f>
        <v>3</v>
      </c>
      <c r="B12" s="142" t="str">
        <f>'SCHEDULE OF VALUE WORKSHEET'!B9</f>
        <v>Soils Inspection</v>
      </c>
      <c r="C12" s="143"/>
      <c r="D12" s="104">
        <f>SUM('SCHEDULE OF VALUE WORKSHEET'!E9)</f>
        <v>0</v>
      </c>
      <c r="E12" s="104">
        <f>SUM('Draw #10'!E12:F12)</f>
        <v>0</v>
      </c>
      <c r="F12" s="105">
        <v>0</v>
      </c>
      <c r="G12" s="104">
        <f>SUM('Draw #10'!G12)+F12</f>
        <v>0</v>
      </c>
      <c r="H12" s="109">
        <f t="shared" si="0"/>
        <v>0</v>
      </c>
      <c r="I12" s="110">
        <v>0</v>
      </c>
      <c r="J12" s="109">
        <f>SUM(I12+'Draw #10'!J12)</f>
        <v>0</v>
      </c>
      <c r="K12" s="101" t="str">
        <f t="shared" si="1"/>
        <v/>
      </c>
      <c r="L12" s="9"/>
      <c r="M12" s="9"/>
    </row>
    <row r="13" spans="1:13" ht="14.1" customHeight="1">
      <c r="A13" s="4">
        <f>'SCHEDULE OF VALUE WORKSHEET'!A10</f>
        <v>4</v>
      </c>
      <c r="B13" s="142" t="str">
        <f>'SCHEDULE OF VALUE WORKSHEET'!B10</f>
        <v>Offsites (Transformer)</v>
      </c>
      <c r="C13" s="143"/>
      <c r="D13" s="104">
        <f>SUM('SCHEDULE OF VALUE WORKSHEET'!E10)</f>
        <v>20000</v>
      </c>
      <c r="E13" s="104">
        <f>SUM('Draw #10'!E13:F13)</f>
        <v>0</v>
      </c>
      <c r="F13" s="105">
        <v>0</v>
      </c>
      <c r="G13" s="104">
        <f>SUM('Draw #10'!G13)+F13</f>
        <v>20000</v>
      </c>
      <c r="H13" s="109">
        <f t="shared" si="0"/>
        <v>20000</v>
      </c>
      <c r="I13" s="110">
        <v>0</v>
      </c>
      <c r="J13" s="109">
        <f>SUM(I13+'Draw #10'!J13)</f>
        <v>0</v>
      </c>
      <c r="K13" s="101" t="str">
        <f t="shared" si="1"/>
        <v/>
      </c>
      <c r="L13" s="9"/>
      <c r="M13" s="9"/>
    </row>
    <row r="14" spans="1:13" ht="14.1" customHeight="1">
      <c r="A14" s="4">
        <f>'SCHEDULE OF VALUE WORKSHEET'!A11</f>
        <v>5</v>
      </c>
      <c r="B14" s="142" t="str">
        <f>'SCHEDULE OF VALUE WORKSHEET'!B11</f>
        <v>Plan Check Fees</v>
      </c>
      <c r="C14" s="143"/>
      <c r="D14" s="104">
        <f>SUM('SCHEDULE OF VALUE WORKSHEET'!E11)</f>
        <v>0</v>
      </c>
      <c r="E14" s="104">
        <f>SUM('Draw #10'!E14:F14)</f>
        <v>0</v>
      </c>
      <c r="F14" s="105">
        <v>0</v>
      </c>
      <c r="G14" s="104">
        <f>SUM('Draw #10'!G14)+F14</f>
        <v>0</v>
      </c>
      <c r="H14" s="109">
        <f t="shared" si="0"/>
        <v>0</v>
      </c>
      <c r="I14" s="110">
        <v>0</v>
      </c>
      <c r="J14" s="109">
        <f>SUM(I14+'Draw #10'!J14)</f>
        <v>0</v>
      </c>
      <c r="K14" s="101" t="str">
        <f t="shared" si="1"/>
        <v/>
      </c>
      <c r="L14" s="9"/>
      <c r="M14" s="9"/>
    </row>
    <row r="15" spans="1:13" ht="14.1" customHeight="1">
      <c r="A15" s="4">
        <f>'SCHEDULE OF VALUE WORKSHEET'!A12</f>
        <v>6</v>
      </c>
      <c r="B15" s="142" t="str">
        <f>'SCHEDULE OF VALUE WORKSHEET'!B12</f>
        <v>Permits</v>
      </c>
      <c r="C15" s="143"/>
      <c r="D15" s="104">
        <f>SUM('SCHEDULE OF VALUE WORKSHEET'!E12)</f>
        <v>0</v>
      </c>
      <c r="E15" s="104">
        <f>SUM('Draw #10'!E15:F15)</f>
        <v>0</v>
      </c>
      <c r="F15" s="105">
        <v>0</v>
      </c>
      <c r="G15" s="104">
        <f>SUM('Draw #10'!G15)+F15</f>
        <v>0</v>
      </c>
      <c r="H15" s="109">
        <f t="shared" si="0"/>
        <v>0</v>
      </c>
      <c r="I15" s="110">
        <v>0</v>
      </c>
      <c r="J15" s="109">
        <f>SUM(I15+'Draw #10'!J15)</f>
        <v>0</v>
      </c>
      <c r="K15" s="101" t="str">
        <f t="shared" si="1"/>
        <v/>
      </c>
      <c r="L15" s="9"/>
      <c r="M15" s="9"/>
    </row>
    <row r="16" spans="1:13" ht="14.1" customHeight="1">
      <c r="A16" s="4">
        <f>'SCHEDULE OF VALUE WORKSHEET'!A13</f>
        <v>7</v>
      </c>
      <c r="B16" s="142" t="str">
        <f>'SCHEDULE OF VALUE WORKSHEET'!B13</f>
        <v>Survey</v>
      </c>
      <c r="C16" s="143"/>
      <c r="D16" s="104">
        <f>SUM('SCHEDULE OF VALUE WORKSHEET'!E13)</f>
        <v>0</v>
      </c>
      <c r="E16" s="104">
        <f>SUM('Draw #10'!E16:F16)</f>
        <v>0</v>
      </c>
      <c r="F16" s="105">
        <v>0</v>
      </c>
      <c r="G16" s="104">
        <f>SUM('Draw #10'!G16)+F16</f>
        <v>0</v>
      </c>
      <c r="H16" s="109">
        <f t="shared" si="0"/>
        <v>0</v>
      </c>
      <c r="I16" s="110">
        <v>0</v>
      </c>
      <c r="J16" s="109">
        <f>SUM(I16+'Draw #10'!J16)</f>
        <v>0</v>
      </c>
      <c r="K16" s="101" t="str">
        <f t="shared" si="1"/>
        <v/>
      </c>
      <c r="L16" s="9"/>
      <c r="M16" s="9"/>
    </row>
    <row r="17" spans="1:13" ht="14.1" customHeight="1">
      <c r="A17" s="4">
        <f>'SCHEDULE OF VALUE WORKSHEET'!A14</f>
        <v>8</v>
      </c>
      <c r="B17" s="142" t="str">
        <f>'SCHEDULE OF VALUE WORKSHEET'!B14</f>
        <v>Soils Engineer</v>
      </c>
      <c r="C17" s="143"/>
      <c r="D17" s="104">
        <f>SUM('SCHEDULE OF VALUE WORKSHEET'!E14)</f>
        <v>0</v>
      </c>
      <c r="E17" s="104">
        <f>SUM('Draw #10'!E17:F17)</f>
        <v>0</v>
      </c>
      <c r="F17" s="105">
        <v>0</v>
      </c>
      <c r="G17" s="104">
        <f>SUM('Draw #10'!G17)+F17</f>
        <v>0</v>
      </c>
      <c r="H17" s="109">
        <f t="shared" si="0"/>
        <v>0</v>
      </c>
      <c r="I17" s="110">
        <v>0</v>
      </c>
      <c r="J17" s="109">
        <f>SUM(I17+'Draw #10'!J17)</f>
        <v>0</v>
      </c>
      <c r="K17" s="101" t="str">
        <f t="shared" si="1"/>
        <v/>
      </c>
      <c r="L17" s="9"/>
      <c r="M17" s="9"/>
    </row>
    <row r="18" spans="1:13" ht="14.1" customHeight="1">
      <c r="A18" s="4">
        <f>'SCHEDULE OF VALUE WORKSHEET'!A15</f>
        <v>9</v>
      </c>
      <c r="B18" s="142" t="str">
        <f>'SCHEDULE OF VALUE WORKSHEET'!B15</f>
        <v>Soils Permit + T24</v>
      </c>
      <c r="C18" s="143"/>
      <c r="D18" s="104">
        <f>SUM('SCHEDULE OF VALUE WORKSHEET'!E15)</f>
        <v>2500</v>
      </c>
      <c r="E18" s="104">
        <f>SUM('Draw #10'!E18:F18)</f>
        <v>0</v>
      </c>
      <c r="F18" s="105">
        <v>0</v>
      </c>
      <c r="G18" s="104">
        <f>SUM('Draw #10'!G18)+F18</f>
        <v>2500</v>
      </c>
      <c r="H18" s="109">
        <f t="shared" si="0"/>
        <v>2500</v>
      </c>
      <c r="I18" s="110">
        <v>0</v>
      </c>
      <c r="J18" s="109">
        <f>SUM(I18+'Draw #10'!J18)</f>
        <v>0</v>
      </c>
      <c r="K18" s="101" t="str">
        <f t="shared" si="1"/>
        <v/>
      </c>
      <c r="L18" s="9"/>
      <c r="M18" s="9"/>
    </row>
    <row r="19" spans="1:13" ht="14.1" customHeight="1">
      <c r="A19" s="4">
        <f>'SCHEDULE OF VALUE WORKSHEET'!A16</f>
        <v>10</v>
      </c>
      <c r="B19" s="142" t="str">
        <f>'SCHEDULE OF VALUE WORKSHEET'!B16</f>
        <v>Special Inspections - Deputy</v>
      </c>
      <c r="C19" s="143"/>
      <c r="D19" s="104">
        <f>SUM('SCHEDULE OF VALUE WORKSHEET'!E16)</f>
        <v>15000</v>
      </c>
      <c r="E19" s="104">
        <f>SUM('Draw #10'!E19:F19)</f>
        <v>0</v>
      </c>
      <c r="F19" s="105">
        <v>0</v>
      </c>
      <c r="G19" s="104">
        <f>SUM('Draw #10'!G19)+F19</f>
        <v>15000</v>
      </c>
      <c r="H19" s="109">
        <f t="shared" si="0"/>
        <v>15000</v>
      </c>
      <c r="I19" s="110">
        <v>0</v>
      </c>
      <c r="J19" s="109">
        <f>SUM(I19+'Draw #10'!J19)</f>
        <v>0</v>
      </c>
      <c r="K19" s="101" t="str">
        <f t="shared" si="1"/>
        <v/>
      </c>
      <c r="L19" s="9"/>
      <c r="M19" s="9"/>
    </row>
    <row r="20" spans="1:13" ht="14.1" customHeight="1">
      <c r="A20" s="4">
        <f>'SCHEDULE OF VALUE WORKSHEET'!A17</f>
        <v>11</v>
      </c>
      <c r="B20" s="142" t="str">
        <f>'SCHEDULE OF VALUE WORKSHEET'!B17</f>
        <v>Architect</v>
      </c>
      <c r="C20" s="143"/>
      <c r="D20" s="104">
        <f>SUM('SCHEDULE OF VALUE WORKSHEET'!E17)</f>
        <v>0</v>
      </c>
      <c r="E20" s="104">
        <f>SUM('Draw #10'!E20:F20)</f>
        <v>0</v>
      </c>
      <c r="F20" s="105">
        <v>0</v>
      </c>
      <c r="G20" s="104">
        <f>SUM('Draw #10'!G20)+F20</f>
        <v>0</v>
      </c>
      <c r="H20" s="109">
        <f t="shared" si="0"/>
        <v>0</v>
      </c>
      <c r="I20" s="110">
        <v>0</v>
      </c>
      <c r="J20" s="109">
        <f>SUM(I20+'Draw #10'!J20)</f>
        <v>0</v>
      </c>
      <c r="K20" s="101" t="str">
        <f t="shared" si="1"/>
        <v/>
      </c>
      <c r="L20" s="9"/>
      <c r="M20" s="9"/>
    </row>
    <row r="21" spans="1:13" ht="14.1" customHeight="1">
      <c r="A21" s="4">
        <f>'SCHEDULE OF VALUE WORKSHEET'!A18</f>
        <v>12</v>
      </c>
      <c r="B21" s="142" t="str">
        <f>'SCHEDULE OF VALUE WORKSHEET'!B18</f>
        <v>Structural Engineer</v>
      </c>
      <c r="C21" s="143"/>
      <c r="D21" s="104">
        <f>SUM('SCHEDULE OF VALUE WORKSHEET'!E18)</f>
        <v>0</v>
      </c>
      <c r="E21" s="104">
        <f>SUM('Draw #10'!E21:F21)</f>
        <v>0</v>
      </c>
      <c r="F21" s="105">
        <v>0</v>
      </c>
      <c r="G21" s="104">
        <f>SUM('Draw #10'!G21)+F21</f>
        <v>0</v>
      </c>
      <c r="H21" s="109">
        <f t="shared" si="0"/>
        <v>0</v>
      </c>
      <c r="I21" s="110">
        <v>0</v>
      </c>
      <c r="J21" s="109">
        <f>SUM(I21+'Draw #10'!J21)</f>
        <v>0</v>
      </c>
      <c r="K21" s="101" t="str">
        <f t="shared" si="1"/>
        <v/>
      </c>
      <c r="L21" s="9"/>
      <c r="M21" s="9"/>
    </row>
    <row r="22" spans="1:13" ht="14.1" customHeight="1">
      <c r="A22" s="4">
        <f>'SCHEDULE OF VALUE WORKSHEET'!A19</f>
        <v>13</v>
      </c>
      <c r="B22" s="142" t="str">
        <f>'SCHEDULE OF VALUE WORKSHEET'!B19</f>
        <v>Structural Observation</v>
      </c>
      <c r="C22" s="143"/>
      <c r="D22" s="104">
        <f>SUM('SCHEDULE OF VALUE WORKSHEET'!E19)</f>
        <v>8000</v>
      </c>
      <c r="E22" s="104">
        <f>SUM('Draw #10'!E22:F22)</f>
        <v>0</v>
      </c>
      <c r="F22" s="105">
        <v>0</v>
      </c>
      <c r="G22" s="104">
        <f>SUM('Draw #10'!G22)+F22</f>
        <v>8000</v>
      </c>
      <c r="H22" s="109">
        <f t="shared" si="0"/>
        <v>8000</v>
      </c>
      <c r="I22" s="110">
        <v>0</v>
      </c>
      <c r="J22" s="109">
        <f>SUM(I22+'Draw #10'!J22)</f>
        <v>0</v>
      </c>
      <c r="K22" s="101" t="str">
        <f t="shared" si="1"/>
        <v/>
      </c>
      <c r="L22" s="9"/>
      <c r="M22" s="9"/>
    </row>
    <row r="23" spans="1:13" ht="14.1" customHeight="1">
      <c r="A23" s="4">
        <f>'SCHEDULE OF VALUE WORKSHEET'!A20</f>
        <v>14</v>
      </c>
      <c r="B23" s="142" t="str">
        <f>'SCHEDULE OF VALUE WORKSHEET'!B20</f>
        <v>Civil Engineering</v>
      </c>
      <c r="C23" s="143"/>
      <c r="D23" s="104">
        <f>SUM('SCHEDULE OF VALUE WORKSHEET'!E20)</f>
        <v>0</v>
      </c>
      <c r="E23" s="104">
        <f>SUM('Draw #10'!E23:F23)</f>
        <v>0</v>
      </c>
      <c r="F23" s="105">
        <v>0</v>
      </c>
      <c r="G23" s="104">
        <f>SUM('Draw #10'!G23)+F23</f>
        <v>0</v>
      </c>
      <c r="H23" s="109">
        <f t="shared" si="0"/>
        <v>0</v>
      </c>
      <c r="I23" s="110">
        <v>0</v>
      </c>
      <c r="J23" s="109">
        <f>SUM(I23+'Draw #10'!J23)</f>
        <v>0</v>
      </c>
      <c r="K23" s="101" t="str">
        <f t="shared" si="1"/>
        <v/>
      </c>
      <c r="L23" s="9"/>
      <c r="M23" s="9"/>
    </row>
    <row r="24" spans="1:13" ht="14.1" customHeight="1">
      <c r="A24" s="4">
        <f>'SCHEDULE OF VALUE WORKSHEET'!A21</f>
        <v>15</v>
      </c>
      <c r="B24" s="142" t="str">
        <f>'SCHEDULE OF VALUE WORKSHEET'!B21</f>
        <v>Grading Permit</v>
      </c>
      <c r="C24" s="143"/>
      <c r="D24" s="104">
        <f>SUM('SCHEDULE OF VALUE WORKSHEET'!E21)</f>
        <v>0</v>
      </c>
      <c r="E24" s="104">
        <f>SUM('Draw #10'!E24:F24)</f>
        <v>0</v>
      </c>
      <c r="F24" s="105">
        <v>0</v>
      </c>
      <c r="G24" s="104">
        <f>SUM('Draw #10'!G24)+F24</f>
        <v>0</v>
      </c>
      <c r="H24" s="109">
        <f t="shared" si="0"/>
        <v>0</v>
      </c>
      <c r="I24" s="110">
        <v>0</v>
      </c>
      <c r="J24" s="109">
        <f>SUM(I24+'Draw #10'!J24)</f>
        <v>0</v>
      </c>
      <c r="K24" s="101" t="str">
        <f t="shared" si="1"/>
        <v/>
      </c>
      <c r="L24" s="9"/>
      <c r="M24" s="9"/>
    </row>
    <row r="25" spans="1:13" ht="14.1" customHeight="1">
      <c r="A25" s="4">
        <f>'SCHEDULE OF VALUE WORKSHEET'!A22</f>
        <v>16</v>
      </c>
      <c r="B25" s="142" t="str">
        <f>'SCHEDULE OF VALUE WORKSHEET'!B22</f>
        <v>Landscape Architect/Designer</v>
      </c>
      <c r="C25" s="143"/>
      <c r="D25" s="104">
        <f>SUM('SCHEDULE OF VALUE WORKSHEET'!E22)</f>
        <v>0</v>
      </c>
      <c r="E25" s="104">
        <f>SUM('Draw #10'!E25:F25)</f>
        <v>0</v>
      </c>
      <c r="F25" s="105">
        <v>0</v>
      </c>
      <c r="G25" s="104">
        <f>SUM('Draw #10'!G25)+F25</f>
        <v>0</v>
      </c>
      <c r="H25" s="109">
        <f t="shared" si="0"/>
        <v>0</v>
      </c>
      <c r="I25" s="110">
        <v>0</v>
      </c>
      <c r="J25" s="109">
        <f>SUM(I25+'Draw #10'!J25)</f>
        <v>0</v>
      </c>
      <c r="K25" s="101" t="str">
        <f t="shared" si="1"/>
        <v/>
      </c>
      <c r="L25" s="9"/>
      <c r="M25" s="9"/>
    </row>
    <row r="26" spans="1:13" ht="14.1" customHeight="1">
      <c r="A26" s="4">
        <f>'SCHEDULE OF VALUE WORKSHEET'!A23</f>
        <v>17</v>
      </c>
      <c r="B26" s="142" t="str">
        <f>'SCHEDULE OF VALUE WORKSHEET'!B23</f>
        <v>Driveway Apron Permit</v>
      </c>
      <c r="C26" s="143"/>
      <c r="D26" s="104">
        <f>SUM('SCHEDULE OF VALUE WORKSHEET'!E23)</f>
        <v>2500</v>
      </c>
      <c r="E26" s="104">
        <f>SUM('Draw #10'!E26:F26)</f>
        <v>0</v>
      </c>
      <c r="F26" s="105">
        <v>0</v>
      </c>
      <c r="G26" s="104">
        <f>SUM('Draw #10'!G26)+F26</f>
        <v>2500</v>
      </c>
      <c r="H26" s="109">
        <f t="shared" si="0"/>
        <v>2500</v>
      </c>
      <c r="I26" s="110">
        <v>0</v>
      </c>
      <c r="J26" s="109">
        <f>SUM(I26+'Draw #10'!J26)</f>
        <v>0</v>
      </c>
      <c r="K26" s="101" t="str">
        <f t="shared" si="1"/>
        <v/>
      </c>
      <c r="L26" s="9"/>
      <c r="M26" s="9"/>
    </row>
    <row r="27" spans="1:13" ht="14.1" customHeight="1">
      <c r="A27" s="4">
        <f>'SCHEDULE OF VALUE WORKSHEET'!A24</f>
        <v>18</v>
      </c>
      <c r="B27" s="142" t="str">
        <f>'SCHEDULE OF VALUE WORKSHEET'!B24</f>
        <v>Punch List - Misc.</v>
      </c>
      <c r="C27" s="143"/>
      <c r="D27" s="104">
        <f>SUM('SCHEDULE OF VALUE WORKSHEET'!E24)</f>
        <v>21962.77</v>
      </c>
      <c r="E27" s="104">
        <f>SUM('Draw #10'!E27:F27)</f>
        <v>0</v>
      </c>
      <c r="F27" s="105">
        <v>0</v>
      </c>
      <c r="G27" s="104">
        <f>SUM('Draw #10'!G27)+F27</f>
        <v>21962.77</v>
      </c>
      <c r="H27" s="109">
        <f t="shared" si="0"/>
        <v>21962.77</v>
      </c>
      <c r="I27" s="110">
        <v>0</v>
      </c>
      <c r="J27" s="109">
        <f>SUM(I27+'Draw #10'!J27)</f>
        <v>0</v>
      </c>
      <c r="K27" s="101" t="str">
        <f t="shared" si="1"/>
        <v/>
      </c>
      <c r="L27" s="9"/>
      <c r="M27" s="9"/>
    </row>
    <row r="28" spans="1:13" ht="14.1" customHeight="1">
      <c r="A28" s="4">
        <f>'SCHEDULE OF VALUE WORKSHEET'!A25</f>
        <v>19</v>
      </c>
      <c r="B28" s="142" t="str">
        <f>'SCHEDULE OF VALUE WORKSHEET'!B25</f>
        <v>EBM, Low Voltage, Landscape, Waterproofing CA</v>
      </c>
      <c r="C28" s="143"/>
      <c r="D28" s="104">
        <f>SUM('SCHEDULE OF VALUE WORKSHEET'!E25)</f>
        <v>0</v>
      </c>
      <c r="E28" s="104">
        <f>SUM('Draw #10'!E28:F28)</f>
        <v>0</v>
      </c>
      <c r="F28" s="105">
        <v>0</v>
      </c>
      <c r="G28" s="104">
        <f>SUM('Draw #10'!G28)+F28</f>
        <v>0</v>
      </c>
      <c r="H28" s="109">
        <f t="shared" si="0"/>
        <v>0</v>
      </c>
      <c r="I28" s="110">
        <v>0</v>
      </c>
      <c r="J28" s="109">
        <f>SUM(I28+'Draw #10'!J28)</f>
        <v>0</v>
      </c>
      <c r="K28" s="101" t="str">
        <f t="shared" si="1"/>
        <v/>
      </c>
      <c r="L28" s="9"/>
      <c r="M28" s="9"/>
    </row>
    <row r="29" spans="1:13" ht="14.1" customHeight="1">
      <c r="A29" s="4">
        <f>'SCHEDULE OF VALUE WORKSHEET'!A26</f>
        <v>20</v>
      </c>
      <c r="B29" s="142" t="str">
        <f>'SCHEDULE OF VALUE WORKSHEET'!B26</f>
        <v>Project Accounting/Tax Filing</v>
      </c>
      <c r="C29" s="143"/>
      <c r="D29" s="104">
        <f>SUM('SCHEDULE OF VALUE WORKSHEET'!E26)</f>
        <v>12994.01</v>
      </c>
      <c r="E29" s="104">
        <f>SUM('Draw #10'!E29:F29)</f>
        <v>0</v>
      </c>
      <c r="F29" s="105">
        <v>0</v>
      </c>
      <c r="G29" s="104">
        <f>SUM('Draw #10'!G29)+F29</f>
        <v>12994.01</v>
      </c>
      <c r="H29" s="109">
        <f t="shared" si="0"/>
        <v>12994.01</v>
      </c>
      <c r="I29" s="110">
        <v>0</v>
      </c>
      <c r="J29" s="109">
        <f>SUM(I29+'Draw #10'!J29)</f>
        <v>0</v>
      </c>
      <c r="K29" s="101" t="str">
        <f t="shared" si="1"/>
        <v/>
      </c>
      <c r="L29" s="9"/>
      <c r="M29" s="9"/>
    </row>
    <row r="30" spans="1:13" ht="14.1" customHeight="1">
      <c r="A30" s="4">
        <f>'SCHEDULE OF VALUE WORKSHEET'!A27</f>
        <v>21</v>
      </c>
      <c r="B30" s="142" t="str">
        <f>'SCHEDULE OF VALUE WORKSHEET'!B27</f>
        <v>Legal &amp; Professional Fees</v>
      </c>
      <c r="C30" s="143"/>
      <c r="D30" s="104">
        <f>SUM('SCHEDULE OF VALUE WORKSHEET'!E27)</f>
        <v>873.38999999999942</v>
      </c>
      <c r="E30" s="104">
        <f>SUM('Draw #10'!E30:F30)</f>
        <v>0</v>
      </c>
      <c r="F30" s="105">
        <v>0</v>
      </c>
      <c r="G30" s="104">
        <f>SUM('Draw #10'!G30)+F30</f>
        <v>873.38999999999942</v>
      </c>
      <c r="H30" s="109">
        <f t="shared" si="0"/>
        <v>873.38999999999942</v>
      </c>
      <c r="I30" s="110">
        <v>0</v>
      </c>
      <c r="J30" s="109">
        <f>SUM(I30+'Draw #10'!J30)</f>
        <v>0</v>
      </c>
      <c r="K30" s="101" t="str">
        <f t="shared" si="1"/>
        <v/>
      </c>
      <c r="L30" s="9"/>
      <c r="M30" s="9"/>
    </row>
    <row r="31" spans="1:13" ht="14.1" customHeight="1">
      <c r="A31" s="4">
        <f>'SCHEDULE OF VALUE WORKSHEET'!A28</f>
        <v>22</v>
      </c>
      <c r="B31" s="142" t="str">
        <f>'SCHEDULE OF VALUE WORKSHEET'!B28</f>
        <v>Sewer CCTV and inspection</v>
      </c>
      <c r="C31" s="143"/>
      <c r="D31" s="104">
        <f>SUM('SCHEDULE OF VALUE WORKSHEET'!E28)</f>
        <v>0</v>
      </c>
      <c r="E31" s="104">
        <f>SUM('Draw #10'!E31:F31)</f>
        <v>0</v>
      </c>
      <c r="F31" s="105">
        <v>0</v>
      </c>
      <c r="G31" s="104">
        <f>SUM('Draw #10'!G31)+F31</f>
        <v>0</v>
      </c>
      <c r="H31" s="109">
        <f t="shared" si="0"/>
        <v>0</v>
      </c>
      <c r="I31" s="110">
        <v>0</v>
      </c>
      <c r="J31" s="109">
        <f>SUM(I31+'Draw #10'!J31)</f>
        <v>0</v>
      </c>
      <c r="K31" s="101" t="str">
        <f t="shared" si="1"/>
        <v/>
      </c>
      <c r="L31" s="9"/>
      <c r="M31" s="9"/>
    </row>
    <row r="32" spans="1:13" ht="14.1" customHeight="1">
      <c r="A32" s="4">
        <f>'SCHEDULE OF VALUE WORKSHEET'!A29</f>
        <v>23</v>
      </c>
      <c r="B32" s="142" t="str">
        <f>'SCHEDULE OF VALUE WORKSHEET'!B29</f>
        <v>Environmental Phase I</v>
      </c>
      <c r="C32" s="143"/>
      <c r="D32" s="104">
        <f>SUM('SCHEDULE OF VALUE WORKSHEET'!E29)</f>
        <v>0</v>
      </c>
      <c r="E32" s="104">
        <f>SUM('Draw #10'!E32:F32)</f>
        <v>0</v>
      </c>
      <c r="F32" s="105">
        <v>0</v>
      </c>
      <c r="G32" s="104">
        <f>SUM('Draw #10'!G32)+F32</f>
        <v>0</v>
      </c>
      <c r="H32" s="109">
        <f t="shared" si="0"/>
        <v>0</v>
      </c>
      <c r="I32" s="110">
        <v>0</v>
      </c>
      <c r="J32" s="109">
        <f>SUM(I32+'Draw #10'!J32)</f>
        <v>0</v>
      </c>
      <c r="K32" s="101" t="str">
        <f t="shared" si="1"/>
        <v/>
      </c>
      <c r="L32" s="9"/>
      <c r="M32" s="9"/>
    </row>
    <row r="33" spans="1:13" ht="14.1" customHeight="1">
      <c r="A33" s="4">
        <f>'SCHEDULE OF VALUE WORKSHEET'!A30</f>
        <v>24</v>
      </c>
      <c r="B33" s="142" t="str">
        <f>'SCHEDULE OF VALUE WORKSHEET'!B30</f>
        <v>Dry Utility Consultant</v>
      </c>
      <c r="C33" s="143"/>
      <c r="D33" s="104">
        <f>SUM('SCHEDULE OF VALUE WORKSHEET'!E30)</f>
        <v>0</v>
      </c>
      <c r="E33" s="104">
        <f>SUM('Draw #10'!E33:F33)</f>
        <v>0</v>
      </c>
      <c r="F33" s="105">
        <v>0</v>
      </c>
      <c r="G33" s="104">
        <f>SUM('Draw #10'!G33)+F33</f>
        <v>0</v>
      </c>
      <c r="H33" s="109">
        <f t="shared" si="0"/>
        <v>0</v>
      </c>
      <c r="I33" s="110">
        <v>0</v>
      </c>
      <c r="J33" s="109">
        <f>SUM(I33+'Draw #10'!J33)</f>
        <v>0</v>
      </c>
      <c r="K33" s="101" t="str">
        <f t="shared" si="1"/>
        <v/>
      </c>
      <c r="L33" s="9"/>
      <c r="M33" s="9"/>
    </row>
    <row r="34" spans="1:13" ht="14.1" customHeight="1">
      <c r="A34" s="4">
        <f>'SCHEDULE OF VALUE WORKSHEET'!A31</f>
        <v>25</v>
      </c>
      <c r="B34" s="142" t="str">
        <f>'SCHEDULE OF VALUE WORKSHEET'!B31</f>
        <v>Dry Utility Survey</v>
      </c>
      <c r="C34" s="143"/>
      <c r="D34" s="104">
        <f>SUM('SCHEDULE OF VALUE WORKSHEET'!E31)</f>
        <v>5000</v>
      </c>
      <c r="E34" s="104">
        <f>SUM('Draw #10'!E34:F34)</f>
        <v>0</v>
      </c>
      <c r="F34" s="105">
        <v>0</v>
      </c>
      <c r="G34" s="104">
        <f>SUM('Draw #10'!G34)+F34</f>
        <v>5000</v>
      </c>
      <c r="H34" s="109">
        <f t="shared" si="0"/>
        <v>5000</v>
      </c>
      <c r="I34" s="110">
        <v>0</v>
      </c>
      <c r="J34" s="109">
        <f>SUM(I34+'Draw #10'!J34)</f>
        <v>0</v>
      </c>
      <c r="K34" s="101" t="str">
        <f t="shared" si="1"/>
        <v/>
      </c>
      <c r="L34" s="9"/>
      <c r="M34" s="9"/>
    </row>
    <row r="35" spans="1:13" ht="14.1" customHeight="1">
      <c r="A35" s="4">
        <f>'SCHEDULE OF VALUE WORKSHEET'!A32</f>
        <v>26</v>
      </c>
      <c r="B35" s="142" t="str">
        <f>'SCHEDULE OF VALUE WORKSHEET'!B32</f>
        <v>MEP</v>
      </c>
      <c r="C35" s="143"/>
      <c r="D35" s="104">
        <f>SUM('SCHEDULE OF VALUE WORKSHEET'!E32)</f>
        <v>0</v>
      </c>
      <c r="E35" s="104">
        <f>SUM('Draw #10'!E35:F35)</f>
        <v>0</v>
      </c>
      <c r="F35" s="105">
        <v>0</v>
      </c>
      <c r="G35" s="104">
        <f>SUM('Draw #10'!G35)+F35</f>
        <v>0</v>
      </c>
      <c r="H35" s="109">
        <f t="shared" si="0"/>
        <v>0</v>
      </c>
      <c r="I35" s="110">
        <v>0</v>
      </c>
      <c r="J35" s="109">
        <f>SUM(I35+'Draw #10'!J35)</f>
        <v>0</v>
      </c>
      <c r="K35" s="101" t="str">
        <f t="shared" si="1"/>
        <v/>
      </c>
      <c r="L35" s="9"/>
      <c r="M35" s="9"/>
    </row>
    <row r="36" spans="1:13" ht="14.1" customHeight="1">
      <c r="A36" s="4">
        <f>'SCHEDULE OF VALUE WORKSHEET'!A33</f>
        <v>27</v>
      </c>
      <c r="B36" s="142" t="str">
        <f>'SCHEDULE OF VALUE WORKSHEET'!B33</f>
        <v>Civil Construction Administration</v>
      </c>
      <c r="C36" s="143"/>
      <c r="D36" s="104">
        <f>SUM('SCHEDULE OF VALUE WORKSHEET'!E33)</f>
        <v>5000</v>
      </c>
      <c r="E36" s="104">
        <f>SUM('Draw #10'!E36:F36)</f>
        <v>0</v>
      </c>
      <c r="F36" s="105">
        <v>0</v>
      </c>
      <c r="G36" s="104">
        <f>SUM('Draw #10'!G36)+F36</f>
        <v>5000</v>
      </c>
      <c r="H36" s="109">
        <f t="shared" si="0"/>
        <v>5000</v>
      </c>
      <c r="I36" s="110">
        <v>0</v>
      </c>
      <c r="J36" s="109">
        <f>SUM(I36+'Draw #10'!J36)</f>
        <v>0</v>
      </c>
      <c r="K36" s="101" t="str">
        <f t="shared" si="1"/>
        <v/>
      </c>
      <c r="L36" s="9"/>
      <c r="M36" s="9"/>
    </row>
    <row r="37" spans="1:13" ht="14.1" customHeight="1">
      <c r="A37" s="4">
        <f>'SCHEDULE OF VALUE WORKSHEET'!A34</f>
        <v>28</v>
      </c>
      <c r="B37" s="142" t="str">
        <f>'SCHEDULE OF VALUE WORKSHEET'!B34</f>
        <v>Permit Clearances &amp; Agency Reviews</v>
      </c>
      <c r="C37" s="143"/>
      <c r="D37" s="104">
        <f>SUM('SCHEDULE OF VALUE WORKSHEET'!E34)</f>
        <v>0</v>
      </c>
      <c r="E37" s="104">
        <f>SUM('Draw #10'!E37:F37)</f>
        <v>0</v>
      </c>
      <c r="F37" s="105">
        <v>0</v>
      </c>
      <c r="G37" s="104">
        <f>SUM('Draw #10'!G37)+F37</f>
        <v>0</v>
      </c>
      <c r="H37" s="109">
        <f t="shared" si="0"/>
        <v>0</v>
      </c>
      <c r="I37" s="110">
        <v>0</v>
      </c>
      <c r="J37" s="109">
        <f>SUM(I37+'Draw #10'!J37)</f>
        <v>0</v>
      </c>
      <c r="K37" s="101" t="str">
        <f t="shared" si="1"/>
        <v/>
      </c>
      <c r="L37" s="9"/>
      <c r="M37" s="9"/>
    </row>
    <row r="38" spans="1:13" ht="14.1" customHeight="1">
      <c r="A38" s="4">
        <f>'SCHEDULE OF VALUE WORKSHEET'!A35</f>
        <v>29</v>
      </c>
      <c r="B38" s="142" t="str">
        <f>'SCHEDULE OF VALUE WORKSHEET'!B35</f>
        <v>Demo Permit Fees</v>
      </c>
      <c r="C38" s="143"/>
      <c r="D38" s="104">
        <f>SUM('SCHEDULE OF VALUE WORKSHEET'!E35)</f>
        <v>500</v>
      </c>
      <c r="E38" s="104">
        <f>SUM('Draw #10'!E38:F38)</f>
        <v>0</v>
      </c>
      <c r="F38" s="105">
        <v>0</v>
      </c>
      <c r="G38" s="104">
        <f>SUM('Draw #10'!G38)+F38</f>
        <v>500</v>
      </c>
      <c r="H38" s="109">
        <f t="shared" si="0"/>
        <v>500</v>
      </c>
      <c r="I38" s="110">
        <v>0</v>
      </c>
      <c r="J38" s="109">
        <f>SUM(I38+'Draw #10'!J38)</f>
        <v>0</v>
      </c>
      <c r="K38" s="101" t="str">
        <f t="shared" si="1"/>
        <v/>
      </c>
      <c r="L38" s="9"/>
      <c r="M38" s="9"/>
    </row>
    <row r="39" spans="1:13" ht="14.1" customHeight="1">
      <c r="A39" s="4">
        <f>'SCHEDULE OF VALUE WORKSHEET'!A36</f>
        <v>30</v>
      </c>
      <c r="B39" s="142" t="str">
        <f>'SCHEDULE OF VALUE WORKSHEET'!B36</f>
        <v>MEP Fees</v>
      </c>
      <c r="C39" s="143"/>
      <c r="D39" s="104">
        <f>SUM('SCHEDULE OF VALUE WORKSHEET'!E36)</f>
        <v>0</v>
      </c>
      <c r="E39" s="104">
        <f>SUM('Draw #10'!E39:F39)</f>
        <v>0</v>
      </c>
      <c r="F39" s="105">
        <v>0</v>
      </c>
      <c r="G39" s="104">
        <f>SUM('Draw #10'!G39)+F39</f>
        <v>0</v>
      </c>
      <c r="H39" s="109">
        <f t="shared" si="0"/>
        <v>0</v>
      </c>
      <c r="I39" s="110">
        <v>0</v>
      </c>
      <c r="J39" s="109">
        <f>SUM(I39+'Draw #10'!J39)</f>
        <v>0</v>
      </c>
      <c r="K39" s="101" t="str">
        <f t="shared" si="1"/>
        <v/>
      </c>
      <c r="L39" s="9"/>
      <c r="M39" s="9"/>
    </row>
    <row r="40" spans="1:13" ht="14.1" customHeight="1">
      <c r="A40" s="4">
        <f>'SCHEDULE OF VALUE WORKSHEET'!A37</f>
        <v>31</v>
      </c>
      <c r="B40" s="142" t="str">
        <f>'SCHEDULE OF VALUE WORKSHEET'!B37</f>
        <v>Agency Signoffs</v>
      </c>
      <c r="C40" s="143"/>
      <c r="D40" s="104">
        <f>SUM('SCHEDULE OF VALUE WORKSHEET'!E37)</f>
        <v>0</v>
      </c>
      <c r="E40" s="104">
        <f>SUM('Draw #10'!E40:F40)</f>
        <v>0</v>
      </c>
      <c r="F40" s="105">
        <v>0</v>
      </c>
      <c r="G40" s="104">
        <f>SUM('Draw #10'!G40)+F40</f>
        <v>0</v>
      </c>
      <c r="H40" s="109">
        <f t="shared" si="0"/>
        <v>0</v>
      </c>
      <c r="I40" s="110">
        <v>0</v>
      </c>
      <c r="J40" s="109">
        <f>SUM(I40+'Draw #10'!J40)</f>
        <v>0</v>
      </c>
      <c r="K40" s="101" t="str">
        <f t="shared" si="1"/>
        <v/>
      </c>
      <c r="L40" s="9"/>
      <c r="M40" s="9"/>
    </row>
    <row r="41" spans="1:13" ht="14.1" customHeight="1">
      <c r="A41" s="4">
        <f>'SCHEDULE OF VALUE WORKSHEET'!A38</f>
        <v>32</v>
      </c>
      <c r="B41" s="142" t="str">
        <f>'SCHEDULE OF VALUE WORKSHEET'!B38</f>
        <v>Specifications Writer Consultant</v>
      </c>
      <c r="C41" s="143"/>
      <c r="D41" s="104">
        <f>SUM('SCHEDULE OF VALUE WORKSHEET'!E38)</f>
        <v>2000</v>
      </c>
      <c r="E41" s="104">
        <f>SUM('Draw #10'!E41:F41)</f>
        <v>0</v>
      </c>
      <c r="F41" s="105">
        <v>0</v>
      </c>
      <c r="G41" s="104">
        <f>SUM('Draw #10'!G41)+F41</f>
        <v>2000</v>
      </c>
      <c r="H41" s="109">
        <f t="shared" si="0"/>
        <v>2000</v>
      </c>
      <c r="I41" s="110">
        <v>0</v>
      </c>
      <c r="J41" s="109">
        <f>SUM(I41+'Draw #10'!J41)</f>
        <v>0</v>
      </c>
      <c r="K41" s="101" t="str">
        <f t="shared" si="1"/>
        <v/>
      </c>
      <c r="L41" s="9"/>
      <c r="M41" s="9"/>
    </row>
    <row r="42" spans="1:13" ht="14.1" customHeight="1">
      <c r="A42" s="4">
        <f>'SCHEDULE OF VALUE WORKSHEET'!A39</f>
        <v>33</v>
      </c>
      <c r="B42" s="142" t="str">
        <f>'SCHEDULE OF VALUE WORKSHEET'!B39</f>
        <v>Construction Consultant</v>
      </c>
      <c r="C42" s="143"/>
      <c r="D42" s="104">
        <f>SUM('SCHEDULE OF VALUE WORKSHEET'!E39)</f>
        <v>0</v>
      </c>
      <c r="E42" s="104">
        <f>SUM('Draw #10'!E42:F42)</f>
        <v>0</v>
      </c>
      <c r="F42" s="105">
        <v>0</v>
      </c>
      <c r="G42" s="104">
        <f>SUM('Draw #10'!G42)+F42</f>
        <v>0</v>
      </c>
      <c r="H42" s="109">
        <f t="shared" si="0"/>
        <v>0</v>
      </c>
      <c r="I42" s="110">
        <v>0</v>
      </c>
      <c r="J42" s="109">
        <f>SUM(I42+'Draw #10'!J42)</f>
        <v>0</v>
      </c>
      <c r="K42" s="101" t="str">
        <f t="shared" si="1"/>
        <v/>
      </c>
      <c r="L42" s="9"/>
      <c r="M42" s="9"/>
    </row>
    <row r="43" spans="1:13" ht="14.1" customHeight="1">
      <c r="A43" s="4">
        <f>'SCHEDULE OF VALUE WORKSHEET'!A40</f>
        <v>34</v>
      </c>
      <c r="B43" s="142" t="str">
        <f>'SCHEDULE OF VALUE WORKSHEET'!B40</f>
        <v>Low Voltage Consultant</v>
      </c>
      <c r="C43" s="143"/>
      <c r="D43" s="104">
        <f>SUM('SCHEDULE OF VALUE WORKSHEET'!E40)</f>
        <v>15524</v>
      </c>
      <c r="E43" s="104">
        <f>SUM('Draw #10'!E43:F43)</f>
        <v>0</v>
      </c>
      <c r="F43" s="105">
        <v>0</v>
      </c>
      <c r="G43" s="104">
        <f>SUM('Draw #10'!G43)+F43</f>
        <v>15524</v>
      </c>
      <c r="H43" s="109">
        <f t="shared" si="0"/>
        <v>15524</v>
      </c>
      <c r="I43" s="110">
        <v>0</v>
      </c>
      <c r="J43" s="109">
        <f>SUM(I43+'Draw #10'!J43)</f>
        <v>0</v>
      </c>
      <c r="K43" s="101" t="str">
        <f t="shared" si="1"/>
        <v/>
      </c>
      <c r="L43" s="9"/>
      <c r="M43" s="9"/>
    </row>
    <row r="44" spans="1:13" ht="14.1" customHeight="1">
      <c r="A44" s="4">
        <f>'SCHEDULE OF VALUE WORKSHEET'!A41</f>
        <v>35</v>
      </c>
      <c r="B44" s="142" t="str">
        <f>'SCHEDULE OF VALUE WORKSHEET'!B41</f>
        <v>Photovoltaic Consultant</v>
      </c>
      <c r="C44" s="143"/>
      <c r="D44" s="104">
        <f>SUM('SCHEDULE OF VALUE WORKSHEET'!E41)</f>
        <v>5000</v>
      </c>
      <c r="E44" s="104">
        <f>SUM('Draw #10'!E44:F44)</f>
        <v>0</v>
      </c>
      <c r="F44" s="105">
        <v>0</v>
      </c>
      <c r="G44" s="104">
        <f>SUM('Draw #10'!G44)+F44</f>
        <v>5000</v>
      </c>
      <c r="H44" s="109">
        <f t="shared" si="0"/>
        <v>5000</v>
      </c>
      <c r="I44" s="110">
        <v>0</v>
      </c>
      <c r="J44" s="109">
        <f>SUM(I44+'Draw #10'!J44)</f>
        <v>0</v>
      </c>
      <c r="K44" s="101" t="str">
        <f t="shared" si="1"/>
        <v/>
      </c>
      <c r="L44" s="9"/>
      <c r="M44" s="9"/>
    </row>
    <row r="45" spans="1:13" ht="14.1" customHeight="1">
      <c r="A45" s="4">
        <f>'SCHEDULE OF VALUE WORKSHEET'!A42</f>
        <v>36</v>
      </c>
      <c r="B45" s="142" t="str">
        <f>'SCHEDULE OF VALUE WORKSHEET'!B42</f>
        <v>Construction Management / Observation (OO)</v>
      </c>
      <c r="C45" s="143"/>
      <c r="D45" s="104">
        <f>SUM('SCHEDULE OF VALUE WORKSHEET'!E42)</f>
        <v>49427.9</v>
      </c>
      <c r="E45" s="104">
        <f>SUM('Draw #10'!E45:F45)</f>
        <v>0</v>
      </c>
      <c r="F45" s="105">
        <v>0</v>
      </c>
      <c r="G45" s="104">
        <f>SUM('Draw #10'!G45)+F45</f>
        <v>49427.9</v>
      </c>
      <c r="H45" s="109">
        <f t="shared" si="0"/>
        <v>49427.9</v>
      </c>
      <c r="I45" s="110">
        <v>0</v>
      </c>
      <c r="J45" s="109">
        <f>SUM(I45+'Draw #10'!J45)</f>
        <v>0</v>
      </c>
      <c r="K45" s="101" t="str">
        <f t="shared" si="1"/>
        <v/>
      </c>
      <c r="L45" s="9"/>
      <c r="M45" s="9"/>
    </row>
    <row r="46" spans="1:13" ht="14.1" customHeight="1">
      <c r="A46" s="4" t="e">
        <f>'SCHEDULE OF VALUE WORKSHEET'!#REF!</f>
        <v>#REF!</v>
      </c>
      <c r="B46" s="142" t="e">
        <f>'SCHEDULE OF VALUE WORKSHEET'!#REF!</f>
        <v>#REF!</v>
      </c>
      <c r="C46" s="143"/>
      <c r="D46" s="104" t="e">
        <f>SUM('SCHEDULE OF VALUE WORKSHEET'!#REF!)</f>
        <v>#REF!</v>
      </c>
      <c r="E46" s="104">
        <f>SUM('Draw #10'!E46:F46)</f>
        <v>0</v>
      </c>
      <c r="F46" s="105">
        <v>0</v>
      </c>
      <c r="G46" s="104" t="e">
        <f>SUM('Draw #10'!G46)+F46</f>
        <v>#REF!</v>
      </c>
      <c r="H46" s="109" t="e">
        <f t="shared" si="0"/>
        <v>#REF!</v>
      </c>
      <c r="I46" s="110">
        <v>0</v>
      </c>
      <c r="J46" s="109">
        <f>SUM(I46+'Draw #10'!J46)</f>
        <v>0</v>
      </c>
      <c r="K46" s="101" t="str">
        <f t="shared" si="1"/>
        <v/>
      </c>
      <c r="L46" s="9"/>
      <c r="M46" s="9"/>
    </row>
    <row r="47" spans="1:13" ht="14.1" customHeight="1">
      <c r="A47" s="4">
        <f>'SCHEDULE OF VALUE WORKSHEET'!A43</f>
        <v>37</v>
      </c>
      <c r="B47" s="142" t="str">
        <f>'SCHEDULE OF VALUE WORKSHEET'!B43</f>
        <v>CMFA Startup Fee</v>
      </c>
      <c r="C47" s="143"/>
      <c r="D47" s="104">
        <f>SUM('SCHEDULE OF VALUE WORKSHEET'!E43)</f>
        <v>22800</v>
      </c>
      <c r="E47" s="104">
        <f>SUM('Draw #10'!E47:F47)</f>
        <v>0</v>
      </c>
      <c r="F47" s="105">
        <v>0</v>
      </c>
      <c r="G47" s="104">
        <f>SUM('Draw #10'!G47)+F47</f>
        <v>22800</v>
      </c>
      <c r="H47" s="109">
        <f t="shared" si="0"/>
        <v>22800</v>
      </c>
      <c r="I47" s="110">
        <v>0</v>
      </c>
      <c r="J47" s="109">
        <f>SUM(I47+'Draw #10'!J47)</f>
        <v>0</v>
      </c>
      <c r="K47" s="101" t="str">
        <f t="shared" si="1"/>
        <v/>
      </c>
      <c r="L47" s="9"/>
      <c r="M47" s="9"/>
    </row>
    <row r="48" spans="1:13" ht="14.1" customHeight="1">
      <c r="A48" s="4">
        <f>'SCHEDULE OF VALUE WORKSHEET'!A44</f>
        <v>38</v>
      </c>
      <c r="B48" s="142" t="str">
        <f>'SCHEDULE OF VALUE WORKSHEET'!B44</f>
        <v>Non-Profit Start Up Fee</v>
      </c>
      <c r="C48" s="143"/>
      <c r="D48" s="104">
        <f>SUM('SCHEDULE OF VALUE WORKSHEET'!E44)</f>
        <v>25000</v>
      </c>
      <c r="E48" s="104">
        <f>SUM('Draw #10'!E48:F48)</f>
        <v>0</v>
      </c>
      <c r="F48" s="105">
        <v>0</v>
      </c>
      <c r="G48" s="104">
        <f>SUM('Draw #10'!G48)+F48</f>
        <v>25000</v>
      </c>
      <c r="H48" s="109">
        <f t="shared" si="0"/>
        <v>25000</v>
      </c>
      <c r="I48" s="110">
        <v>0</v>
      </c>
      <c r="J48" s="109">
        <f>SUM(I48+'Draw #10'!J48)</f>
        <v>0</v>
      </c>
      <c r="K48" s="101" t="str">
        <f t="shared" si="1"/>
        <v/>
      </c>
      <c r="L48" s="9"/>
      <c r="M48" s="9"/>
    </row>
    <row r="49" spans="1:13" ht="14.1" customHeight="1">
      <c r="A49" s="4">
        <f>'SCHEDULE OF VALUE WORKSHEET'!A45</f>
        <v>39</v>
      </c>
      <c r="B49" s="142" t="str">
        <f>'SCHEDULE OF VALUE WORKSHEET'!B45</f>
        <v>CMFA Construction Fee</v>
      </c>
      <c r="C49" s="143"/>
      <c r="D49" s="104">
        <f>SUM('SCHEDULE OF VALUE WORKSHEET'!E45)</f>
        <v>12000</v>
      </c>
      <c r="E49" s="104">
        <f>SUM('Draw #10'!E49:F49)</f>
        <v>0</v>
      </c>
      <c r="F49" s="105">
        <v>0</v>
      </c>
      <c r="G49" s="104">
        <f>SUM('Draw #10'!G49)+F49</f>
        <v>12000</v>
      </c>
      <c r="H49" s="109">
        <f t="shared" si="0"/>
        <v>12000</v>
      </c>
      <c r="I49" s="110">
        <v>0</v>
      </c>
      <c r="J49" s="109">
        <f>SUM(I49+'Draw #10'!J49)</f>
        <v>0</v>
      </c>
      <c r="K49" s="101" t="str">
        <f t="shared" si="1"/>
        <v/>
      </c>
      <c r="L49" s="9"/>
      <c r="M49" s="9"/>
    </row>
    <row r="50" spans="1:13" ht="14.1" customHeight="1">
      <c r="A50" s="4">
        <f>'SCHEDULE OF VALUE WORKSHEET'!A46</f>
        <v>40</v>
      </c>
      <c r="B50" s="142" t="str">
        <f>'SCHEDULE OF VALUE WORKSHEET'!B46</f>
        <v>Non-Profit Construction Fee</v>
      </c>
      <c r="C50" s="143"/>
      <c r="D50" s="104">
        <f>SUM('SCHEDULE OF VALUE WORKSHEET'!E46)</f>
        <v>10000</v>
      </c>
      <c r="E50" s="104">
        <f>SUM('Draw #10'!E50:F50)</f>
        <v>0</v>
      </c>
      <c r="F50" s="105">
        <v>0</v>
      </c>
      <c r="G50" s="104">
        <f>SUM('Draw #10'!G50)+F50</f>
        <v>10000</v>
      </c>
      <c r="H50" s="109">
        <f t="shared" si="0"/>
        <v>10000</v>
      </c>
      <c r="I50" s="110">
        <v>0</v>
      </c>
      <c r="J50" s="109">
        <f>SUM(I50+'Draw #10'!J50)</f>
        <v>0</v>
      </c>
      <c r="K50" s="101" t="str">
        <f t="shared" si="1"/>
        <v/>
      </c>
      <c r="L50" s="9"/>
      <c r="M50" s="9"/>
    </row>
    <row r="51" spans="1:13" ht="14.1" customHeight="1">
      <c r="A51" s="4">
        <f>'SCHEDULE OF VALUE WORKSHEET'!A47</f>
        <v>41</v>
      </c>
      <c r="B51" s="142" t="str">
        <f>'SCHEDULE OF VALUE WORKSHEET'!B47</f>
        <v>WTE Legal Costs for CMFA &amp; Non-Profit Partner</v>
      </c>
      <c r="C51" s="143"/>
      <c r="D51" s="104">
        <f>SUM('SCHEDULE OF VALUE WORKSHEET'!E47)</f>
        <v>20000</v>
      </c>
      <c r="E51" s="104">
        <f>SUM('Draw #10'!E51:F51)</f>
        <v>0</v>
      </c>
      <c r="F51" s="105">
        <v>0</v>
      </c>
      <c r="G51" s="104">
        <f>SUM('Draw #10'!G51)+F51</f>
        <v>20000</v>
      </c>
      <c r="H51" s="109">
        <f t="shared" si="0"/>
        <v>20000</v>
      </c>
      <c r="I51" s="110">
        <v>0</v>
      </c>
      <c r="J51" s="109">
        <f>SUM(I51+'Draw #10'!J51)</f>
        <v>0</v>
      </c>
      <c r="K51" s="101" t="str">
        <f t="shared" si="1"/>
        <v/>
      </c>
      <c r="L51" s="9"/>
      <c r="M51" s="9"/>
    </row>
    <row r="52" spans="1:13" ht="14.1" customHeight="1">
      <c r="A52" s="4" t="e">
        <f>'SCHEDULE OF VALUE WORKSHEET'!#REF!</f>
        <v>#REF!</v>
      </c>
      <c r="B52" s="142" t="e">
        <f>'SCHEDULE OF VALUE WORKSHEET'!#REF!</f>
        <v>#REF!</v>
      </c>
      <c r="C52" s="143"/>
      <c r="D52" s="104" t="e">
        <f>SUM('SCHEDULE OF VALUE WORKSHEET'!#REF!)</f>
        <v>#REF!</v>
      </c>
      <c r="E52" s="104">
        <f>SUM('Draw #10'!E52:F52)</f>
        <v>0</v>
      </c>
      <c r="F52" s="105">
        <v>0</v>
      </c>
      <c r="G52" s="104" t="e">
        <f>SUM('Draw #10'!G52)+F52</f>
        <v>#REF!</v>
      </c>
      <c r="H52" s="109" t="e">
        <f t="shared" si="0"/>
        <v>#REF!</v>
      </c>
      <c r="I52" s="110">
        <v>0</v>
      </c>
      <c r="J52" s="109">
        <f>SUM(I52+'Draw #10'!J52)</f>
        <v>0</v>
      </c>
      <c r="K52" s="101" t="str">
        <f t="shared" si="1"/>
        <v/>
      </c>
      <c r="L52" s="9"/>
      <c r="M52" s="9"/>
    </row>
    <row r="53" spans="1:13" ht="14.1" customHeight="1">
      <c r="A53" s="4">
        <f>'SCHEDULE OF VALUE WORKSHEET'!A49</f>
        <v>43</v>
      </c>
      <c r="B53" s="142" t="str">
        <f>'SCHEDULE OF VALUE WORKSHEET'!B49</f>
        <v>GENERAL CONDITIONS</v>
      </c>
      <c r="C53" s="143"/>
      <c r="D53" s="104">
        <f>SUM('SCHEDULE OF VALUE WORKSHEET'!E49)</f>
        <v>362115.24</v>
      </c>
      <c r="E53" s="104">
        <f>SUM('Draw #10'!E53:F53)</f>
        <v>0</v>
      </c>
      <c r="F53" s="105">
        <v>0</v>
      </c>
      <c r="G53" s="104">
        <f>SUM('Draw #10'!G53)+F53</f>
        <v>362115.24</v>
      </c>
      <c r="H53" s="109">
        <f t="shared" si="0"/>
        <v>362115.24</v>
      </c>
      <c r="I53" s="110">
        <v>0</v>
      </c>
      <c r="J53" s="109">
        <f>SUM(I53+'Draw #10'!J53)</f>
        <v>0</v>
      </c>
      <c r="K53" s="101" t="str">
        <f t="shared" si="1"/>
        <v/>
      </c>
      <c r="L53" s="9"/>
      <c r="M53" s="9"/>
    </row>
    <row r="54" spans="1:13" ht="14.1" customHeight="1">
      <c r="A54" s="4">
        <f>'SCHEDULE OF VALUE WORKSHEET'!A50</f>
        <v>44</v>
      </c>
      <c r="B54" s="142" t="str">
        <f>'SCHEDULE OF VALUE WORKSHEET'!B50</f>
        <v>GENERAL REQUIREMENT</v>
      </c>
      <c r="C54" s="143"/>
      <c r="D54" s="104">
        <f>SUM('SCHEDULE OF VALUE WORKSHEET'!E50)</f>
        <v>124657.88</v>
      </c>
      <c r="E54" s="104">
        <f>SUM('Draw #10'!E54:F54)</f>
        <v>0</v>
      </c>
      <c r="F54" s="105">
        <v>0</v>
      </c>
      <c r="G54" s="104">
        <f>SUM('Draw #10'!G54)+F54</f>
        <v>124657.88</v>
      </c>
      <c r="H54" s="109">
        <f t="shared" si="0"/>
        <v>124657.88</v>
      </c>
      <c r="I54" s="110">
        <v>0</v>
      </c>
      <c r="J54" s="109">
        <f>SUM(I54+'Draw #10'!J54)</f>
        <v>0</v>
      </c>
      <c r="K54" s="101" t="str">
        <f t="shared" si="1"/>
        <v/>
      </c>
      <c r="L54" s="9"/>
      <c r="M54" s="9"/>
    </row>
    <row r="55" spans="1:13" ht="14.1" customHeight="1">
      <c r="A55" s="4">
        <f>'SCHEDULE OF VALUE WORKSHEET'!A51</f>
        <v>45</v>
      </c>
      <c r="B55" s="142" t="str">
        <f>'SCHEDULE OF VALUE WORKSHEET'!B51</f>
        <v>SITE WORK</v>
      </c>
      <c r="C55" s="143"/>
      <c r="D55" s="104">
        <f>SUM('SCHEDULE OF VALUE WORKSHEET'!E51)</f>
        <v>139049.51</v>
      </c>
      <c r="E55" s="104">
        <f>SUM('Draw #10'!E55:F55)</f>
        <v>0</v>
      </c>
      <c r="F55" s="105">
        <v>0</v>
      </c>
      <c r="G55" s="104">
        <f>SUM('Draw #10'!G55)+F55</f>
        <v>139049.51</v>
      </c>
      <c r="H55" s="109">
        <f t="shared" si="0"/>
        <v>139049.51</v>
      </c>
      <c r="I55" s="110">
        <v>0</v>
      </c>
      <c r="J55" s="109">
        <f>SUM(I55+'Draw #10'!J55)</f>
        <v>0</v>
      </c>
      <c r="K55" s="101" t="str">
        <f t="shared" si="1"/>
        <v/>
      </c>
      <c r="L55" s="9"/>
      <c r="M55" s="9"/>
    </row>
    <row r="56" spans="1:13" ht="14.1" customHeight="1">
      <c r="A56" s="4">
        <f>'SCHEDULE OF VALUE WORKSHEET'!A52</f>
        <v>46</v>
      </c>
      <c r="B56" s="142" t="str">
        <f>'SCHEDULE OF VALUE WORKSHEET'!B52</f>
        <v>CONCRETE</v>
      </c>
      <c r="C56" s="143"/>
      <c r="D56" s="104">
        <f>SUM('SCHEDULE OF VALUE WORKSHEET'!E52)</f>
        <v>253182</v>
      </c>
      <c r="E56" s="104">
        <f>SUM('Draw #10'!E56:F56)</f>
        <v>0</v>
      </c>
      <c r="F56" s="105">
        <v>0</v>
      </c>
      <c r="G56" s="104">
        <f>SUM('Draw #10'!G56)+F56</f>
        <v>253182</v>
      </c>
      <c r="H56" s="109">
        <f t="shared" si="0"/>
        <v>253182</v>
      </c>
      <c r="I56" s="110">
        <v>0</v>
      </c>
      <c r="J56" s="109">
        <f>SUM(I56+'Draw #10'!J56)</f>
        <v>0</v>
      </c>
      <c r="K56" s="101" t="str">
        <f t="shared" si="1"/>
        <v/>
      </c>
      <c r="L56" s="9"/>
      <c r="M56" s="9"/>
    </row>
    <row r="57" spans="1:13" ht="14.1" customHeight="1">
      <c r="A57" s="4">
        <f>'SCHEDULE OF VALUE WORKSHEET'!A53</f>
        <v>47</v>
      </c>
      <c r="B57" s="142" t="str">
        <f>'SCHEDULE OF VALUE WORKSHEET'!B53</f>
        <v>MASONRY</v>
      </c>
      <c r="C57" s="143"/>
      <c r="D57" s="104">
        <f>SUM('SCHEDULE OF VALUE WORKSHEET'!E53)</f>
        <v>3562.64</v>
      </c>
      <c r="E57" s="104">
        <f>SUM('Draw #10'!E57:F57)</f>
        <v>0</v>
      </c>
      <c r="F57" s="105">
        <v>0</v>
      </c>
      <c r="G57" s="104">
        <f>SUM('Draw #10'!G57)+F57</f>
        <v>3562.64</v>
      </c>
      <c r="H57" s="109">
        <f t="shared" si="0"/>
        <v>3562.64</v>
      </c>
      <c r="I57" s="110">
        <v>0</v>
      </c>
      <c r="J57" s="109">
        <f>SUM(I57+'Draw #10'!J57)</f>
        <v>0</v>
      </c>
      <c r="K57" s="101" t="str">
        <f t="shared" si="1"/>
        <v/>
      </c>
      <c r="L57" s="9"/>
      <c r="M57" s="9"/>
    </row>
    <row r="58" spans="1:13" ht="14.1" customHeight="1">
      <c r="A58" s="4">
        <f>'SCHEDULE OF VALUE WORKSHEET'!A54</f>
        <v>48</v>
      </c>
      <c r="B58" s="142" t="str">
        <f>'SCHEDULE OF VALUE WORKSHEET'!B54</f>
        <v>METALS</v>
      </c>
      <c r="C58" s="143"/>
      <c r="D58" s="104">
        <f>SUM('SCHEDULE OF VALUE WORKSHEET'!E54)</f>
        <v>324100</v>
      </c>
      <c r="E58" s="104">
        <f>SUM('Draw #10'!E58:F58)</f>
        <v>0</v>
      </c>
      <c r="F58" s="105">
        <v>0</v>
      </c>
      <c r="G58" s="104">
        <f>SUM('Draw #10'!G58)+F58</f>
        <v>324100</v>
      </c>
      <c r="H58" s="109">
        <f t="shared" si="0"/>
        <v>324100</v>
      </c>
      <c r="I58" s="110">
        <v>0</v>
      </c>
      <c r="J58" s="109">
        <f>SUM(I58+'Draw #10'!J58)</f>
        <v>0</v>
      </c>
      <c r="K58" s="101" t="str">
        <f t="shared" si="1"/>
        <v/>
      </c>
      <c r="L58" s="9"/>
      <c r="M58" s="9"/>
    </row>
    <row r="59" spans="1:13" ht="14.1" customHeight="1">
      <c r="A59" s="4">
        <f>'SCHEDULE OF VALUE WORKSHEET'!A55</f>
        <v>49</v>
      </c>
      <c r="B59" s="142" t="str">
        <f>'SCHEDULE OF VALUE WORKSHEET'!B55</f>
        <v>FRAMING</v>
      </c>
      <c r="C59" s="143"/>
      <c r="D59" s="104">
        <f>SUM('SCHEDULE OF VALUE WORKSHEET'!E55)</f>
        <v>818554</v>
      </c>
      <c r="E59" s="104">
        <f>SUM('Draw #10'!E59:F59)</f>
        <v>0</v>
      </c>
      <c r="F59" s="105">
        <v>0</v>
      </c>
      <c r="G59" s="104">
        <f>SUM('Draw #10'!G59)+F59</f>
        <v>818554</v>
      </c>
      <c r="H59" s="109">
        <f t="shared" si="0"/>
        <v>818554</v>
      </c>
      <c r="I59" s="110">
        <v>0</v>
      </c>
      <c r="J59" s="109">
        <f>SUM(I59+'Draw #10'!J59)</f>
        <v>0</v>
      </c>
      <c r="K59" s="101" t="str">
        <f t="shared" si="1"/>
        <v/>
      </c>
      <c r="L59" s="9"/>
      <c r="M59" s="9"/>
    </row>
    <row r="60" spans="1:13" ht="14.1" customHeight="1">
      <c r="A60" s="4">
        <f>'SCHEDULE OF VALUE WORKSHEET'!A56</f>
        <v>50</v>
      </c>
      <c r="B60" s="142" t="str">
        <f>'SCHEDULE OF VALUE WORKSHEET'!B56</f>
        <v>COUNTERTOPS</v>
      </c>
      <c r="C60" s="143"/>
      <c r="D60" s="104">
        <f>SUM('SCHEDULE OF VALUE WORKSHEET'!E56)</f>
        <v>56930</v>
      </c>
      <c r="E60" s="104">
        <f>SUM('Draw #10'!E60:F60)</f>
        <v>0</v>
      </c>
      <c r="F60" s="105">
        <v>0</v>
      </c>
      <c r="G60" s="104">
        <f>SUM('Draw #10'!G60)+F60</f>
        <v>56930</v>
      </c>
      <c r="H60" s="109">
        <f t="shared" si="0"/>
        <v>56930</v>
      </c>
      <c r="I60" s="110">
        <v>0</v>
      </c>
      <c r="J60" s="109">
        <f>SUM(I60+'Draw #10'!J60)</f>
        <v>0</v>
      </c>
      <c r="K60" s="101" t="str">
        <f t="shared" si="1"/>
        <v/>
      </c>
      <c r="L60" s="9"/>
      <c r="M60" s="9"/>
    </row>
    <row r="61" spans="1:13" ht="14.1" customHeight="1">
      <c r="A61" s="4">
        <f>'SCHEDULE OF VALUE WORKSHEET'!A57</f>
        <v>51</v>
      </c>
      <c r="B61" s="142" t="str">
        <f>'SCHEDULE OF VALUE WORKSHEET'!B57</f>
        <v>CABINETS</v>
      </c>
      <c r="C61" s="143"/>
      <c r="D61" s="104">
        <f>SUM('SCHEDULE OF VALUE WORKSHEET'!E57)</f>
        <v>56930</v>
      </c>
      <c r="E61" s="104">
        <f>SUM('Draw #10'!E61:F61)</f>
        <v>0</v>
      </c>
      <c r="F61" s="105">
        <v>0</v>
      </c>
      <c r="G61" s="104">
        <f>SUM('Draw #10'!G61)+F61</f>
        <v>56930</v>
      </c>
      <c r="H61" s="109">
        <f t="shared" si="0"/>
        <v>56930</v>
      </c>
      <c r="I61" s="110">
        <v>0</v>
      </c>
      <c r="J61" s="109">
        <f>SUM(I61+'Draw #10'!J61)</f>
        <v>0</v>
      </c>
      <c r="K61" s="101" t="str">
        <f t="shared" si="1"/>
        <v/>
      </c>
      <c r="L61" s="9"/>
      <c r="M61" s="9"/>
    </row>
    <row r="62" spans="1:13" ht="14.1" customHeight="1">
      <c r="A62" s="4">
        <f>'SCHEDULE OF VALUE WORKSHEET'!A58</f>
        <v>52</v>
      </c>
      <c r="B62" s="142" t="str">
        <f>'SCHEDULE OF VALUE WORKSHEET'!B58</f>
        <v>THERMAL MOISTURE PROTECTION</v>
      </c>
      <c r="C62" s="143"/>
      <c r="D62" s="104">
        <f>SUM('SCHEDULE OF VALUE WORKSHEET'!E58)</f>
        <v>173148</v>
      </c>
      <c r="E62" s="104">
        <f>SUM('Draw #10'!E62:F62)</f>
        <v>0</v>
      </c>
      <c r="F62" s="105">
        <v>0</v>
      </c>
      <c r="G62" s="104">
        <f>SUM('Draw #10'!G62)+F62</f>
        <v>173148</v>
      </c>
      <c r="H62" s="109">
        <f t="shared" si="0"/>
        <v>173148</v>
      </c>
      <c r="I62" s="110">
        <v>0</v>
      </c>
      <c r="J62" s="109">
        <f>SUM(I62+'Draw #10'!J62)</f>
        <v>0</v>
      </c>
      <c r="K62" s="101" t="str">
        <f t="shared" si="1"/>
        <v/>
      </c>
      <c r="L62" s="9"/>
      <c r="M62" s="9"/>
    </row>
    <row r="63" spans="1:13" ht="14.1" customHeight="1">
      <c r="A63" s="4">
        <f>'SCHEDULE OF VALUE WORKSHEET'!A59</f>
        <v>53</v>
      </c>
      <c r="B63" s="142" t="str">
        <f>'SCHEDULE OF VALUE WORKSHEET'!B59</f>
        <v>DOORS</v>
      </c>
      <c r="C63" s="143"/>
      <c r="D63" s="104">
        <f>SUM('SCHEDULE OF VALUE WORKSHEET'!E59)</f>
        <v>204087.33</v>
      </c>
      <c r="E63" s="104">
        <f>SUM('Draw #10'!E63:F63)</f>
        <v>0</v>
      </c>
      <c r="F63" s="105">
        <v>0</v>
      </c>
      <c r="G63" s="104">
        <f>SUM('Draw #10'!G63)+F63</f>
        <v>204087.33</v>
      </c>
      <c r="H63" s="109">
        <f t="shared" si="0"/>
        <v>204087.33</v>
      </c>
      <c r="I63" s="110">
        <v>0</v>
      </c>
      <c r="J63" s="109">
        <f>SUM(I63+'Draw #10'!J63)</f>
        <v>0</v>
      </c>
      <c r="K63" s="101" t="str">
        <f t="shared" si="1"/>
        <v/>
      </c>
      <c r="L63" s="9"/>
      <c r="M63" s="9"/>
    </row>
    <row r="64" spans="1:13" ht="14.1" customHeight="1">
      <c r="A64" s="4">
        <f>'SCHEDULE OF VALUE WORKSHEET'!A60</f>
        <v>54</v>
      </c>
      <c r="B64" s="142" t="str">
        <f>'SCHEDULE OF VALUE WORKSHEET'!B60</f>
        <v>WINDOWS</v>
      </c>
      <c r="C64" s="143"/>
      <c r="D64" s="104">
        <f>SUM('SCHEDULE OF VALUE WORKSHEET'!E60)</f>
        <v>106274.25</v>
      </c>
      <c r="E64" s="104">
        <f>SUM('Draw #10'!E64:F64)</f>
        <v>0</v>
      </c>
      <c r="F64" s="105">
        <v>0</v>
      </c>
      <c r="G64" s="104">
        <f>SUM('Draw #10'!G64)+F64</f>
        <v>106274.25</v>
      </c>
      <c r="H64" s="109">
        <f t="shared" si="0"/>
        <v>106274.25</v>
      </c>
      <c r="I64" s="110">
        <v>0</v>
      </c>
      <c r="J64" s="109">
        <f>SUM(I64+'Draw #10'!J64)</f>
        <v>0</v>
      </c>
      <c r="K64" s="101" t="str">
        <f t="shared" si="1"/>
        <v/>
      </c>
      <c r="L64" s="9"/>
      <c r="M64" s="9"/>
    </row>
    <row r="65" spans="1:13" ht="14.1" customHeight="1">
      <c r="A65" s="4">
        <f>'SCHEDULE OF VALUE WORKSHEET'!A61</f>
        <v>55</v>
      </c>
      <c r="B65" s="142" t="str">
        <f>'SCHEDULE OF VALUE WORKSHEET'!B61</f>
        <v>STUCCO</v>
      </c>
      <c r="C65" s="143"/>
      <c r="D65" s="104">
        <f>SUM('SCHEDULE OF VALUE WORKSHEET'!E61)</f>
        <v>208002</v>
      </c>
      <c r="E65" s="104">
        <f>SUM('Draw #10'!E65:F65)</f>
        <v>0</v>
      </c>
      <c r="F65" s="105">
        <v>0</v>
      </c>
      <c r="G65" s="104">
        <f>SUM('Draw #10'!G65)+F65</f>
        <v>208002</v>
      </c>
      <c r="H65" s="109">
        <f t="shared" si="0"/>
        <v>208002</v>
      </c>
      <c r="I65" s="110">
        <v>0</v>
      </c>
      <c r="J65" s="109">
        <f>SUM(I65+'Draw #10'!J65)</f>
        <v>0</v>
      </c>
      <c r="K65" s="101" t="str">
        <f t="shared" si="1"/>
        <v/>
      </c>
      <c r="L65" s="9"/>
      <c r="M65" s="9"/>
    </row>
    <row r="66" spans="1:13" ht="14.1" customHeight="1">
      <c r="A66" s="4">
        <f>'SCHEDULE OF VALUE WORKSHEET'!A62</f>
        <v>56</v>
      </c>
      <c r="B66" s="142" t="str">
        <f>'SCHEDULE OF VALUE WORKSHEET'!B62</f>
        <v>DRYWALL</v>
      </c>
      <c r="C66" s="143"/>
      <c r="D66" s="104">
        <f>SUM('SCHEDULE OF VALUE WORKSHEET'!E62)</f>
        <v>416355</v>
      </c>
      <c r="E66" s="104">
        <f>SUM('Draw #10'!E66:F66)</f>
        <v>0</v>
      </c>
      <c r="F66" s="105">
        <v>0</v>
      </c>
      <c r="G66" s="104">
        <f>SUM('Draw #10'!G66)+F66</f>
        <v>416355</v>
      </c>
      <c r="H66" s="109">
        <f t="shared" si="0"/>
        <v>416355</v>
      </c>
      <c r="I66" s="110">
        <v>0</v>
      </c>
      <c r="J66" s="109">
        <f>SUM(I66+'Draw #10'!J66)</f>
        <v>0</v>
      </c>
      <c r="K66" s="101" t="str">
        <f t="shared" si="1"/>
        <v/>
      </c>
      <c r="L66" s="9"/>
      <c r="M66" s="9"/>
    </row>
    <row r="67" spans="1:13" ht="14.1" customHeight="1">
      <c r="A67" s="4">
        <f>'SCHEDULE OF VALUE WORKSHEET'!A63</f>
        <v>57</v>
      </c>
      <c r="B67" s="142" t="str">
        <f>'SCHEDULE OF VALUE WORKSHEET'!B63</f>
        <v>PAINTING</v>
      </c>
      <c r="C67" s="143"/>
      <c r="D67" s="104">
        <f>SUM('SCHEDULE OF VALUE WORKSHEET'!E63)</f>
        <v>120700</v>
      </c>
      <c r="E67" s="104">
        <f>SUM('Draw #10'!E67:F67)</f>
        <v>0</v>
      </c>
      <c r="F67" s="105">
        <v>0</v>
      </c>
      <c r="G67" s="104">
        <f>SUM('Draw #10'!G67)+F67</f>
        <v>120700</v>
      </c>
      <c r="H67" s="109">
        <f t="shared" si="0"/>
        <v>120700</v>
      </c>
      <c r="I67" s="110">
        <v>0</v>
      </c>
      <c r="J67" s="109">
        <f>SUM(I67+'Draw #10'!J67)</f>
        <v>0</v>
      </c>
      <c r="K67" s="101" t="str">
        <f t="shared" si="1"/>
        <v/>
      </c>
      <c r="L67" s="9"/>
      <c r="M67" s="9"/>
    </row>
    <row r="68" spans="1:13" ht="14.1" customHeight="1">
      <c r="A68" s="4">
        <f>'SCHEDULE OF VALUE WORKSHEET'!A64</f>
        <v>58</v>
      </c>
      <c r="B68" s="142" t="str">
        <f>'SCHEDULE OF VALUE WORKSHEET'!B64</f>
        <v>FLOORING - common areas</v>
      </c>
      <c r="C68" s="143"/>
      <c r="D68" s="104">
        <f>SUM('SCHEDULE OF VALUE WORKSHEET'!E64)</f>
        <v>45150</v>
      </c>
      <c r="E68" s="104">
        <f>SUM('Draw #10'!E68:F68)</f>
        <v>0</v>
      </c>
      <c r="F68" s="105">
        <v>0</v>
      </c>
      <c r="G68" s="104">
        <f>SUM('Draw #10'!G68)+F68</f>
        <v>45150</v>
      </c>
      <c r="H68" s="109">
        <f t="shared" si="0"/>
        <v>45150</v>
      </c>
      <c r="I68" s="110">
        <v>0</v>
      </c>
      <c r="J68" s="109">
        <f>SUM(I68+'Draw #10'!J68)</f>
        <v>0</v>
      </c>
      <c r="K68" s="101" t="str">
        <f t="shared" si="1"/>
        <v/>
      </c>
      <c r="L68" s="9"/>
      <c r="M68" s="9"/>
    </row>
    <row r="69" spans="1:13" ht="14.1" customHeight="1">
      <c r="A69" s="4">
        <f>'SCHEDULE OF VALUE WORKSHEET'!A65</f>
        <v>59</v>
      </c>
      <c r="B69" s="142" t="str">
        <f>'SCHEDULE OF VALUE WORKSHEET'!B65</f>
        <v>FLOORING - Units with baseboards</v>
      </c>
      <c r="C69" s="143"/>
      <c r="D69" s="104">
        <f>SUM('SCHEDULE OF VALUE WORKSHEET'!E65)</f>
        <v>93335</v>
      </c>
      <c r="E69" s="104">
        <f>SUM('Draw #10'!E69:F69)</f>
        <v>0</v>
      </c>
      <c r="F69" s="105">
        <v>0</v>
      </c>
      <c r="G69" s="104">
        <f>SUM('Draw #10'!G69)+F69</f>
        <v>93335</v>
      </c>
      <c r="H69" s="109">
        <f t="shared" si="0"/>
        <v>93335</v>
      </c>
      <c r="I69" s="110">
        <v>0</v>
      </c>
      <c r="J69" s="109">
        <f>SUM(I69+'Draw #10'!J69)</f>
        <v>0</v>
      </c>
      <c r="K69" s="101" t="str">
        <f t="shared" si="1"/>
        <v/>
      </c>
      <c r="L69" s="9"/>
      <c r="M69" s="9"/>
    </row>
    <row r="70" spans="1:13" ht="14.1" customHeight="1">
      <c r="A70" s="4">
        <f>'SCHEDULE OF VALUE WORKSHEET'!A66</f>
        <v>60</v>
      </c>
      <c r="B70" s="142" t="str">
        <f>'SCHEDULE OF VALUE WORKSHEET'!B66</f>
        <v>SPECIALTIES</v>
      </c>
      <c r="C70" s="143"/>
      <c r="D70" s="104">
        <f>SUM('SCHEDULE OF VALUE WORKSHEET'!E66)</f>
        <v>25109.21</v>
      </c>
      <c r="E70" s="104">
        <f>SUM('Draw #10'!E70:F70)</f>
        <v>0</v>
      </c>
      <c r="F70" s="105">
        <v>0</v>
      </c>
      <c r="G70" s="104">
        <f>SUM('Draw #10'!G70)+F70</f>
        <v>25109.21</v>
      </c>
      <c r="H70" s="109">
        <f t="shared" si="0"/>
        <v>25109.21</v>
      </c>
      <c r="I70" s="110">
        <v>0</v>
      </c>
      <c r="J70" s="109">
        <f>SUM(I70+'Draw #10'!J70)</f>
        <v>0</v>
      </c>
      <c r="K70" s="101" t="str">
        <f t="shared" si="1"/>
        <v/>
      </c>
      <c r="L70" s="9"/>
      <c r="M70" s="9"/>
    </row>
    <row r="71" spans="1:13" ht="14.1" customHeight="1">
      <c r="A71" s="4">
        <f>'SCHEDULE OF VALUE WORKSHEET'!A67</f>
        <v>61</v>
      </c>
      <c r="B71" s="142" t="str">
        <f>'SCHEDULE OF VALUE WORKSHEET'!B67</f>
        <v>EQUIPMENT</v>
      </c>
      <c r="C71" s="143"/>
      <c r="D71" s="104">
        <f>SUM('SCHEDULE OF VALUE WORKSHEET'!E67)</f>
        <v>153636</v>
      </c>
      <c r="E71" s="104">
        <f>SUM('Draw #10'!E71:F71)</f>
        <v>0</v>
      </c>
      <c r="F71" s="105">
        <v>0</v>
      </c>
      <c r="G71" s="104">
        <f>SUM('Draw #10'!G71)+F71</f>
        <v>153636</v>
      </c>
      <c r="H71" s="109">
        <f t="shared" si="0"/>
        <v>153636</v>
      </c>
      <c r="I71" s="110">
        <v>0</v>
      </c>
      <c r="J71" s="109">
        <f>SUM(I71+'Draw #10'!J71)</f>
        <v>0</v>
      </c>
      <c r="K71" s="101" t="str">
        <f t="shared" si="1"/>
        <v/>
      </c>
      <c r="L71" s="9"/>
      <c r="M71" s="9"/>
    </row>
    <row r="72" spans="1:13" ht="14.1" customHeight="1">
      <c r="A72" s="4">
        <f>'SCHEDULE OF VALUE WORKSHEET'!A68</f>
        <v>62</v>
      </c>
      <c r="B72" s="142" t="str">
        <f>'SCHEDULE OF VALUE WORKSHEET'!B68</f>
        <v>FURNISHING</v>
      </c>
      <c r="C72" s="143"/>
      <c r="D72" s="104">
        <f>SUM('SCHEDULE OF VALUE WORKSHEET'!E68)</f>
        <v>0</v>
      </c>
      <c r="E72" s="104">
        <f>SUM('Draw #10'!E72:F72)</f>
        <v>0</v>
      </c>
      <c r="F72" s="105">
        <v>0</v>
      </c>
      <c r="G72" s="104">
        <f>SUM('Draw #10'!G72)+F72</f>
        <v>0</v>
      </c>
      <c r="H72" s="109">
        <f t="shared" si="0"/>
        <v>0</v>
      </c>
      <c r="I72" s="110">
        <v>0</v>
      </c>
      <c r="J72" s="109">
        <f>SUM(I72+'Draw #10'!J72)</f>
        <v>0</v>
      </c>
      <c r="K72" s="101" t="str">
        <f t="shared" si="1"/>
        <v/>
      </c>
      <c r="L72" s="9"/>
      <c r="M72" s="9"/>
    </row>
    <row r="73" spans="1:13" ht="14.1" customHeight="1">
      <c r="A73" s="4">
        <f>'SCHEDULE OF VALUE WORKSHEET'!A69</f>
        <v>63</v>
      </c>
      <c r="B73" s="142" t="str">
        <f>'SCHEDULE OF VALUE WORKSHEET'!B69</f>
        <v>FIRE SPRINKLERS</v>
      </c>
      <c r="C73" s="143"/>
      <c r="D73" s="104">
        <f>SUM('SCHEDULE OF VALUE WORKSHEET'!E69)</f>
        <v>108500</v>
      </c>
      <c r="E73" s="104">
        <f>SUM('Draw #10'!E73:F73)</f>
        <v>0</v>
      </c>
      <c r="F73" s="105">
        <v>0</v>
      </c>
      <c r="G73" s="104">
        <f>SUM('Draw #10'!G73)+F73</f>
        <v>108500</v>
      </c>
      <c r="H73" s="109">
        <f t="shared" si="0"/>
        <v>108500</v>
      </c>
      <c r="I73" s="110">
        <v>0</v>
      </c>
      <c r="J73" s="109">
        <f>SUM(I73+'Draw #10'!J73)</f>
        <v>0</v>
      </c>
      <c r="K73" s="101" t="str">
        <f t="shared" si="1"/>
        <v/>
      </c>
      <c r="L73" s="9"/>
      <c r="M73" s="9"/>
    </row>
    <row r="74" spans="1:13" ht="14.1" customHeight="1">
      <c r="A74" s="4">
        <f>'SCHEDULE OF VALUE WORKSHEET'!A70</f>
        <v>64</v>
      </c>
      <c r="B74" s="142" t="str">
        <f>'SCHEDULE OF VALUE WORKSHEET'!B70</f>
        <v>FIRE ALARM</v>
      </c>
      <c r="C74" s="143"/>
      <c r="D74" s="104">
        <f>SUM('SCHEDULE OF VALUE WORKSHEET'!E70)</f>
        <v>68401</v>
      </c>
      <c r="E74" s="104">
        <f>SUM('Draw #10'!E74:F74)</f>
        <v>0</v>
      </c>
      <c r="F74" s="105">
        <v>0</v>
      </c>
      <c r="G74" s="104">
        <f>SUM('Draw #10'!G74)+F74</f>
        <v>68401</v>
      </c>
      <c r="H74" s="109">
        <f t="shared" si="0"/>
        <v>68401</v>
      </c>
      <c r="I74" s="110">
        <v>0</v>
      </c>
      <c r="J74" s="109">
        <f>SUM(I74+'Draw #10'!J74)</f>
        <v>0</v>
      </c>
      <c r="K74" s="101" t="str">
        <f t="shared" si="1"/>
        <v/>
      </c>
      <c r="L74" s="9"/>
      <c r="M74" s="9"/>
    </row>
    <row r="75" spans="1:13" ht="14.1" customHeight="1">
      <c r="A75" s="4">
        <f>'SCHEDULE OF VALUE WORKSHEET'!A71</f>
        <v>65</v>
      </c>
      <c r="B75" s="142" t="str">
        <f>'SCHEDULE OF VALUE WORKSHEET'!B71</f>
        <v>SOLAR PANELS</v>
      </c>
      <c r="C75" s="143"/>
      <c r="D75" s="104">
        <f>SUM('SCHEDULE OF VALUE WORKSHEET'!E71)</f>
        <v>97000</v>
      </c>
      <c r="E75" s="104">
        <f>SUM('Draw #10'!E75:F75)</f>
        <v>0</v>
      </c>
      <c r="F75" s="105">
        <v>0</v>
      </c>
      <c r="G75" s="104">
        <f>SUM('Draw #10'!G75)+F75</f>
        <v>97000</v>
      </c>
      <c r="H75" s="109">
        <f t="shared" ref="H75:H135" si="2">SUM(G75-J75)</f>
        <v>97000</v>
      </c>
      <c r="I75" s="110">
        <v>0</v>
      </c>
      <c r="J75" s="109">
        <f>SUM(I75+'Draw #10'!J75)</f>
        <v>0</v>
      </c>
      <c r="K75" s="101" t="str">
        <f t="shared" ref="K75:K135" si="3">IF(J75=0,"",J75/G75)</f>
        <v/>
      </c>
      <c r="L75" s="9"/>
      <c r="M75" s="9"/>
    </row>
    <row r="76" spans="1:13" ht="14.1" customHeight="1">
      <c r="A76" s="4">
        <f>'SCHEDULE OF VALUE WORKSHEET'!A72</f>
        <v>66</v>
      </c>
      <c r="B76" s="142" t="str">
        <f>'SCHEDULE OF VALUE WORKSHEET'!B72</f>
        <v>SECURITY ACCESS &amp; SURVEILLANCE</v>
      </c>
      <c r="C76" s="143"/>
      <c r="D76" s="104">
        <f>SUM('SCHEDULE OF VALUE WORKSHEET'!E72)</f>
        <v>136430</v>
      </c>
      <c r="E76" s="104">
        <f>SUM('Draw #10'!E76:F76)</f>
        <v>0</v>
      </c>
      <c r="F76" s="105">
        <v>0</v>
      </c>
      <c r="G76" s="104">
        <f>SUM('Draw #10'!G76)+F76</f>
        <v>136430</v>
      </c>
      <c r="H76" s="109">
        <f t="shared" si="2"/>
        <v>136430</v>
      </c>
      <c r="I76" s="110">
        <v>0</v>
      </c>
      <c r="J76" s="109">
        <f>SUM(I76+'Draw #10'!J76)</f>
        <v>0</v>
      </c>
      <c r="K76" s="101" t="str">
        <f t="shared" si="3"/>
        <v/>
      </c>
      <c r="L76" s="9"/>
      <c r="M76" s="9"/>
    </row>
    <row r="77" spans="1:13" ht="14.1" customHeight="1">
      <c r="A77" s="4">
        <f>'SCHEDULE OF VALUE WORKSHEET'!A73</f>
        <v>67</v>
      </c>
      <c r="B77" s="142" t="str">
        <f>'SCHEDULE OF VALUE WORKSHEET'!B73</f>
        <v>ELEVATORS &amp; LIFT</v>
      </c>
      <c r="C77" s="143"/>
      <c r="D77" s="104">
        <f>SUM('SCHEDULE OF VALUE WORKSHEET'!E73)</f>
        <v>174882</v>
      </c>
      <c r="E77" s="104">
        <f>SUM('Draw #10'!E77:F77)</f>
        <v>0</v>
      </c>
      <c r="F77" s="105">
        <v>0</v>
      </c>
      <c r="G77" s="104">
        <f>SUM('Draw #10'!G77)+F77</f>
        <v>174882</v>
      </c>
      <c r="H77" s="109">
        <f t="shared" si="2"/>
        <v>174882</v>
      </c>
      <c r="I77" s="110">
        <v>0</v>
      </c>
      <c r="J77" s="109">
        <f>SUM(I77+'Draw #10'!J77)</f>
        <v>0</v>
      </c>
      <c r="K77" s="101" t="str">
        <f t="shared" si="3"/>
        <v/>
      </c>
      <c r="L77" s="9"/>
      <c r="M77" s="9"/>
    </row>
    <row r="78" spans="1:13" ht="14.1" customHeight="1">
      <c r="A78" s="4">
        <f>'SCHEDULE OF VALUE WORKSHEET'!A74</f>
        <v>68</v>
      </c>
      <c r="B78" s="142" t="str">
        <f>'SCHEDULE OF VALUE WORKSHEET'!B74</f>
        <v>WATER SUBMETER (material)</v>
      </c>
      <c r="C78" s="143"/>
      <c r="D78" s="104">
        <f>SUM('SCHEDULE OF VALUE WORKSHEET'!E74)</f>
        <v>12273</v>
      </c>
      <c r="E78" s="104">
        <f>SUM('Draw #10'!E78:F78)</f>
        <v>0</v>
      </c>
      <c r="F78" s="105">
        <v>0</v>
      </c>
      <c r="G78" s="104">
        <f>SUM('Draw #10'!G78)+F78</f>
        <v>12273</v>
      </c>
      <c r="H78" s="109">
        <f t="shared" si="2"/>
        <v>12273</v>
      </c>
      <c r="I78" s="110">
        <v>0</v>
      </c>
      <c r="J78" s="109">
        <f>SUM(I78+'Draw #10'!J78)</f>
        <v>0</v>
      </c>
      <c r="K78" s="101" t="str">
        <f t="shared" si="3"/>
        <v/>
      </c>
      <c r="L78" s="9"/>
      <c r="M78" s="9"/>
    </row>
    <row r="79" spans="1:13" ht="14.1" customHeight="1">
      <c r="A79" s="4">
        <f>'SCHEDULE OF VALUE WORKSHEET'!A75</f>
        <v>69</v>
      </c>
      <c r="B79" s="142" t="str">
        <f>'SCHEDULE OF VALUE WORKSHEET'!B75</f>
        <v>WATER SUBMETER (labor)</v>
      </c>
      <c r="C79" s="143"/>
      <c r="D79" s="104">
        <f>SUM('SCHEDULE OF VALUE WORKSHEET'!E75)</f>
        <v>0</v>
      </c>
      <c r="E79" s="104">
        <f>SUM('Draw #10'!E79:F79)</f>
        <v>0</v>
      </c>
      <c r="F79" s="105">
        <v>0</v>
      </c>
      <c r="G79" s="104">
        <f>SUM('Draw #10'!G79)+F79</f>
        <v>0</v>
      </c>
      <c r="H79" s="109">
        <f t="shared" si="2"/>
        <v>0</v>
      </c>
      <c r="I79" s="110">
        <v>0</v>
      </c>
      <c r="J79" s="109">
        <f>SUM(I79+'Draw #10'!J79)</f>
        <v>0</v>
      </c>
      <c r="K79" s="101" t="str">
        <f t="shared" si="3"/>
        <v/>
      </c>
      <c r="L79" s="9"/>
      <c r="M79" s="9"/>
    </row>
    <row r="80" spans="1:13" ht="14.1" customHeight="1">
      <c r="A80" s="4">
        <f>'SCHEDULE OF VALUE WORKSHEET'!A76</f>
        <v>70</v>
      </c>
      <c r="B80" s="142" t="str">
        <f>'SCHEDULE OF VALUE WORKSHEET'!B76</f>
        <v>ROUGH PLUMBING</v>
      </c>
      <c r="C80" s="143"/>
      <c r="D80" s="104">
        <f>SUM('SCHEDULE OF VALUE WORKSHEET'!E76)</f>
        <v>751927</v>
      </c>
      <c r="E80" s="104">
        <f>SUM('Draw #10'!E80:F80)</f>
        <v>0</v>
      </c>
      <c r="F80" s="105">
        <v>0</v>
      </c>
      <c r="G80" s="104">
        <f>SUM('Draw #10'!G80)+F80</f>
        <v>751927</v>
      </c>
      <c r="H80" s="109">
        <f t="shared" si="2"/>
        <v>751927</v>
      </c>
      <c r="I80" s="110">
        <v>0</v>
      </c>
      <c r="J80" s="109">
        <f>SUM(I80+'Draw #10'!J80)</f>
        <v>0</v>
      </c>
      <c r="K80" s="101" t="str">
        <f t="shared" si="3"/>
        <v/>
      </c>
      <c r="L80" s="9"/>
      <c r="M80" s="9"/>
    </row>
    <row r="81" spans="1:13" ht="14.1" customHeight="1">
      <c r="A81" s="4">
        <f>'SCHEDULE OF VALUE WORKSHEET'!A77</f>
        <v>71</v>
      </c>
      <c r="B81" s="142" t="str">
        <f>'SCHEDULE OF VALUE WORKSHEET'!B77</f>
        <v>FINISH PLUMBING</v>
      </c>
      <c r="C81" s="143"/>
      <c r="D81" s="104">
        <f>SUM('SCHEDULE OF VALUE WORKSHEET'!E77)</f>
        <v>90000</v>
      </c>
      <c r="E81" s="104">
        <f>SUM('Draw #10'!E81:F81)</f>
        <v>0</v>
      </c>
      <c r="F81" s="105">
        <v>0</v>
      </c>
      <c r="G81" s="104">
        <f>SUM('Draw #10'!G81)+F81</f>
        <v>90000</v>
      </c>
      <c r="H81" s="109">
        <f t="shared" si="2"/>
        <v>90000</v>
      </c>
      <c r="I81" s="110">
        <v>0</v>
      </c>
      <c r="J81" s="109">
        <f>SUM(I81+'Draw #10'!J81)</f>
        <v>0</v>
      </c>
      <c r="K81" s="101" t="str">
        <f t="shared" si="3"/>
        <v/>
      </c>
      <c r="L81" s="9"/>
      <c r="M81" s="9"/>
    </row>
    <row r="82" spans="1:13" ht="14.1" customHeight="1">
      <c r="A82" s="4">
        <f>'SCHEDULE OF VALUE WORKSHEET'!A78</f>
        <v>72</v>
      </c>
      <c r="B82" s="142" t="str">
        <f>'SCHEDULE OF VALUE WORKSHEET'!B78</f>
        <v>HVAC</v>
      </c>
      <c r="C82" s="143"/>
      <c r="D82" s="104">
        <f>SUM('SCHEDULE OF VALUE WORKSHEET'!E78)</f>
        <v>259000</v>
      </c>
      <c r="E82" s="104">
        <f>SUM('Draw #10'!E82:F82)</f>
        <v>0</v>
      </c>
      <c r="F82" s="105">
        <v>0</v>
      </c>
      <c r="G82" s="104">
        <f>SUM('Draw #10'!G82)+F82</f>
        <v>259000</v>
      </c>
      <c r="H82" s="109">
        <f t="shared" si="2"/>
        <v>259000</v>
      </c>
      <c r="I82" s="110">
        <v>0</v>
      </c>
      <c r="J82" s="109">
        <f>SUM(I82+'Draw #10'!J82)</f>
        <v>0</v>
      </c>
      <c r="K82" s="101" t="str">
        <f t="shared" si="3"/>
        <v/>
      </c>
      <c r="L82" s="9"/>
      <c r="M82" s="9"/>
    </row>
    <row r="83" spans="1:13" ht="14.1" customHeight="1">
      <c r="A83" s="4">
        <f>'SCHEDULE OF VALUE WORKSHEET'!A79</f>
        <v>73</v>
      </c>
      <c r="B83" s="142" t="str">
        <f>'SCHEDULE OF VALUE WORKSHEET'!B79</f>
        <v>ELECTRICAL</v>
      </c>
      <c r="C83" s="143"/>
      <c r="D83" s="104">
        <f>SUM('SCHEDULE OF VALUE WORKSHEET'!E79)</f>
        <v>880486.32</v>
      </c>
      <c r="E83" s="104">
        <f>SUM('Draw #10'!E83:F83)</f>
        <v>0</v>
      </c>
      <c r="F83" s="105">
        <v>0</v>
      </c>
      <c r="G83" s="104">
        <f>SUM('Draw #10'!G83)+F83</f>
        <v>880486.32</v>
      </c>
      <c r="H83" s="109">
        <f t="shared" si="2"/>
        <v>880486.32</v>
      </c>
      <c r="I83" s="110">
        <v>0</v>
      </c>
      <c r="J83" s="109">
        <f>SUM(I83+'Draw #10'!J83)</f>
        <v>0</v>
      </c>
      <c r="K83" s="101" t="str">
        <f t="shared" si="3"/>
        <v/>
      </c>
      <c r="L83" s="9"/>
      <c r="M83" s="9"/>
    </row>
    <row r="84" spans="1:13" ht="14.1" customHeight="1">
      <c r="A84" s="4">
        <f>'SCHEDULE OF VALUE WORKSHEET'!A80</f>
        <v>74</v>
      </c>
      <c r="B84" s="142" t="str">
        <f>'SCHEDULE OF VALUE WORKSHEET'!B80</f>
        <v xml:space="preserve">CONTINGENCY </v>
      </c>
      <c r="C84" s="143"/>
      <c r="D84" s="104">
        <f>SUM('SCHEDULE OF VALUE WORKSHEET'!E80)</f>
        <v>529215.20000000007</v>
      </c>
      <c r="E84" s="104">
        <f>SUM('Draw #10'!E84:F84)</f>
        <v>0</v>
      </c>
      <c r="F84" s="105">
        <v>0</v>
      </c>
      <c r="G84" s="104">
        <f>SUM('Draw #10'!G84)+F84</f>
        <v>529215.20000000007</v>
      </c>
      <c r="H84" s="109">
        <f t="shared" si="2"/>
        <v>529215.20000000007</v>
      </c>
      <c r="I84" s="110">
        <v>0</v>
      </c>
      <c r="J84" s="109">
        <f>SUM(I84+'Draw #10'!J84)</f>
        <v>0</v>
      </c>
      <c r="K84" s="101" t="str">
        <f t="shared" si="3"/>
        <v/>
      </c>
      <c r="L84" s="9"/>
      <c r="M84" s="9"/>
    </row>
    <row r="85" spans="1:13" ht="14.1" customHeight="1">
      <c r="A85" s="4">
        <f>'SCHEDULE OF VALUE WORKSHEET'!A81</f>
        <v>75</v>
      </c>
      <c r="B85" s="142" t="str">
        <f>'SCHEDULE OF VALUE WORKSHEET'!B81</f>
        <v>INSURANCE (GL w/auto, workers compl)</v>
      </c>
      <c r="C85" s="143"/>
      <c r="D85" s="104">
        <f>SUM('SCHEDULE OF VALUE WORKSHEET'!E81)</f>
        <v>97177.07</v>
      </c>
      <c r="E85" s="104">
        <f>SUM('Draw #10'!E85:F85)</f>
        <v>0</v>
      </c>
      <c r="F85" s="105">
        <v>0</v>
      </c>
      <c r="G85" s="104">
        <f>SUM('Draw #10'!G85)+F85</f>
        <v>97177.07</v>
      </c>
      <c r="H85" s="109">
        <f t="shared" si="2"/>
        <v>97177.07</v>
      </c>
      <c r="I85" s="110">
        <v>0</v>
      </c>
      <c r="J85" s="109">
        <f>SUM(I85+'Draw #10'!J85)</f>
        <v>0</v>
      </c>
      <c r="K85" s="101" t="str">
        <f t="shared" si="3"/>
        <v/>
      </c>
      <c r="L85" s="9"/>
      <c r="M85" s="9"/>
    </row>
    <row r="86" spans="1:13" ht="14.1" customHeight="1">
      <c r="A86" s="4">
        <f>'SCHEDULE OF VALUE WORKSHEET'!A82</f>
        <v>76</v>
      </c>
      <c r="B86" s="142" t="str">
        <f>'SCHEDULE OF VALUE WORKSHEET'!B82</f>
        <v>GROSS RECEIPT TAX</v>
      </c>
      <c r="C86" s="143"/>
      <c r="D86" s="104">
        <f>SUM('SCHEDULE OF VALUE WORKSHEET'!E82)</f>
        <v>6543.26</v>
      </c>
      <c r="E86" s="104">
        <f>SUM('Draw #10'!E86:F86)</f>
        <v>0</v>
      </c>
      <c r="F86" s="105">
        <v>0</v>
      </c>
      <c r="G86" s="104">
        <f>SUM('Draw #10'!G86)+F86</f>
        <v>6543.26</v>
      </c>
      <c r="H86" s="109">
        <f t="shared" si="2"/>
        <v>6543.26</v>
      </c>
      <c r="I86" s="110">
        <v>0</v>
      </c>
      <c r="J86" s="109">
        <f>SUM(I86+'Draw #10'!J86)</f>
        <v>0</v>
      </c>
      <c r="K86" s="101" t="str">
        <f t="shared" si="3"/>
        <v/>
      </c>
      <c r="L86" s="9"/>
      <c r="M86" s="9"/>
    </row>
    <row r="87" spans="1:13" ht="14.1" customHeight="1">
      <c r="A87" s="4">
        <f>'SCHEDULE OF VALUE WORKSHEET'!A83</f>
        <v>77</v>
      </c>
      <c r="B87" s="142" t="str">
        <f>'SCHEDULE OF VALUE WORKSHEET'!B83</f>
        <v>GC FEE</v>
      </c>
      <c r="C87" s="143"/>
      <c r="D87" s="104">
        <f>SUM('SCHEDULE OF VALUE WORKSHEET'!E83)</f>
        <v>388708.28</v>
      </c>
      <c r="E87" s="104">
        <f>SUM('Draw #10'!E87:F87)</f>
        <v>0</v>
      </c>
      <c r="F87" s="105">
        <v>0</v>
      </c>
      <c r="G87" s="104">
        <f>SUM('Draw #10'!G87)+F87</f>
        <v>388708.28</v>
      </c>
      <c r="H87" s="109">
        <f t="shared" si="2"/>
        <v>388708.28</v>
      </c>
      <c r="I87" s="110">
        <v>0</v>
      </c>
      <c r="J87" s="109">
        <f>SUM(I87+'Draw #10'!J87)</f>
        <v>0</v>
      </c>
      <c r="K87" s="101" t="str">
        <f t="shared" si="3"/>
        <v/>
      </c>
      <c r="L87" s="9"/>
      <c r="M87" s="9"/>
    </row>
    <row r="88" spans="1:13" ht="14.1" customHeight="1">
      <c r="A88" s="4">
        <f>'SCHEDULE OF VALUE WORKSHEET'!A84</f>
        <v>78</v>
      </c>
      <c r="B88" s="142" t="str">
        <f>'SCHEDULE OF VALUE WORKSHEET'!B84</f>
        <v>DEVELOPMENT FEE</v>
      </c>
      <c r="C88" s="143"/>
      <c r="D88" s="104">
        <f>SUM('SCHEDULE OF VALUE WORKSHEET'!E84)</f>
        <v>180523.5</v>
      </c>
      <c r="E88" s="104">
        <f>SUM('Draw #10'!E88:F88)</f>
        <v>0</v>
      </c>
      <c r="F88" s="105">
        <v>0</v>
      </c>
      <c r="G88" s="104">
        <f>SUM('Draw #10'!G88)+F88</f>
        <v>180523.5</v>
      </c>
      <c r="H88" s="109">
        <f t="shared" si="2"/>
        <v>180523.5</v>
      </c>
      <c r="I88" s="110">
        <v>0</v>
      </c>
      <c r="J88" s="109">
        <f>SUM(I88+'Draw #10'!J88)</f>
        <v>0</v>
      </c>
      <c r="K88" s="101" t="str">
        <f t="shared" si="3"/>
        <v/>
      </c>
      <c r="L88" s="9"/>
      <c r="M88" s="9"/>
    </row>
    <row r="89" spans="1:13" ht="14.1" customHeight="1">
      <c r="A89" s="4">
        <f>'SCHEDULE OF VALUE WORKSHEET'!A85</f>
        <v>79</v>
      </c>
      <c r="B89" s="142" t="str">
        <f>'SCHEDULE OF VALUE WORKSHEET'!B85</f>
        <v>CARRYING COSTS</v>
      </c>
      <c r="C89" s="143"/>
      <c r="D89" s="104">
        <f>SUM('SCHEDULE OF VALUE WORKSHEET'!E85)</f>
        <v>92885.53</v>
      </c>
      <c r="E89" s="104">
        <f>SUM('Draw #10'!E89:F89)</f>
        <v>0</v>
      </c>
      <c r="F89" s="105">
        <v>0</v>
      </c>
      <c r="G89" s="104">
        <f>SUM('Draw #10'!G89)+F89</f>
        <v>92885.53</v>
      </c>
      <c r="H89" s="109">
        <f t="shared" si="2"/>
        <v>92885.53</v>
      </c>
      <c r="I89" s="110">
        <v>0</v>
      </c>
      <c r="J89" s="109">
        <f>SUM(I89+'Draw #10'!J89)</f>
        <v>0</v>
      </c>
      <c r="K89" s="101" t="str">
        <f t="shared" si="3"/>
        <v/>
      </c>
      <c r="L89" s="9"/>
      <c r="M89" s="9"/>
    </row>
    <row r="90" spans="1:13" ht="14.1" customHeight="1">
      <c r="A90" s="4">
        <f>'SCHEDULE OF VALUE WORKSHEET'!A86</f>
        <v>80</v>
      </c>
      <c r="B90" s="142" t="str">
        <f>'SCHEDULE OF VALUE WORKSHEET'!B86</f>
        <v>FINANCING COSTS</v>
      </c>
      <c r="C90" s="143"/>
      <c r="D90" s="104">
        <f>SUM('SCHEDULE OF VALUE WORKSHEET'!E86)</f>
        <v>0</v>
      </c>
      <c r="E90" s="104">
        <f>SUM('Draw #10'!E90:F90)</f>
        <v>0</v>
      </c>
      <c r="F90" s="105">
        <v>0</v>
      </c>
      <c r="G90" s="104">
        <f>SUM('Draw #10'!G90)+F90</f>
        <v>0</v>
      </c>
      <c r="H90" s="109">
        <f t="shared" si="2"/>
        <v>0</v>
      </c>
      <c r="I90" s="110">
        <v>0</v>
      </c>
      <c r="J90" s="109">
        <f>SUM(I90+'Draw #10'!J90)</f>
        <v>0</v>
      </c>
      <c r="K90" s="101" t="str">
        <f t="shared" si="3"/>
        <v/>
      </c>
      <c r="L90" s="9"/>
      <c r="M90" s="9"/>
    </row>
    <row r="91" spans="1:13" ht="14.1" customHeight="1">
      <c r="A91" s="4" t="e">
        <f>'SCHEDULE OF VALUE WORKSHEET'!#REF!</f>
        <v>#REF!</v>
      </c>
      <c r="B91" s="142" t="e">
        <f>'SCHEDULE OF VALUE WORKSHEET'!#REF!</f>
        <v>#REF!</v>
      </c>
      <c r="C91" s="143"/>
      <c r="D91" s="104" t="e">
        <f>SUM('SCHEDULE OF VALUE WORKSHEET'!#REF!)</f>
        <v>#REF!</v>
      </c>
      <c r="E91" s="104">
        <f>SUM('Draw #10'!E91:F91)</f>
        <v>0</v>
      </c>
      <c r="F91" s="105">
        <v>0</v>
      </c>
      <c r="G91" s="104" t="e">
        <f>SUM('Draw #10'!G91)+F91</f>
        <v>#REF!</v>
      </c>
      <c r="H91" s="109" t="e">
        <f t="shared" si="2"/>
        <v>#REF!</v>
      </c>
      <c r="I91" s="110">
        <v>0</v>
      </c>
      <c r="J91" s="109">
        <f>SUM(I91+'Draw #10'!J91)</f>
        <v>0</v>
      </c>
      <c r="K91" s="101" t="str">
        <f t="shared" si="3"/>
        <v/>
      </c>
      <c r="L91" s="9"/>
      <c r="M91" s="9"/>
    </row>
    <row r="92" spans="1:13" ht="14.1" customHeight="1">
      <c r="A92" s="4" t="e">
        <f>'SCHEDULE OF VALUE WORKSHEET'!#REF!</f>
        <v>#REF!</v>
      </c>
      <c r="B92" s="142" t="e">
        <f>'SCHEDULE OF VALUE WORKSHEET'!#REF!</f>
        <v>#REF!</v>
      </c>
      <c r="C92" s="143"/>
      <c r="D92" s="104" t="e">
        <f>SUM('SCHEDULE OF VALUE WORKSHEET'!#REF!)</f>
        <v>#REF!</v>
      </c>
      <c r="E92" s="104">
        <f>SUM('Draw #10'!E92:F92)</f>
        <v>0</v>
      </c>
      <c r="F92" s="105">
        <v>0</v>
      </c>
      <c r="G92" s="104" t="e">
        <f>SUM('Draw #10'!G92)+F92</f>
        <v>#REF!</v>
      </c>
      <c r="H92" s="109" t="e">
        <f t="shared" si="2"/>
        <v>#REF!</v>
      </c>
      <c r="I92" s="110">
        <v>0</v>
      </c>
      <c r="J92" s="109">
        <f>SUM(I92+'Draw #10'!J92)</f>
        <v>0</v>
      </c>
      <c r="K92" s="101" t="str">
        <f t="shared" si="3"/>
        <v/>
      </c>
      <c r="L92" s="9"/>
      <c r="M92" s="9"/>
    </row>
    <row r="93" spans="1:13" ht="14.1" customHeight="1">
      <c r="A93" s="4" t="e">
        <f>'SCHEDULE OF VALUE WORKSHEET'!#REF!</f>
        <v>#REF!</v>
      </c>
      <c r="B93" s="142" t="e">
        <f>'SCHEDULE OF VALUE WORKSHEET'!#REF!</f>
        <v>#REF!</v>
      </c>
      <c r="C93" s="143"/>
      <c r="D93" s="104" t="e">
        <f>SUM('SCHEDULE OF VALUE WORKSHEET'!#REF!)</f>
        <v>#REF!</v>
      </c>
      <c r="E93" s="104">
        <f>SUM('Draw #10'!E93:F93)</f>
        <v>0</v>
      </c>
      <c r="F93" s="105">
        <v>0</v>
      </c>
      <c r="G93" s="104" t="e">
        <f>SUM('Draw #10'!G93)+F93</f>
        <v>#REF!</v>
      </c>
      <c r="H93" s="109" t="e">
        <f t="shared" si="2"/>
        <v>#REF!</v>
      </c>
      <c r="I93" s="110">
        <v>0</v>
      </c>
      <c r="J93" s="109">
        <f>SUM(I93+'Draw #10'!J93)</f>
        <v>0</v>
      </c>
      <c r="K93" s="101" t="str">
        <f t="shared" si="3"/>
        <v/>
      </c>
      <c r="L93" s="9"/>
      <c r="M93" s="9"/>
    </row>
    <row r="94" spans="1:13" ht="14.1" customHeight="1">
      <c r="A94" s="4" t="e">
        <f>'SCHEDULE OF VALUE WORKSHEET'!#REF!</f>
        <v>#REF!</v>
      </c>
      <c r="B94" s="142" t="e">
        <f>'SCHEDULE OF VALUE WORKSHEET'!#REF!</f>
        <v>#REF!</v>
      </c>
      <c r="C94" s="143"/>
      <c r="D94" s="104" t="e">
        <f>SUM('SCHEDULE OF VALUE WORKSHEET'!#REF!)</f>
        <v>#REF!</v>
      </c>
      <c r="E94" s="104">
        <f>SUM('Draw #10'!E94:F94)</f>
        <v>0</v>
      </c>
      <c r="F94" s="105">
        <v>0</v>
      </c>
      <c r="G94" s="104" t="e">
        <f>SUM('Draw #10'!G94)+F94</f>
        <v>#REF!</v>
      </c>
      <c r="H94" s="109" t="e">
        <f t="shared" si="2"/>
        <v>#REF!</v>
      </c>
      <c r="I94" s="110">
        <v>0</v>
      </c>
      <c r="J94" s="109">
        <f>SUM(I94+'Draw #10'!J94)</f>
        <v>0</v>
      </c>
      <c r="K94" s="101" t="str">
        <f t="shared" si="3"/>
        <v/>
      </c>
      <c r="L94" s="9"/>
      <c r="M94" s="9"/>
    </row>
    <row r="95" spans="1:13" ht="14.1" customHeight="1">
      <c r="A95" s="4" t="e">
        <f>'SCHEDULE OF VALUE WORKSHEET'!#REF!</f>
        <v>#REF!</v>
      </c>
      <c r="B95" s="142" t="e">
        <f>'SCHEDULE OF VALUE WORKSHEET'!#REF!</f>
        <v>#REF!</v>
      </c>
      <c r="C95" s="143"/>
      <c r="D95" s="104" t="e">
        <f>SUM('SCHEDULE OF VALUE WORKSHEET'!#REF!)</f>
        <v>#REF!</v>
      </c>
      <c r="E95" s="104">
        <f>SUM('Draw #10'!E95:F95)</f>
        <v>0</v>
      </c>
      <c r="F95" s="105">
        <v>0</v>
      </c>
      <c r="G95" s="104" t="e">
        <f>SUM('Draw #10'!G95)+F95</f>
        <v>#REF!</v>
      </c>
      <c r="H95" s="109" t="e">
        <f t="shared" si="2"/>
        <v>#REF!</v>
      </c>
      <c r="I95" s="110">
        <v>0</v>
      </c>
      <c r="J95" s="109">
        <f>SUM(I95+'Draw #10'!J95)</f>
        <v>0</v>
      </c>
      <c r="K95" s="101" t="str">
        <f t="shared" si="3"/>
        <v/>
      </c>
      <c r="L95" s="9"/>
      <c r="M95" s="9"/>
    </row>
    <row r="96" spans="1:13" ht="14.1" customHeight="1">
      <c r="A96" s="4" t="e">
        <f>'SCHEDULE OF VALUE WORKSHEET'!#REF!</f>
        <v>#REF!</v>
      </c>
      <c r="B96" s="142" t="e">
        <f>'SCHEDULE OF VALUE WORKSHEET'!#REF!</f>
        <v>#REF!</v>
      </c>
      <c r="C96" s="143"/>
      <c r="D96" s="104" t="e">
        <f>SUM('SCHEDULE OF VALUE WORKSHEET'!#REF!)</f>
        <v>#REF!</v>
      </c>
      <c r="E96" s="104">
        <f>SUM('Draw #10'!E96:F96)</f>
        <v>0</v>
      </c>
      <c r="F96" s="105">
        <v>0</v>
      </c>
      <c r="G96" s="104" t="e">
        <f>SUM('Draw #10'!G96)+F96</f>
        <v>#REF!</v>
      </c>
      <c r="H96" s="109" t="e">
        <f t="shared" si="2"/>
        <v>#REF!</v>
      </c>
      <c r="I96" s="110">
        <v>0</v>
      </c>
      <c r="J96" s="109">
        <f>SUM(I96+'Draw #10'!J96)</f>
        <v>0</v>
      </c>
      <c r="K96" s="101" t="str">
        <f t="shared" si="3"/>
        <v/>
      </c>
      <c r="L96" s="9"/>
      <c r="M96" s="9"/>
    </row>
    <row r="97" spans="1:13" ht="14.1" customHeight="1">
      <c r="A97" s="4" t="e">
        <f>'SCHEDULE OF VALUE WORKSHEET'!#REF!</f>
        <v>#REF!</v>
      </c>
      <c r="B97" s="142" t="e">
        <f>'SCHEDULE OF VALUE WORKSHEET'!#REF!</f>
        <v>#REF!</v>
      </c>
      <c r="C97" s="143"/>
      <c r="D97" s="104" t="e">
        <f>SUM('SCHEDULE OF VALUE WORKSHEET'!#REF!)</f>
        <v>#REF!</v>
      </c>
      <c r="E97" s="104">
        <f>SUM('Draw #10'!E97:F97)</f>
        <v>0</v>
      </c>
      <c r="F97" s="105">
        <v>0</v>
      </c>
      <c r="G97" s="104" t="e">
        <f>SUM('Draw #10'!G97)+F97</f>
        <v>#REF!</v>
      </c>
      <c r="H97" s="109" t="e">
        <f t="shared" si="2"/>
        <v>#REF!</v>
      </c>
      <c r="I97" s="110">
        <v>0</v>
      </c>
      <c r="J97" s="109">
        <f>SUM(I97+'Draw #10'!J97)</f>
        <v>0</v>
      </c>
      <c r="K97" s="101" t="str">
        <f t="shared" si="3"/>
        <v/>
      </c>
      <c r="L97" s="9"/>
      <c r="M97" s="9"/>
    </row>
    <row r="98" spans="1:13" ht="14.1" customHeight="1">
      <c r="A98" s="4" t="e">
        <f>'SCHEDULE OF VALUE WORKSHEET'!#REF!</f>
        <v>#REF!</v>
      </c>
      <c r="B98" s="142" t="e">
        <f>'SCHEDULE OF VALUE WORKSHEET'!#REF!</f>
        <v>#REF!</v>
      </c>
      <c r="C98" s="143"/>
      <c r="D98" s="104" t="e">
        <f>SUM('SCHEDULE OF VALUE WORKSHEET'!#REF!)</f>
        <v>#REF!</v>
      </c>
      <c r="E98" s="104">
        <f>SUM('Draw #10'!E98:F98)</f>
        <v>0</v>
      </c>
      <c r="F98" s="105">
        <v>0</v>
      </c>
      <c r="G98" s="104" t="e">
        <f>SUM('Draw #10'!G98)+F98</f>
        <v>#REF!</v>
      </c>
      <c r="H98" s="109" t="e">
        <f t="shared" si="2"/>
        <v>#REF!</v>
      </c>
      <c r="I98" s="110">
        <v>0</v>
      </c>
      <c r="J98" s="109">
        <f>SUM(I98+'Draw #10'!J98)</f>
        <v>0</v>
      </c>
      <c r="K98" s="101" t="str">
        <f t="shared" si="3"/>
        <v/>
      </c>
      <c r="L98" s="9"/>
      <c r="M98" s="9"/>
    </row>
    <row r="99" spans="1:13" ht="14.1" customHeight="1">
      <c r="A99" s="4" t="e">
        <f>'SCHEDULE OF VALUE WORKSHEET'!#REF!</f>
        <v>#REF!</v>
      </c>
      <c r="B99" s="142" t="e">
        <f>'SCHEDULE OF VALUE WORKSHEET'!#REF!</f>
        <v>#REF!</v>
      </c>
      <c r="C99" s="143"/>
      <c r="D99" s="104" t="e">
        <f>SUM('SCHEDULE OF VALUE WORKSHEET'!#REF!)</f>
        <v>#REF!</v>
      </c>
      <c r="E99" s="104">
        <f>SUM('Draw #10'!E99:F99)</f>
        <v>0</v>
      </c>
      <c r="F99" s="105">
        <v>0</v>
      </c>
      <c r="G99" s="104" t="e">
        <f>SUM('Draw #10'!G99)+F99</f>
        <v>#REF!</v>
      </c>
      <c r="H99" s="109" t="e">
        <f t="shared" si="2"/>
        <v>#REF!</v>
      </c>
      <c r="I99" s="110">
        <v>0</v>
      </c>
      <c r="J99" s="109">
        <f>SUM(I99+'Draw #10'!J99)</f>
        <v>0</v>
      </c>
      <c r="K99" s="101" t="str">
        <f t="shared" si="3"/>
        <v/>
      </c>
      <c r="L99" s="9"/>
      <c r="M99" s="9"/>
    </row>
    <row r="100" spans="1:13" ht="14.1" customHeight="1">
      <c r="A100" s="4" t="e">
        <f>'SCHEDULE OF VALUE WORKSHEET'!#REF!</f>
        <v>#REF!</v>
      </c>
      <c r="B100" s="142" t="e">
        <f>'SCHEDULE OF VALUE WORKSHEET'!#REF!</f>
        <v>#REF!</v>
      </c>
      <c r="C100" s="143"/>
      <c r="D100" s="104" t="e">
        <f>SUM('SCHEDULE OF VALUE WORKSHEET'!#REF!)</f>
        <v>#REF!</v>
      </c>
      <c r="E100" s="104">
        <f>SUM('Draw #10'!E100:F100)</f>
        <v>0</v>
      </c>
      <c r="F100" s="105">
        <v>0</v>
      </c>
      <c r="G100" s="104" t="e">
        <f>SUM('Draw #10'!G100)+F100</f>
        <v>#REF!</v>
      </c>
      <c r="H100" s="109" t="e">
        <f t="shared" si="2"/>
        <v>#REF!</v>
      </c>
      <c r="I100" s="110">
        <v>0</v>
      </c>
      <c r="J100" s="109">
        <f>SUM(I100+'Draw #10'!J100)</f>
        <v>0</v>
      </c>
      <c r="K100" s="101" t="str">
        <f t="shared" si="3"/>
        <v/>
      </c>
      <c r="L100" s="9"/>
      <c r="M100" s="9"/>
    </row>
    <row r="101" spans="1:13" ht="14.1" customHeight="1">
      <c r="A101" s="4" t="e">
        <f>'SCHEDULE OF VALUE WORKSHEET'!#REF!</f>
        <v>#REF!</v>
      </c>
      <c r="B101" s="142" t="e">
        <f>'SCHEDULE OF VALUE WORKSHEET'!#REF!</f>
        <v>#REF!</v>
      </c>
      <c r="C101" s="143"/>
      <c r="D101" s="104" t="e">
        <f>SUM('SCHEDULE OF VALUE WORKSHEET'!#REF!)</f>
        <v>#REF!</v>
      </c>
      <c r="E101" s="104">
        <f>SUM('Draw #10'!E101:F101)</f>
        <v>0</v>
      </c>
      <c r="F101" s="105">
        <v>0</v>
      </c>
      <c r="G101" s="104" t="e">
        <f>SUM('Draw #10'!G101)+F101</f>
        <v>#REF!</v>
      </c>
      <c r="H101" s="109" t="e">
        <f t="shared" si="2"/>
        <v>#REF!</v>
      </c>
      <c r="I101" s="110">
        <v>0</v>
      </c>
      <c r="J101" s="109">
        <f>SUM(I101+'Draw #10'!J101)</f>
        <v>0</v>
      </c>
      <c r="K101" s="101" t="str">
        <f t="shared" si="3"/>
        <v/>
      </c>
      <c r="L101" s="9"/>
      <c r="M101" s="9"/>
    </row>
    <row r="102" spans="1:13" ht="14.1" customHeight="1">
      <c r="A102" s="4" t="e">
        <f>'SCHEDULE OF VALUE WORKSHEET'!#REF!</f>
        <v>#REF!</v>
      </c>
      <c r="B102" s="142" t="e">
        <f>'SCHEDULE OF VALUE WORKSHEET'!#REF!</f>
        <v>#REF!</v>
      </c>
      <c r="C102" s="143"/>
      <c r="D102" s="104" t="e">
        <f>SUM('SCHEDULE OF VALUE WORKSHEET'!#REF!)</f>
        <v>#REF!</v>
      </c>
      <c r="E102" s="104">
        <f>SUM('Draw #10'!E102:F102)</f>
        <v>0</v>
      </c>
      <c r="F102" s="105">
        <v>0</v>
      </c>
      <c r="G102" s="104" t="e">
        <f>SUM('Draw #10'!G102)+F102</f>
        <v>#REF!</v>
      </c>
      <c r="H102" s="109" t="e">
        <f t="shared" si="2"/>
        <v>#REF!</v>
      </c>
      <c r="I102" s="110">
        <v>0</v>
      </c>
      <c r="J102" s="109">
        <f>SUM(I102+'Draw #10'!J102)</f>
        <v>0</v>
      </c>
      <c r="K102" s="101" t="str">
        <f t="shared" si="3"/>
        <v/>
      </c>
      <c r="L102" s="9"/>
      <c r="M102" s="9"/>
    </row>
    <row r="103" spans="1:13" ht="14.1" customHeight="1">
      <c r="A103" s="4" t="e">
        <f>'SCHEDULE OF VALUE WORKSHEET'!#REF!</f>
        <v>#REF!</v>
      </c>
      <c r="B103" s="142" t="e">
        <f>'SCHEDULE OF VALUE WORKSHEET'!#REF!</f>
        <v>#REF!</v>
      </c>
      <c r="C103" s="143"/>
      <c r="D103" s="104" t="e">
        <f>SUM('SCHEDULE OF VALUE WORKSHEET'!#REF!)</f>
        <v>#REF!</v>
      </c>
      <c r="E103" s="104">
        <f>SUM('Draw #10'!E103:F103)</f>
        <v>0</v>
      </c>
      <c r="F103" s="105">
        <v>0</v>
      </c>
      <c r="G103" s="104" t="e">
        <f>SUM('Draw #10'!G103)+F103</f>
        <v>#REF!</v>
      </c>
      <c r="H103" s="109" t="e">
        <f t="shared" si="2"/>
        <v>#REF!</v>
      </c>
      <c r="I103" s="110">
        <v>0</v>
      </c>
      <c r="J103" s="109">
        <f>SUM(I103+'Draw #10'!J103)</f>
        <v>0</v>
      </c>
      <c r="K103" s="101" t="str">
        <f t="shared" si="3"/>
        <v/>
      </c>
      <c r="L103" s="9"/>
      <c r="M103" s="9"/>
    </row>
    <row r="104" spans="1:13" ht="14.1" customHeight="1">
      <c r="A104" s="4" t="e">
        <f>'SCHEDULE OF VALUE WORKSHEET'!#REF!</f>
        <v>#REF!</v>
      </c>
      <c r="B104" s="142" t="e">
        <f>'SCHEDULE OF VALUE WORKSHEET'!#REF!</f>
        <v>#REF!</v>
      </c>
      <c r="C104" s="143"/>
      <c r="D104" s="104" t="e">
        <f>SUM('SCHEDULE OF VALUE WORKSHEET'!#REF!)</f>
        <v>#REF!</v>
      </c>
      <c r="E104" s="104">
        <f>SUM('Draw #10'!E104:F104)</f>
        <v>0</v>
      </c>
      <c r="F104" s="105">
        <v>0</v>
      </c>
      <c r="G104" s="104" t="e">
        <f>SUM('Draw #10'!G104)+F104</f>
        <v>#REF!</v>
      </c>
      <c r="H104" s="109" t="e">
        <f t="shared" si="2"/>
        <v>#REF!</v>
      </c>
      <c r="I104" s="110">
        <v>0</v>
      </c>
      <c r="J104" s="109">
        <f>SUM(I104+'Draw #10'!J104)</f>
        <v>0</v>
      </c>
      <c r="K104" s="101" t="str">
        <f t="shared" si="3"/>
        <v/>
      </c>
      <c r="L104" s="9"/>
      <c r="M104" s="9"/>
    </row>
    <row r="105" spans="1:13" ht="14.1" customHeight="1">
      <c r="A105" s="4" t="e">
        <f>'SCHEDULE OF VALUE WORKSHEET'!#REF!</f>
        <v>#REF!</v>
      </c>
      <c r="B105" s="142" t="e">
        <f>'SCHEDULE OF VALUE WORKSHEET'!#REF!</f>
        <v>#REF!</v>
      </c>
      <c r="C105" s="143"/>
      <c r="D105" s="104" t="e">
        <f>SUM('SCHEDULE OF VALUE WORKSHEET'!#REF!)</f>
        <v>#REF!</v>
      </c>
      <c r="E105" s="104">
        <f>SUM('Draw #10'!E105:F105)</f>
        <v>0</v>
      </c>
      <c r="F105" s="105">
        <v>0</v>
      </c>
      <c r="G105" s="104" t="e">
        <f>SUM('Draw #10'!G105)+F105</f>
        <v>#REF!</v>
      </c>
      <c r="H105" s="109" t="e">
        <f t="shared" si="2"/>
        <v>#REF!</v>
      </c>
      <c r="I105" s="110">
        <v>0</v>
      </c>
      <c r="J105" s="109">
        <f>SUM(I105+'Draw #10'!J105)</f>
        <v>0</v>
      </c>
      <c r="K105" s="101" t="str">
        <f t="shared" si="3"/>
        <v/>
      </c>
      <c r="L105" s="9"/>
      <c r="M105" s="9"/>
    </row>
    <row r="106" spans="1:13" ht="14.1" customHeight="1">
      <c r="A106" s="4" t="e">
        <f>'SCHEDULE OF VALUE WORKSHEET'!#REF!</f>
        <v>#REF!</v>
      </c>
      <c r="B106" s="142" t="e">
        <f>'SCHEDULE OF VALUE WORKSHEET'!#REF!</f>
        <v>#REF!</v>
      </c>
      <c r="C106" s="143"/>
      <c r="D106" s="104" t="e">
        <f>SUM('SCHEDULE OF VALUE WORKSHEET'!#REF!)</f>
        <v>#REF!</v>
      </c>
      <c r="E106" s="104">
        <f>SUM('Draw #10'!E106:F106)</f>
        <v>0</v>
      </c>
      <c r="F106" s="105">
        <v>0</v>
      </c>
      <c r="G106" s="104" t="e">
        <f>SUM('Draw #10'!G106)+F106</f>
        <v>#REF!</v>
      </c>
      <c r="H106" s="109" t="e">
        <f t="shared" si="2"/>
        <v>#REF!</v>
      </c>
      <c r="I106" s="110">
        <v>0</v>
      </c>
      <c r="J106" s="109">
        <f>SUM(I106+'Draw #10'!J106)</f>
        <v>0</v>
      </c>
      <c r="K106" s="101" t="str">
        <f t="shared" si="3"/>
        <v/>
      </c>
      <c r="L106" s="9"/>
      <c r="M106" s="9"/>
    </row>
    <row r="107" spans="1:13" ht="14.1" customHeight="1">
      <c r="A107" s="4" t="e">
        <f>'SCHEDULE OF VALUE WORKSHEET'!#REF!</f>
        <v>#REF!</v>
      </c>
      <c r="B107" s="142" t="e">
        <f>'SCHEDULE OF VALUE WORKSHEET'!#REF!</f>
        <v>#REF!</v>
      </c>
      <c r="C107" s="143"/>
      <c r="D107" s="104" t="e">
        <f>SUM('SCHEDULE OF VALUE WORKSHEET'!#REF!)</f>
        <v>#REF!</v>
      </c>
      <c r="E107" s="104">
        <f>SUM('Draw #10'!E107:F107)</f>
        <v>0</v>
      </c>
      <c r="F107" s="105">
        <v>0</v>
      </c>
      <c r="G107" s="104" t="e">
        <f>SUM('Draw #10'!G107)+F107</f>
        <v>#REF!</v>
      </c>
      <c r="H107" s="109" t="e">
        <f t="shared" si="2"/>
        <v>#REF!</v>
      </c>
      <c r="I107" s="110">
        <v>0</v>
      </c>
      <c r="J107" s="109">
        <f>SUM(I107+'Draw #10'!J107)</f>
        <v>0</v>
      </c>
      <c r="K107" s="101" t="str">
        <f t="shared" si="3"/>
        <v/>
      </c>
      <c r="L107" s="9"/>
      <c r="M107" s="9"/>
    </row>
    <row r="108" spans="1:13" ht="14.1" customHeight="1">
      <c r="A108" s="4" t="e">
        <f>'SCHEDULE OF VALUE WORKSHEET'!#REF!</f>
        <v>#REF!</v>
      </c>
      <c r="B108" s="142" t="e">
        <f>'SCHEDULE OF VALUE WORKSHEET'!#REF!</f>
        <v>#REF!</v>
      </c>
      <c r="C108" s="143"/>
      <c r="D108" s="104" t="e">
        <f>SUM('SCHEDULE OF VALUE WORKSHEET'!#REF!)</f>
        <v>#REF!</v>
      </c>
      <c r="E108" s="104">
        <f>SUM('Draw #10'!E108:F108)</f>
        <v>0</v>
      </c>
      <c r="F108" s="105">
        <v>0</v>
      </c>
      <c r="G108" s="104" t="e">
        <f>SUM('Draw #10'!G108)+F108</f>
        <v>#REF!</v>
      </c>
      <c r="H108" s="109" t="e">
        <f t="shared" si="2"/>
        <v>#REF!</v>
      </c>
      <c r="I108" s="110">
        <v>0</v>
      </c>
      <c r="J108" s="109">
        <f>SUM(I108+'Draw #10'!J108)</f>
        <v>0</v>
      </c>
      <c r="K108" s="101" t="str">
        <f t="shared" si="3"/>
        <v/>
      </c>
      <c r="L108" s="9"/>
      <c r="M108" s="9"/>
    </row>
    <row r="109" spans="1:13" ht="14.1" customHeight="1">
      <c r="A109" s="4" t="e">
        <f>'SCHEDULE OF VALUE WORKSHEET'!#REF!</f>
        <v>#REF!</v>
      </c>
      <c r="B109" s="142" t="e">
        <f>'SCHEDULE OF VALUE WORKSHEET'!#REF!</f>
        <v>#REF!</v>
      </c>
      <c r="C109" s="143"/>
      <c r="D109" s="104" t="e">
        <f>SUM('SCHEDULE OF VALUE WORKSHEET'!#REF!)</f>
        <v>#REF!</v>
      </c>
      <c r="E109" s="104">
        <f>SUM('Draw #10'!E109:F109)</f>
        <v>0</v>
      </c>
      <c r="F109" s="105">
        <v>0</v>
      </c>
      <c r="G109" s="104" t="e">
        <f>SUM('Draw #10'!G109)+F109</f>
        <v>#REF!</v>
      </c>
      <c r="H109" s="109" t="e">
        <f t="shared" si="2"/>
        <v>#REF!</v>
      </c>
      <c r="I109" s="110">
        <v>0</v>
      </c>
      <c r="J109" s="109">
        <f>SUM(I109+'Draw #10'!J109)</f>
        <v>0</v>
      </c>
      <c r="K109" s="101" t="str">
        <f t="shared" si="3"/>
        <v/>
      </c>
      <c r="L109" s="9"/>
      <c r="M109" s="9"/>
    </row>
    <row r="110" spans="1:13" ht="14.1" customHeight="1">
      <c r="A110" s="4" t="e">
        <f>'SCHEDULE OF VALUE WORKSHEET'!#REF!</f>
        <v>#REF!</v>
      </c>
      <c r="B110" s="142" t="e">
        <f>'SCHEDULE OF VALUE WORKSHEET'!#REF!</f>
        <v>#REF!</v>
      </c>
      <c r="C110" s="143"/>
      <c r="D110" s="104" t="e">
        <f>SUM('SCHEDULE OF VALUE WORKSHEET'!#REF!)</f>
        <v>#REF!</v>
      </c>
      <c r="E110" s="104">
        <f>SUM('Draw #10'!E110:F110)</f>
        <v>0</v>
      </c>
      <c r="F110" s="105">
        <v>0</v>
      </c>
      <c r="G110" s="104" t="e">
        <f>SUM('Draw #10'!G110)+F110</f>
        <v>#REF!</v>
      </c>
      <c r="H110" s="109" t="e">
        <f t="shared" si="2"/>
        <v>#REF!</v>
      </c>
      <c r="I110" s="110">
        <v>0</v>
      </c>
      <c r="J110" s="109">
        <f>SUM(I110+'Draw #10'!J110)</f>
        <v>0</v>
      </c>
      <c r="K110" s="101" t="str">
        <f t="shared" si="3"/>
        <v/>
      </c>
      <c r="L110" s="9"/>
      <c r="M110" s="9"/>
    </row>
    <row r="111" spans="1:13" ht="14.1" customHeight="1">
      <c r="A111" s="4" t="e">
        <f>'SCHEDULE OF VALUE WORKSHEET'!#REF!</f>
        <v>#REF!</v>
      </c>
      <c r="B111" s="142" t="e">
        <f>'SCHEDULE OF VALUE WORKSHEET'!#REF!</f>
        <v>#REF!</v>
      </c>
      <c r="C111" s="143"/>
      <c r="D111" s="104" t="e">
        <f>SUM('SCHEDULE OF VALUE WORKSHEET'!#REF!)</f>
        <v>#REF!</v>
      </c>
      <c r="E111" s="104">
        <f>SUM('Draw #10'!E111:F111)</f>
        <v>0</v>
      </c>
      <c r="F111" s="105">
        <v>0</v>
      </c>
      <c r="G111" s="104" t="e">
        <f>SUM('Draw #10'!G111)+F111</f>
        <v>#REF!</v>
      </c>
      <c r="H111" s="109" t="e">
        <f t="shared" si="2"/>
        <v>#REF!</v>
      </c>
      <c r="I111" s="110">
        <v>0</v>
      </c>
      <c r="J111" s="109">
        <f>SUM(I111+'Draw #10'!J111)</f>
        <v>0</v>
      </c>
      <c r="K111" s="101" t="str">
        <f t="shared" si="3"/>
        <v/>
      </c>
      <c r="L111" s="9"/>
      <c r="M111" s="9"/>
    </row>
    <row r="112" spans="1:13" ht="14.1" customHeight="1">
      <c r="A112" s="4" t="e">
        <f>'SCHEDULE OF VALUE WORKSHEET'!#REF!</f>
        <v>#REF!</v>
      </c>
      <c r="B112" s="142" t="e">
        <f>'SCHEDULE OF VALUE WORKSHEET'!#REF!</f>
        <v>#REF!</v>
      </c>
      <c r="C112" s="143"/>
      <c r="D112" s="104" t="e">
        <f>SUM('SCHEDULE OF VALUE WORKSHEET'!#REF!)</f>
        <v>#REF!</v>
      </c>
      <c r="E112" s="104">
        <f>SUM('Draw #10'!E112:F112)</f>
        <v>0</v>
      </c>
      <c r="F112" s="105">
        <v>0</v>
      </c>
      <c r="G112" s="104" t="e">
        <f>SUM('Draw #10'!G112)+F112</f>
        <v>#REF!</v>
      </c>
      <c r="H112" s="109" t="e">
        <f t="shared" si="2"/>
        <v>#REF!</v>
      </c>
      <c r="I112" s="110">
        <v>0</v>
      </c>
      <c r="J112" s="109">
        <f>SUM(I112+'Draw #10'!J112)</f>
        <v>0</v>
      </c>
      <c r="K112" s="101" t="str">
        <f t="shared" si="3"/>
        <v/>
      </c>
      <c r="L112" s="9"/>
      <c r="M112" s="9"/>
    </row>
    <row r="113" spans="1:13" ht="14.1" customHeight="1">
      <c r="A113" s="4" t="e">
        <f>'SCHEDULE OF VALUE WORKSHEET'!#REF!</f>
        <v>#REF!</v>
      </c>
      <c r="B113" s="142" t="e">
        <f>'SCHEDULE OF VALUE WORKSHEET'!#REF!</f>
        <v>#REF!</v>
      </c>
      <c r="C113" s="143"/>
      <c r="D113" s="104" t="e">
        <f>SUM('SCHEDULE OF VALUE WORKSHEET'!#REF!)</f>
        <v>#REF!</v>
      </c>
      <c r="E113" s="104">
        <f>SUM('Draw #10'!E113:F113)</f>
        <v>0</v>
      </c>
      <c r="F113" s="105">
        <v>0</v>
      </c>
      <c r="G113" s="104" t="e">
        <f>SUM('Draw #10'!G113)+F113</f>
        <v>#REF!</v>
      </c>
      <c r="H113" s="109" t="e">
        <f t="shared" si="2"/>
        <v>#REF!</v>
      </c>
      <c r="I113" s="110">
        <v>0</v>
      </c>
      <c r="J113" s="109">
        <f>SUM(I113+'Draw #10'!J113)</f>
        <v>0</v>
      </c>
      <c r="K113" s="101" t="str">
        <f t="shared" si="3"/>
        <v/>
      </c>
      <c r="L113" s="9"/>
      <c r="M113" s="9"/>
    </row>
    <row r="114" spans="1:13" ht="14.1" customHeight="1">
      <c r="A114" s="4" t="e">
        <f>'SCHEDULE OF VALUE WORKSHEET'!#REF!</f>
        <v>#REF!</v>
      </c>
      <c r="B114" s="142" t="e">
        <f>'SCHEDULE OF VALUE WORKSHEET'!#REF!</f>
        <v>#REF!</v>
      </c>
      <c r="C114" s="143"/>
      <c r="D114" s="104" t="e">
        <f>SUM('SCHEDULE OF VALUE WORKSHEET'!#REF!)</f>
        <v>#REF!</v>
      </c>
      <c r="E114" s="104">
        <f>SUM('Draw #10'!E114:F114)</f>
        <v>0</v>
      </c>
      <c r="F114" s="105">
        <v>0</v>
      </c>
      <c r="G114" s="104" t="e">
        <f>SUM('Draw #10'!G114)+F114</f>
        <v>#REF!</v>
      </c>
      <c r="H114" s="109" t="e">
        <f t="shared" si="2"/>
        <v>#REF!</v>
      </c>
      <c r="I114" s="110">
        <v>0</v>
      </c>
      <c r="J114" s="109">
        <f>SUM(I114+'Draw #10'!J114)</f>
        <v>0</v>
      </c>
      <c r="K114" s="101" t="str">
        <f t="shared" si="3"/>
        <v/>
      </c>
      <c r="L114" s="9"/>
      <c r="M114" s="9"/>
    </row>
    <row r="115" spans="1:13" ht="14.1" customHeight="1">
      <c r="A115" s="4" t="e">
        <f>'SCHEDULE OF VALUE WORKSHEET'!#REF!</f>
        <v>#REF!</v>
      </c>
      <c r="B115" s="142" t="e">
        <f>'SCHEDULE OF VALUE WORKSHEET'!#REF!</f>
        <v>#REF!</v>
      </c>
      <c r="C115" s="143"/>
      <c r="D115" s="104" t="e">
        <f>SUM('SCHEDULE OF VALUE WORKSHEET'!#REF!)</f>
        <v>#REF!</v>
      </c>
      <c r="E115" s="104">
        <f>SUM('Draw #10'!E115:F115)</f>
        <v>0</v>
      </c>
      <c r="F115" s="105">
        <v>0</v>
      </c>
      <c r="G115" s="104" t="e">
        <f>SUM('Draw #10'!G115)+F115</f>
        <v>#REF!</v>
      </c>
      <c r="H115" s="109" t="e">
        <f t="shared" si="2"/>
        <v>#REF!</v>
      </c>
      <c r="I115" s="110">
        <v>0</v>
      </c>
      <c r="J115" s="109">
        <f>SUM(I115+'Draw #10'!J115)</f>
        <v>0</v>
      </c>
      <c r="K115" s="101" t="str">
        <f t="shared" si="3"/>
        <v/>
      </c>
      <c r="L115" s="9"/>
      <c r="M115" s="9"/>
    </row>
    <row r="116" spans="1:13" ht="14.1" customHeight="1">
      <c r="A116" s="4" t="e">
        <f>'SCHEDULE OF VALUE WORKSHEET'!#REF!</f>
        <v>#REF!</v>
      </c>
      <c r="B116" s="142" t="e">
        <f>'SCHEDULE OF VALUE WORKSHEET'!#REF!</f>
        <v>#REF!</v>
      </c>
      <c r="C116" s="143"/>
      <c r="D116" s="104" t="e">
        <f>SUM('SCHEDULE OF VALUE WORKSHEET'!#REF!)</f>
        <v>#REF!</v>
      </c>
      <c r="E116" s="104">
        <f>SUM('Draw #10'!E116:F116)</f>
        <v>0</v>
      </c>
      <c r="F116" s="105">
        <v>0</v>
      </c>
      <c r="G116" s="104" t="e">
        <f>SUM('Draw #10'!G116)+F116</f>
        <v>#REF!</v>
      </c>
      <c r="H116" s="109" t="e">
        <f t="shared" si="2"/>
        <v>#REF!</v>
      </c>
      <c r="I116" s="110">
        <v>0</v>
      </c>
      <c r="J116" s="109">
        <f>SUM(I116+'Draw #10'!J116)</f>
        <v>0</v>
      </c>
      <c r="K116" s="101" t="str">
        <f t="shared" si="3"/>
        <v/>
      </c>
      <c r="L116" s="9"/>
      <c r="M116" s="9"/>
    </row>
    <row r="117" spans="1:13" ht="14.1" customHeight="1">
      <c r="A117" s="4">
        <f>'SCHEDULE OF VALUE WORKSHEET'!A87</f>
        <v>82</v>
      </c>
      <c r="B117" s="142" t="str">
        <f>'SCHEDULE OF VALUE WORKSHEET'!B87</f>
        <v xml:space="preserve">Open Item </v>
      </c>
      <c r="C117" s="143"/>
      <c r="D117" s="104">
        <f>SUM('SCHEDULE OF VALUE WORKSHEET'!E87)</f>
        <v>0</v>
      </c>
      <c r="E117" s="104">
        <f>SUM('Draw #10'!E117:F117)</f>
        <v>0</v>
      </c>
      <c r="F117" s="105">
        <v>0</v>
      </c>
      <c r="G117" s="104">
        <f>SUM('Draw #10'!G117)+F117</f>
        <v>0</v>
      </c>
      <c r="H117" s="109">
        <f t="shared" si="2"/>
        <v>0</v>
      </c>
      <c r="I117" s="110">
        <v>0</v>
      </c>
      <c r="J117" s="109">
        <f>SUM(I117+'Draw #10'!J117)</f>
        <v>0</v>
      </c>
      <c r="K117" s="101" t="str">
        <f t="shared" si="3"/>
        <v/>
      </c>
      <c r="L117" s="9"/>
      <c r="M117" s="9"/>
    </row>
    <row r="118" spans="1:13" ht="14.1" customHeight="1">
      <c r="A118" s="4">
        <f>'SCHEDULE OF VALUE WORKSHEET'!A88</f>
        <v>83</v>
      </c>
      <c r="B118" s="142" t="str">
        <f>'SCHEDULE OF VALUE WORKSHEET'!B88</f>
        <v xml:space="preserve">Open Item </v>
      </c>
      <c r="C118" s="143"/>
      <c r="D118" s="104">
        <f>SUM('SCHEDULE OF VALUE WORKSHEET'!E88)</f>
        <v>0</v>
      </c>
      <c r="E118" s="104">
        <f>SUM('Draw #10'!E118:F118)</f>
        <v>0</v>
      </c>
      <c r="F118" s="105">
        <v>0</v>
      </c>
      <c r="G118" s="104">
        <f>SUM('Draw #10'!G118)+F118</f>
        <v>0</v>
      </c>
      <c r="H118" s="109">
        <f t="shared" si="2"/>
        <v>0</v>
      </c>
      <c r="I118" s="110">
        <v>0</v>
      </c>
      <c r="J118" s="109">
        <f>SUM(I118+'Draw #10'!J118)</f>
        <v>0</v>
      </c>
      <c r="K118" s="101" t="str">
        <f t="shared" si="3"/>
        <v/>
      </c>
      <c r="L118" s="9"/>
      <c r="M118" s="9"/>
    </row>
    <row r="119" spans="1:13" ht="14.1" customHeight="1">
      <c r="A119" s="4">
        <f>'SCHEDULE OF VALUE WORKSHEET'!A89</f>
        <v>84</v>
      </c>
      <c r="B119" s="142" t="str">
        <f>'SCHEDULE OF VALUE WORKSHEET'!B89</f>
        <v xml:space="preserve">Open Item </v>
      </c>
      <c r="C119" s="143"/>
      <c r="D119" s="104">
        <f>SUM('SCHEDULE OF VALUE WORKSHEET'!E89)</f>
        <v>0</v>
      </c>
      <c r="E119" s="104">
        <f>SUM('Draw #10'!E119:F119)</f>
        <v>0</v>
      </c>
      <c r="F119" s="105">
        <v>0</v>
      </c>
      <c r="G119" s="104">
        <f>SUM('Draw #10'!G119)+F119</f>
        <v>0</v>
      </c>
      <c r="H119" s="109">
        <f t="shared" si="2"/>
        <v>0</v>
      </c>
      <c r="I119" s="110">
        <v>0</v>
      </c>
      <c r="J119" s="109">
        <f>SUM(I119+'Draw #10'!J119)</f>
        <v>0</v>
      </c>
      <c r="K119" s="101" t="str">
        <f t="shared" si="3"/>
        <v/>
      </c>
      <c r="L119" s="9"/>
      <c r="M119" s="9"/>
    </row>
    <row r="120" spans="1:13" ht="14.1" customHeight="1">
      <c r="A120" s="4">
        <f>'SCHEDULE OF VALUE WORKSHEET'!A90</f>
        <v>85</v>
      </c>
      <c r="B120" s="142" t="str">
        <f>'SCHEDULE OF VALUE WORKSHEET'!B90</f>
        <v xml:space="preserve">Open Item </v>
      </c>
      <c r="C120" s="143"/>
      <c r="D120" s="104">
        <f>SUM('SCHEDULE OF VALUE WORKSHEET'!E90)</f>
        <v>0</v>
      </c>
      <c r="E120" s="104">
        <f>SUM('Draw #10'!E120:F120)</f>
        <v>0</v>
      </c>
      <c r="F120" s="105">
        <v>0</v>
      </c>
      <c r="G120" s="104">
        <f>SUM('Draw #10'!G120)+F120</f>
        <v>0</v>
      </c>
      <c r="H120" s="109">
        <f t="shared" si="2"/>
        <v>0</v>
      </c>
      <c r="I120" s="110">
        <v>0</v>
      </c>
      <c r="J120" s="109">
        <f>SUM(I120+'Draw #10'!J120)</f>
        <v>0</v>
      </c>
      <c r="K120" s="101" t="str">
        <f t="shared" si="3"/>
        <v/>
      </c>
      <c r="L120" s="9"/>
      <c r="M120" s="9"/>
    </row>
    <row r="121" spans="1:13" ht="14.1" customHeight="1">
      <c r="A121" s="4">
        <f>'SCHEDULE OF VALUE WORKSHEET'!A91</f>
        <v>86</v>
      </c>
      <c r="B121" s="142" t="str">
        <f>'SCHEDULE OF VALUE WORKSHEET'!B91</f>
        <v xml:space="preserve">Open Item </v>
      </c>
      <c r="C121" s="143"/>
      <c r="D121" s="104">
        <f>SUM('SCHEDULE OF VALUE WORKSHEET'!E91)</f>
        <v>0</v>
      </c>
      <c r="E121" s="104">
        <f>SUM('Draw #10'!E121:F121)</f>
        <v>0</v>
      </c>
      <c r="F121" s="105">
        <v>0</v>
      </c>
      <c r="G121" s="104">
        <f>SUM('Draw #10'!G121)+F121</f>
        <v>0</v>
      </c>
      <c r="H121" s="109">
        <f t="shared" si="2"/>
        <v>0</v>
      </c>
      <c r="I121" s="110">
        <v>0</v>
      </c>
      <c r="J121" s="109">
        <f>SUM(I121+'Draw #10'!J121)</f>
        <v>0</v>
      </c>
      <c r="K121" s="101" t="str">
        <f t="shared" si="3"/>
        <v/>
      </c>
      <c r="L121" s="9"/>
      <c r="M121" s="9"/>
    </row>
    <row r="122" spans="1:13" ht="14.1" customHeight="1">
      <c r="A122" s="4">
        <f>'SCHEDULE OF VALUE WORKSHEET'!A92</f>
        <v>87</v>
      </c>
      <c r="B122" s="142" t="str">
        <f>'SCHEDULE OF VALUE WORKSHEET'!B92</f>
        <v xml:space="preserve">Open Item </v>
      </c>
      <c r="C122" s="143"/>
      <c r="D122" s="104">
        <f>SUM('SCHEDULE OF VALUE WORKSHEET'!E92)</f>
        <v>0</v>
      </c>
      <c r="E122" s="104">
        <f>SUM('Draw #10'!E122:F122)</f>
        <v>0</v>
      </c>
      <c r="F122" s="105">
        <v>0</v>
      </c>
      <c r="G122" s="104">
        <f>SUM('Draw #10'!G122)+F122</f>
        <v>0</v>
      </c>
      <c r="H122" s="109">
        <f t="shared" si="2"/>
        <v>0</v>
      </c>
      <c r="I122" s="110">
        <v>0</v>
      </c>
      <c r="J122" s="109">
        <f>SUM(I122+'Draw #10'!J122)</f>
        <v>0</v>
      </c>
      <c r="K122" s="101" t="str">
        <f t="shared" si="3"/>
        <v/>
      </c>
      <c r="L122" s="9"/>
      <c r="M122" s="9"/>
    </row>
    <row r="123" spans="1:13" ht="14.1" customHeight="1">
      <c r="A123" s="4">
        <f>'SCHEDULE OF VALUE WORKSHEET'!A93</f>
        <v>88</v>
      </c>
      <c r="B123" s="142" t="str">
        <f>'SCHEDULE OF VALUE WORKSHEET'!B93</f>
        <v xml:space="preserve">Open Item </v>
      </c>
      <c r="C123" s="143"/>
      <c r="D123" s="104">
        <f>SUM('SCHEDULE OF VALUE WORKSHEET'!E93)</f>
        <v>0</v>
      </c>
      <c r="E123" s="104">
        <f>SUM('Draw #10'!E123:F123)</f>
        <v>0</v>
      </c>
      <c r="F123" s="105">
        <v>0</v>
      </c>
      <c r="G123" s="104">
        <f>SUM('Draw #10'!G123)+F123</f>
        <v>0</v>
      </c>
      <c r="H123" s="109">
        <f t="shared" si="2"/>
        <v>0</v>
      </c>
      <c r="I123" s="110">
        <v>0</v>
      </c>
      <c r="J123" s="109">
        <f>SUM(I123+'Draw #10'!J123)</f>
        <v>0</v>
      </c>
      <c r="K123" s="101" t="str">
        <f t="shared" si="3"/>
        <v/>
      </c>
      <c r="L123" s="9"/>
      <c r="M123" s="9"/>
    </row>
    <row r="124" spans="1:13" ht="14.1" customHeight="1">
      <c r="A124" s="4">
        <f>'SCHEDULE OF VALUE WORKSHEET'!A94</f>
        <v>89</v>
      </c>
      <c r="B124" s="142" t="str">
        <f>'SCHEDULE OF VALUE WORKSHEET'!B94</f>
        <v xml:space="preserve">Open Item </v>
      </c>
      <c r="C124" s="143"/>
      <c r="D124" s="104">
        <f>SUM('SCHEDULE OF VALUE WORKSHEET'!E94)</f>
        <v>0</v>
      </c>
      <c r="E124" s="104">
        <f>SUM('Draw #10'!E124:F124)</f>
        <v>0</v>
      </c>
      <c r="F124" s="105">
        <v>0</v>
      </c>
      <c r="G124" s="104">
        <f>SUM('Draw #10'!G124)+F124</f>
        <v>0</v>
      </c>
      <c r="H124" s="109">
        <f t="shared" si="2"/>
        <v>0</v>
      </c>
      <c r="I124" s="110">
        <v>0</v>
      </c>
      <c r="J124" s="109">
        <f>SUM(I124+'Draw #10'!J124)</f>
        <v>0</v>
      </c>
      <c r="K124" s="101" t="str">
        <f t="shared" si="3"/>
        <v/>
      </c>
      <c r="L124" s="9"/>
      <c r="M124" s="9"/>
    </row>
    <row r="125" spans="1:13" ht="14.1" customHeight="1">
      <c r="A125" s="4">
        <f>'SCHEDULE OF VALUE WORKSHEET'!A95</f>
        <v>90</v>
      </c>
      <c r="B125" s="142" t="str">
        <f>'SCHEDULE OF VALUE WORKSHEET'!B95</f>
        <v xml:space="preserve">Open Item </v>
      </c>
      <c r="C125" s="143"/>
      <c r="D125" s="104">
        <f>SUM('SCHEDULE OF VALUE WORKSHEET'!E95)</f>
        <v>0</v>
      </c>
      <c r="E125" s="104">
        <f>SUM('Draw #10'!E125:F125)</f>
        <v>0</v>
      </c>
      <c r="F125" s="105">
        <v>0</v>
      </c>
      <c r="G125" s="104">
        <f>SUM('Draw #10'!G125)+F125</f>
        <v>0</v>
      </c>
      <c r="H125" s="109">
        <f t="shared" si="2"/>
        <v>0</v>
      </c>
      <c r="I125" s="110">
        <v>0</v>
      </c>
      <c r="J125" s="109">
        <f>SUM(I125+'Draw #10'!J125)</f>
        <v>0</v>
      </c>
      <c r="K125" s="101" t="str">
        <f t="shared" si="3"/>
        <v/>
      </c>
      <c r="L125" s="9"/>
      <c r="M125" s="9"/>
    </row>
    <row r="126" spans="1:13" ht="14.1" customHeight="1">
      <c r="A126" s="4">
        <f>'SCHEDULE OF VALUE WORKSHEET'!A96</f>
        <v>91</v>
      </c>
      <c r="B126" s="142" t="str">
        <f>'SCHEDULE OF VALUE WORKSHEET'!B96</f>
        <v xml:space="preserve">Open Item </v>
      </c>
      <c r="C126" s="143"/>
      <c r="D126" s="104">
        <f>SUM('SCHEDULE OF VALUE WORKSHEET'!E96)</f>
        <v>0</v>
      </c>
      <c r="E126" s="104">
        <f>SUM('Draw #10'!E126:F126)</f>
        <v>0</v>
      </c>
      <c r="F126" s="105">
        <v>0</v>
      </c>
      <c r="G126" s="104">
        <f>SUM('Draw #10'!G126)+F126</f>
        <v>0</v>
      </c>
      <c r="H126" s="109">
        <f t="shared" si="2"/>
        <v>0</v>
      </c>
      <c r="I126" s="110">
        <v>0</v>
      </c>
      <c r="J126" s="109">
        <f>SUM(I126+'Draw #10'!J126)</f>
        <v>0</v>
      </c>
      <c r="K126" s="101" t="str">
        <f t="shared" si="3"/>
        <v/>
      </c>
      <c r="L126" s="9"/>
      <c r="M126" s="9"/>
    </row>
    <row r="127" spans="1:13" ht="14.1" customHeight="1">
      <c r="A127" s="4">
        <f>'SCHEDULE OF VALUE WORKSHEET'!A97</f>
        <v>92</v>
      </c>
      <c r="B127" s="142" t="str">
        <f>'SCHEDULE OF VALUE WORKSHEET'!B97</f>
        <v xml:space="preserve">Open Item </v>
      </c>
      <c r="C127" s="143"/>
      <c r="D127" s="104">
        <f>SUM('SCHEDULE OF VALUE WORKSHEET'!E97)</f>
        <v>0</v>
      </c>
      <c r="E127" s="104">
        <f>SUM('Draw #10'!E127:F127)</f>
        <v>0</v>
      </c>
      <c r="F127" s="105">
        <v>0</v>
      </c>
      <c r="G127" s="104">
        <f>SUM('Draw #10'!G127)+F127</f>
        <v>0</v>
      </c>
      <c r="H127" s="109">
        <f t="shared" si="2"/>
        <v>0</v>
      </c>
      <c r="I127" s="110">
        <v>0</v>
      </c>
      <c r="J127" s="109">
        <f>SUM(I127+'Draw #10'!J127)</f>
        <v>0</v>
      </c>
      <c r="K127" s="101" t="str">
        <f t="shared" si="3"/>
        <v/>
      </c>
      <c r="L127" s="9"/>
      <c r="M127" s="9"/>
    </row>
    <row r="128" spans="1:13" ht="14.1" customHeight="1">
      <c r="A128" s="4">
        <f>'SCHEDULE OF VALUE WORKSHEET'!A98</f>
        <v>93</v>
      </c>
      <c r="B128" s="142" t="str">
        <f>'SCHEDULE OF VALUE WORKSHEET'!B98</f>
        <v xml:space="preserve">Open Item </v>
      </c>
      <c r="C128" s="143"/>
      <c r="D128" s="104">
        <f>SUM('SCHEDULE OF VALUE WORKSHEET'!E98)</f>
        <v>0</v>
      </c>
      <c r="E128" s="104">
        <f>SUM('Draw #10'!E128:F128)</f>
        <v>0</v>
      </c>
      <c r="F128" s="105">
        <v>0</v>
      </c>
      <c r="G128" s="104">
        <f>SUM('Draw #10'!G128)+F128</f>
        <v>0</v>
      </c>
      <c r="H128" s="109">
        <f t="shared" si="2"/>
        <v>0</v>
      </c>
      <c r="I128" s="110">
        <v>0</v>
      </c>
      <c r="J128" s="109">
        <f>SUM(I128+'Draw #10'!J128)</f>
        <v>0</v>
      </c>
      <c r="K128" s="101" t="str">
        <f t="shared" si="3"/>
        <v/>
      </c>
      <c r="L128" s="9"/>
      <c r="M128" s="9"/>
    </row>
    <row r="129" spans="1:13" ht="14.1" customHeight="1">
      <c r="A129" s="4">
        <f>'SCHEDULE OF VALUE WORKSHEET'!A99</f>
        <v>94</v>
      </c>
      <c r="B129" s="142" t="str">
        <f>'SCHEDULE OF VALUE WORKSHEET'!B99</f>
        <v xml:space="preserve">Open Item </v>
      </c>
      <c r="C129" s="143"/>
      <c r="D129" s="104">
        <f>SUM('SCHEDULE OF VALUE WORKSHEET'!E99)</f>
        <v>0</v>
      </c>
      <c r="E129" s="104">
        <f>SUM('Draw #10'!E129:F129)</f>
        <v>0</v>
      </c>
      <c r="F129" s="105">
        <v>0</v>
      </c>
      <c r="G129" s="104">
        <f>SUM('Draw #10'!G129)+F129</f>
        <v>0</v>
      </c>
      <c r="H129" s="109">
        <f t="shared" si="2"/>
        <v>0</v>
      </c>
      <c r="I129" s="110">
        <v>0</v>
      </c>
      <c r="J129" s="109">
        <f>SUM(I129+'Draw #10'!J129)</f>
        <v>0</v>
      </c>
      <c r="K129" s="101" t="str">
        <f t="shared" si="3"/>
        <v/>
      </c>
      <c r="L129" s="9"/>
      <c r="M129" s="9"/>
    </row>
    <row r="130" spans="1:13" ht="14.1" customHeight="1">
      <c r="A130" s="4">
        <f>'SCHEDULE OF VALUE WORKSHEET'!A100</f>
        <v>95</v>
      </c>
      <c r="B130" s="142" t="str">
        <f>'SCHEDULE OF VALUE WORKSHEET'!B100</f>
        <v xml:space="preserve">Open Item </v>
      </c>
      <c r="C130" s="143"/>
      <c r="D130" s="104">
        <f>SUM('SCHEDULE OF VALUE WORKSHEET'!E100)</f>
        <v>0</v>
      </c>
      <c r="E130" s="104">
        <f>SUM('Draw #10'!E130:F130)</f>
        <v>0</v>
      </c>
      <c r="F130" s="105">
        <v>0</v>
      </c>
      <c r="G130" s="104">
        <f>SUM('Draw #10'!G130)+F130</f>
        <v>0</v>
      </c>
      <c r="H130" s="109">
        <f t="shared" si="2"/>
        <v>0</v>
      </c>
      <c r="I130" s="110">
        <v>0</v>
      </c>
      <c r="J130" s="109">
        <f>SUM(I130+'Draw #10'!J130)</f>
        <v>0</v>
      </c>
      <c r="K130" s="101" t="str">
        <f t="shared" si="3"/>
        <v/>
      </c>
      <c r="L130" s="9"/>
      <c r="M130" s="9"/>
    </row>
    <row r="131" spans="1:13" ht="14.1" customHeight="1">
      <c r="A131" s="4">
        <f>'SCHEDULE OF VALUE WORKSHEET'!A101</f>
        <v>96</v>
      </c>
      <c r="B131" s="142" t="str">
        <f>'SCHEDULE OF VALUE WORKSHEET'!B101</f>
        <v xml:space="preserve">Open Item </v>
      </c>
      <c r="C131" s="143"/>
      <c r="D131" s="104">
        <f>SUM('SCHEDULE OF VALUE WORKSHEET'!E101)</f>
        <v>0</v>
      </c>
      <c r="E131" s="104">
        <f>SUM('Draw #10'!E131:F131)</f>
        <v>0</v>
      </c>
      <c r="F131" s="105">
        <v>0</v>
      </c>
      <c r="G131" s="104">
        <f>SUM('Draw #10'!G131)+F131</f>
        <v>0</v>
      </c>
      <c r="H131" s="109">
        <f t="shared" si="2"/>
        <v>0</v>
      </c>
      <c r="I131" s="110">
        <v>0</v>
      </c>
      <c r="J131" s="109">
        <f>SUM(I131+'Draw #10'!J131)</f>
        <v>0</v>
      </c>
      <c r="K131" s="101" t="str">
        <f t="shared" si="3"/>
        <v/>
      </c>
      <c r="L131" s="9"/>
      <c r="M131" s="9"/>
    </row>
    <row r="132" spans="1:13" ht="14.1" customHeight="1">
      <c r="A132" s="4">
        <f>'SCHEDULE OF VALUE WORKSHEET'!A102</f>
        <v>97</v>
      </c>
      <c r="B132" s="142" t="str">
        <f>'SCHEDULE OF VALUE WORKSHEET'!B102</f>
        <v xml:space="preserve">Open Item </v>
      </c>
      <c r="C132" s="143"/>
      <c r="D132" s="104">
        <f>SUM('SCHEDULE OF VALUE WORKSHEET'!E102)</f>
        <v>0</v>
      </c>
      <c r="E132" s="104">
        <f>SUM('Draw #10'!E132:F132)</f>
        <v>0</v>
      </c>
      <c r="F132" s="105">
        <v>0</v>
      </c>
      <c r="G132" s="104">
        <f>SUM('Draw #10'!G132)+F132</f>
        <v>0</v>
      </c>
      <c r="H132" s="109">
        <f t="shared" si="2"/>
        <v>0</v>
      </c>
      <c r="I132" s="110">
        <v>0</v>
      </c>
      <c r="J132" s="109">
        <f>SUM(I132+'Draw #10'!J132)</f>
        <v>0</v>
      </c>
      <c r="K132" s="101" t="str">
        <f t="shared" si="3"/>
        <v/>
      </c>
      <c r="L132" s="9"/>
      <c r="M132" s="9"/>
    </row>
    <row r="133" spans="1:13" ht="14.1" customHeight="1">
      <c r="A133" s="4">
        <f>'SCHEDULE OF VALUE WORKSHEET'!A103</f>
        <v>98</v>
      </c>
      <c r="B133" s="142" t="str">
        <f>'SCHEDULE OF VALUE WORKSHEET'!B103</f>
        <v xml:space="preserve">Open Item </v>
      </c>
      <c r="C133" s="143"/>
      <c r="D133" s="104">
        <f>SUM('SCHEDULE OF VALUE WORKSHEET'!E103)</f>
        <v>0</v>
      </c>
      <c r="E133" s="104">
        <f>SUM('Draw #10'!E133:F133)</f>
        <v>0</v>
      </c>
      <c r="F133" s="105">
        <v>0</v>
      </c>
      <c r="G133" s="104">
        <f>SUM('Draw #10'!G133)+F133</f>
        <v>0</v>
      </c>
      <c r="H133" s="109">
        <f t="shared" si="2"/>
        <v>0</v>
      </c>
      <c r="I133" s="110">
        <v>0</v>
      </c>
      <c r="J133" s="109">
        <f>SUM(I133+'Draw #10'!J133)</f>
        <v>0</v>
      </c>
      <c r="K133" s="101" t="str">
        <f t="shared" si="3"/>
        <v/>
      </c>
      <c r="L133" s="9"/>
      <c r="M133" s="9"/>
    </row>
    <row r="134" spans="1:13" ht="14.1" customHeight="1">
      <c r="A134" s="4">
        <f>'SCHEDULE OF VALUE WORKSHEET'!A104</f>
        <v>99</v>
      </c>
      <c r="B134" s="142" t="str">
        <f>'SCHEDULE OF VALUE WORKSHEET'!B104</f>
        <v xml:space="preserve">Open Item </v>
      </c>
      <c r="C134" s="143"/>
      <c r="D134" s="104">
        <f>SUM('SCHEDULE OF VALUE WORKSHEET'!E104)</f>
        <v>0</v>
      </c>
      <c r="E134" s="104">
        <f>SUM('Draw #10'!E134:F134)</f>
        <v>0</v>
      </c>
      <c r="F134" s="105">
        <v>0</v>
      </c>
      <c r="G134" s="104">
        <f>SUM('Draw #10'!G134)+F134</f>
        <v>0</v>
      </c>
      <c r="H134" s="109">
        <f t="shared" si="2"/>
        <v>0</v>
      </c>
      <c r="I134" s="110">
        <v>0</v>
      </c>
      <c r="J134" s="109">
        <f>SUM(I134+'Draw #10'!J134)</f>
        <v>0</v>
      </c>
      <c r="K134" s="101" t="str">
        <f t="shared" si="3"/>
        <v/>
      </c>
      <c r="L134" s="9"/>
      <c r="M134" s="9"/>
    </row>
    <row r="135" spans="1:13" ht="14.1" customHeight="1">
      <c r="A135" s="4" t="e">
        <f>'SCHEDULE OF VALUE WORKSHEET'!#REF!</f>
        <v>#REF!</v>
      </c>
      <c r="B135" s="142" t="e">
        <f>'SCHEDULE OF VALUE WORKSHEET'!#REF!</f>
        <v>#REF!</v>
      </c>
      <c r="C135" s="143"/>
      <c r="D135" s="104" t="e">
        <f>SUM('SCHEDULE OF VALUE WORKSHEET'!#REF!)</f>
        <v>#REF!</v>
      </c>
      <c r="E135" s="104">
        <f>SUM('Draw #10'!E135:F135)</f>
        <v>0</v>
      </c>
      <c r="F135" s="105">
        <v>0</v>
      </c>
      <c r="G135" s="104" t="e">
        <f>SUM('Draw #10'!G135)+F135</f>
        <v>#REF!</v>
      </c>
      <c r="H135" s="109" t="e">
        <f t="shared" si="2"/>
        <v>#REF!</v>
      </c>
      <c r="I135" s="110">
        <v>0</v>
      </c>
      <c r="J135" s="109">
        <f>SUM(I135+'Draw #10'!J135)</f>
        <v>0</v>
      </c>
      <c r="K135" s="101" t="str">
        <f t="shared" si="3"/>
        <v/>
      </c>
      <c r="L135" s="9"/>
      <c r="M135" s="9"/>
    </row>
    <row r="136" spans="1:13" ht="14.1" customHeight="1">
      <c r="A136" s="165"/>
      <c r="B136" s="166"/>
      <c r="C136" s="166"/>
      <c r="D136" s="166"/>
      <c r="E136" s="166"/>
      <c r="F136" s="166"/>
      <c r="G136" s="166"/>
      <c r="H136" s="166"/>
      <c r="I136" s="166"/>
      <c r="J136" s="166"/>
      <c r="K136" s="167"/>
      <c r="L136" s="10"/>
      <c r="M136" s="10"/>
    </row>
    <row r="137" spans="1:13" ht="18.75" customHeight="1">
      <c r="A137" s="7"/>
      <c r="B137" s="168" t="s">
        <v>2</v>
      </c>
      <c r="C137" s="168"/>
      <c r="D137" s="25" t="e">
        <f t="shared" ref="D137:J137" si="4">SUM(D10:D135)</f>
        <v>#REF!</v>
      </c>
      <c r="E137" s="25">
        <f t="shared" si="4"/>
        <v>0</v>
      </c>
      <c r="F137" s="25">
        <f t="shared" si="4"/>
        <v>0</v>
      </c>
      <c r="G137" s="25" t="e">
        <f t="shared" si="4"/>
        <v>#REF!</v>
      </c>
      <c r="H137" s="25" t="e">
        <f t="shared" si="4"/>
        <v>#REF!</v>
      </c>
      <c r="I137" s="25">
        <f t="shared" si="4"/>
        <v>0</v>
      </c>
      <c r="J137" s="25">
        <f t="shared" si="4"/>
        <v>0</v>
      </c>
      <c r="K137" s="17"/>
      <c r="L137" s="11"/>
      <c r="M137" s="11"/>
    </row>
    <row r="138" spans="1:13" ht="14.1" customHeight="1">
      <c r="A138" s="2"/>
      <c r="B138" s="2"/>
      <c r="C138" s="2"/>
      <c r="D138" s="2"/>
      <c r="E138" s="2"/>
      <c r="F138" s="2"/>
      <c r="G138" s="2"/>
    </row>
    <row r="139" spans="1:13" ht="14.1" customHeight="1">
      <c r="G139" s="2"/>
      <c r="H139" s="140"/>
      <c r="I139" s="140"/>
      <c r="J139" s="140"/>
    </row>
    <row r="140" spans="1:13" ht="14.1" customHeight="1">
      <c r="G140" s="2"/>
    </row>
    <row r="141" spans="1:13" ht="14.1" customHeight="1">
      <c r="G141" s="2"/>
      <c r="H141" s="8"/>
    </row>
    <row r="142" spans="1:13" ht="14.1" customHeight="1">
      <c r="G142" s="2"/>
      <c r="H142" s="8"/>
    </row>
    <row r="143" spans="1:13" ht="14.1" customHeight="1">
      <c r="G143" s="2"/>
    </row>
    <row r="144" spans="1:13" ht="14.1" customHeight="1">
      <c r="G144" s="2"/>
    </row>
    <row r="145" spans="7:7" ht="14.1" customHeight="1">
      <c r="G145" s="2"/>
    </row>
    <row r="146" spans="7:7" ht="14.1" customHeight="1">
      <c r="G146" s="2"/>
    </row>
    <row r="147" spans="7:7" ht="14.1" customHeight="1">
      <c r="G147" s="2"/>
    </row>
    <row r="148" spans="7:7" ht="14.1" customHeight="1">
      <c r="G148" s="3"/>
    </row>
  </sheetData>
  <sheetProtection algorithmName="SHA-512" hashValue="EPjdExUB+kr0SFban5nnlPeJzbhyxkN4ZSTsdgyzoPlz+5wfG8BanvbNgIEuvdJzl5DZZS+JPlXWQfvBAZA4sw==" saltValue="YmoVzdpBX1xru3xNh9NJiA==" spinCount="100000" sheet="1" selectLockedCells="1"/>
  <mergeCells count="136">
    <mergeCell ref="A1:K2"/>
    <mergeCell ref="B47:C47"/>
    <mergeCell ref="B48:C48"/>
    <mergeCell ref="B49:C49"/>
    <mergeCell ref="B50:C50"/>
    <mergeCell ref="B8:C9"/>
    <mergeCell ref="D8:D9"/>
    <mergeCell ref="G8:G9"/>
    <mergeCell ref="J8:K8"/>
    <mergeCell ref="J9:K9"/>
    <mergeCell ref="F8:F9"/>
    <mergeCell ref="B10:C10"/>
    <mergeCell ref="B11:C11"/>
    <mergeCell ref="B12:C12"/>
    <mergeCell ref="B13:C13"/>
    <mergeCell ref="B26:C26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4:C34"/>
    <mergeCell ref="B35:C35"/>
    <mergeCell ref="B32:C32"/>
    <mergeCell ref="B33:C33"/>
    <mergeCell ref="B27:C27"/>
    <mergeCell ref="B36:C36"/>
    <mergeCell ref="B37:C37"/>
    <mergeCell ref="B46:C46"/>
    <mergeCell ref="A136:K136"/>
    <mergeCell ref="B38:C38"/>
    <mergeCell ref="B39:C39"/>
    <mergeCell ref="B51:C51"/>
    <mergeCell ref="B52:C52"/>
    <mergeCell ref="B53:C53"/>
    <mergeCell ref="B54:C54"/>
    <mergeCell ref="B130:C130"/>
    <mergeCell ref="B109:C109"/>
    <mergeCell ref="B120:C120"/>
    <mergeCell ref="B121:C121"/>
    <mergeCell ref="B122:C122"/>
    <mergeCell ref="B123:C123"/>
    <mergeCell ref="B124:C124"/>
    <mergeCell ref="B112:C112"/>
    <mergeCell ref="B113:C113"/>
    <mergeCell ref="B114:C114"/>
    <mergeCell ref="B131:C131"/>
    <mergeCell ref="B132:C132"/>
    <mergeCell ref="B133:C133"/>
    <mergeCell ref="B134:C134"/>
    <mergeCell ref="B137:C137"/>
    <mergeCell ref="H139:J139"/>
    <mergeCell ref="B40:C40"/>
    <mergeCell ref="B41:C41"/>
    <mergeCell ref="B42:C42"/>
    <mergeCell ref="B43:C43"/>
    <mergeCell ref="B44:C44"/>
    <mergeCell ref="B45:C45"/>
    <mergeCell ref="B55:C55"/>
    <mergeCell ref="B56:C56"/>
    <mergeCell ref="B135:C135"/>
    <mergeCell ref="B125:C125"/>
    <mergeCell ref="B126:C126"/>
    <mergeCell ref="B127:C127"/>
    <mergeCell ref="B128:C128"/>
    <mergeCell ref="B129:C129"/>
    <mergeCell ref="B63:C63"/>
    <mergeCell ref="B64:C64"/>
    <mergeCell ref="B65:C65"/>
    <mergeCell ref="B66:C66"/>
    <mergeCell ref="B67:C67"/>
    <mergeCell ref="B68:C68"/>
    <mergeCell ref="B57:C57"/>
    <mergeCell ref="B58:C58"/>
    <mergeCell ref="B59:C59"/>
    <mergeCell ref="B60:C60"/>
    <mergeCell ref="B61:C61"/>
    <mergeCell ref="B62:C62"/>
    <mergeCell ref="B75:C75"/>
    <mergeCell ref="B76:C76"/>
    <mergeCell ref="B77:C77"/>
    <mergeCell ref="B78:C78"/>
    <mergeCell ref="B79:C79"/>
    <mergeCell ref="B80:C80"/>
    <mergeCell ref="B69:C69"/>
    <mergeCell ref="B70:C70"/>
    <mergeCell ref="B71:C71"/>
    <mergeCell ref="B72:C72"/>
    <mergeCell ref="B73:C73"/>
    <mergeCell ref="B74:C74"/>
    <mergeCell ref="B87:C87"/>
    <mergeCell ref="B88:C88"/>
    <mergeCell ref="B89:C89"/>
    <mergeCell ref="B90:C90"/>
    <mergeCell ref="B91:C91"/>
    <mergeCell ref="B92:C92"/>
    <mergeCell ref="B81:C81"/>
    <mergeCell ref="B82:C82"/>
    <mergeCell ref="B83:C83"/>
    <mergeCell ref="B84:C84"/>
    <mergeCell ref="B85:C85"/>
    <mergeCell ref="B86:C86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5:C115"/>
    <mergeCell ref="B116:C116"/>
    <mergeCell ref="B117:C117"/>
    <mergeCell ref="B118:C118"/>
    <mergeCell ref="B119:C119"/>
    <mergeCell ref="B105:C105"/>
    <mergeCell ref="B106:C106"/>
    <mergeCell ref="B107:C107"/>
    <mergeCell ref="B108:C108"/>
    <mergeCell ref="B110:C110"/>
    <mergeCell ref="B111:C111"/>
  </mergeCells>
  <conditionalFormatting sqref="B10:K135">
    <cfRule type="expression" dxfId="39" priority="3" stopIfTrue="1">
      <formula>$I10&gt;0</formula>
    </cfRule>
    <cfRule type="expression" dxfId="38" priority="4" stopIfTrue="1">
      <formula>$K10=100%</formula>
    </cfRule>
  </conditionalFormatting>
  <conditionalFormatting sqref="D10:K135">
    <cfRule type="expression" dxfId="37" priority="1" stopIfTrue="1">
      <formula>$K10=""</formula>
    </cfRule>
    <cfRule type="expression" dxfId="36" priority="2" stopIfTrue="1">
      <formula>$K10&gt;100%</formula>
    </cfRule>
  </conditionalFormatting>
  <pageMargins left="0.7" right="0.7" top="0.75" bottom="0.75" header="0.3" footer="0.3"/>
  <pageSetup scale="77" orientation="portrait" r:id="rId1"/>
  <rowBreaks count="1" manualBreakCount="1">
    <brk id="137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48"/>
  <sheetViews>
    <sheetView showGridLines="0" zoomScale="90" zoomScaleNormal="90" workbookViewId="0">
      <selection activeCell="F21" sqref="F21"/>
    </sheetView>
  </sheetViews>
  <sheetFormatPr defaultColWidth="6.59765625" defaultRowHeight="15.75"/>
  <cols>
    <col min="1" max="1" width="4.8984375" style="1" customWidth="1"/>
    <col min="2" max="2" width="5.69921875" style="1" customWidth="1"/>
    <col min="3" max="3" width="15.19921875" style="1" customWidth="1"/>
    <col min="4" max="5" width="10.59765625" style="1" customWidth="1"/>
    <col min="6" max="9" width="10.69921875" style="1" customWidth="1"/>
    <col min="10" max="10" width="10.59765625" style="1" customWidth="1"/>
    <col min="11" max="11" width="5.09765625" style="18" customWidth="1"/>
    <col min="12" max="13" width="4.69921875" style="1" customWidth="1"/>
    <col min="14" max="16384" width="6.59765625" style="1"/>
  </cols>
  <sheetData>
    <row r="1" spans="1:13">
      <c r="A1" s="171" t="s">
        <v>18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</row>
    <row r="2" spans="1:13">
      <c r="A2" s="174"/>
      <c r="B2" s="153"/>
      <c r="C2" s="153"/>
      <c r="D2" s="153"/>
      <c r="E2" s="153"/>
      <c r="F2" s="153"/>
      <c r="G2" s="153"/>
      <c r="H2" s="153"/>
      <c r="I2" s="153"/>
      <c r="J2" s="153"/>
      <c r="K2" s="175"/>
    </row>
    <row r="3" spans="1:13">
      <c r="A3" s="74"/>
      <c r="B3" s="13" t="s">
        <v>7</v>
      </c>
      <c r="C3" s="35" t="str">
        <f>'SCHEDULE OF VALUE WORKSHEET'!$B$3</f>
        <v>Angeleno Investments</v>
      </c>
      <c r="F3" s="6"/>
      <c r="G3" s="28"/>
      <c r="H3" s="55"/>
      <c r="I3" s="41" t="s">
        <v>5</v>
      </c>
      <c r="J3" s="38">
        <f>SUM(J137)</f>
        <v>0</v>
      </c>
      <c r="K3" s="80" t="e">
        <f>SUM(J3)/J7</f>
        <v>#REF!</v>
      </c>
    </row>
    <row r="4" spans="1:13" ht="16.350000000000001" customHeight="1">
      <c r="A4" s="74"/>
      <c r="B4" s="34" t="s">
        <v>0</v>
      </c>
      <c r="C4" s="36">
        <f ca="1">TODAY()</f>
        <v>45978</v>
      </c>
      <c r="D4" s="36"/>
      <c r="E4" s="36"/>
      <c r="F4" s="15"/>
      <c r="G4" s="3"/>
      <c r="H4" s="75"/>
      <c r="I4" s="41" t="s">
        <v>13</v>
      </c>
      <c r="J4" s="38" t="e">
        <f>SUM(H137)</f>
        <v>#REF!</v>
      </c>
      <c r="K4" s="80"/>
    </row>
    <row r="5" spans="1:13">
      <c r="A5" s="74"/>
      <c r="B5" s="34" t="s">
        <v>6</v>
      </c>
      <c r="C5" s="37" t="str">
        <f>'SCHEDULE OF VALUE WORKSHEET'!B5</f>
        <v>10910 Huston Street</v>
      </c>
      <c r="F5" s="56"/>
      <c r="G5" s="57"/>
      <c r="H5" s="75"/>
      <c r="I5" s="41" t="s">
        <v>14</v>
      </c>
      <c r="J5" s="38" t="e">
        <f>SUM(D137)</f>
        <v>#REF!</v>
      </c>
      <c r="K5" s="80"/>
    </row>
    <row r="6" spans="1:13">
      <c r="A6" s="74"/>
      <c r="B6" s="34" t="s">
        <v>20</v>
      </c>
      <c r="C6" s="48">
        <f>SUM(I137)</f>
        <v>0</v>
      </c>
      <c r="D6" s="6"/>
      <c r="E6" s="6"/>
      <c r="F6" s="6"/>
      <c r="G6" s="57"/>
      <c r="H6" s="75"/>
      <c r="I6" s="42" t="s">
        <v>17</v>
      </c>
      <c r="J6" s="38">
        <f>SUM(F137)</f>
        <v>0</v>
      </c>
      <c r="K6" s="80"/>
    </row>
    <row r="7" spans="1:13">
      <c r="A7" s="78"/>
      <c r="G7" s="28"/>
      <c r="H7" s="20"/>
      <c r="I7" s="34" t="s">
        <v>15</v>
      </c>
      <c r="J7" s="29" t="e">
        <f>SUM(G137)</f>
        <v>#REF!</v>
      </c>
      <c r="K7" s="80"/>
    </row>
    <row r="8" spans="1:13">
      <c r="A8" s="19"/>
      <c r="B8" s="169" t="s">
        <v>1</v>
      </c>
      <c r="C8" s="170"/>
      <c r="D8" s="177" t="s">
        <v>8</v>
      </c>
      <c r="E8" s="102" t="s">
        <v>24</v>
      </c>
      <c r="F8" s="176" t="s">
        <v>26</v>
      </c>
      <c r="G8" s="177" t="s">
        <v>9</v>
      </c>
      <c r="H8" s="30" t="s">
        <v>10</v>
      </c>
      <c r="I8" s="31" t="s">
        <v>12</v>
      </c>
      <c r="J8" s="178" t="s">
        <v>3</v>
      </c>
      <c r="K8" s="179"/>
      <c r="L8" s="12"/>
      <c r="M8" s="12"/>
    </row>
    <row r="9" spans="1:13" ht="14.1" customHeight="1">
      <c r="A9" s="19"/>
      <c r="B9" s="146"/>
      <c r="C9" s="147"/>
      <c r="D9" s="162"/>
      <c r="E9" s="103" t="s">
        <v>25</v>
      </c>
      <c r="F9" s="164"/>
      <c r="G9" s="162"/>
      <c r="H9" s="32" t="s">
        <v>22</v>
      </c>
      <c r="I9" s="33">
        <v>12</v>
      </c>
      <c r="J9" s="180" t="s">
        <v>4</v>
      </c>
      <c r="K9" s="181"/>
      <c r="L9" s="12"/>
      <c r="M9" s="12"/>
    </row>
    <row r="10" spans="1:13" ht="14.1" customHeight="1">
      <c r="A10" s="4">
        <f>'SCHEDULE OF VALUE WORKSHEET'!A7</f>
        <v>1</v>
      </c>
      <c r="B10" s="142" t="str">
        <f>'SCHEDULE OF VALUE WORKSHEET'!B7</f>
        <v>SOFT COSTS</v>
      </c>
      <c r="C10" s="143"/>
      <c r="D10" s="104">
        <f>SUM('SCHEDULE OF VALUE WORKSHEET'!E7)</f>
        <v>0</v>
      </c>
      <c r="E10" s="104">
        <f>SUM('Draw #11'!E10:F10)</f>
        <v>0</v>
      </c>
      <c r="F10" s="105">
        <v>0</v>
      </c>
      <c r="G10" s="104">
        <f>SUM('Draw #11'!G10)+F10</f>
        <v>0</v>
      </c>
      <c r="H10" s="109">
        <f>SUM(G10-J10)</f>
        <v>0</v>
      </c>
      <c r="I10" s="110">
        <v>0</v>
      </c>
      <c r="J10" s="109">
        <f>SUM(I10+'Draw #11'!J10)</f>
        <v>0</v>
      </c>
      <c r="K10" s="101" t="str">
        <f>IF(J10=0,"",J10/G10)</f>
        <v/>
      </c>
      <c r="L10" s="9"/>
      <c r="M10" s="9"/>
    </row>
    <row r="11" spans="1:13" ht="14.1" customHeight="1">
      <c r="A11" s="4">
        <f>'SCHEDULE OF VALUE WORKSHEET'!A8</f>
        <v>2</v>
      </c>
      <c r="B11" s="142" t="str">
        <f>'SCHEDULE OF VALUE WORKSHEET'!B8</f>
        <v>Site Security</v>
      </c>
      <c r="C11" s="143"/>
      <c r="D11" s="104">
        <f>SUM('SCHEDULE OF VALUE WORKSHEET'!E8)</f>
        <v>10580.63</v>
      </c>
      <c r="E11" s="104">
        <f>SUM('Draw #11'!E11:F11)</f>
        <v>0</v>
      </c>
      <c r="F11" s="105">
        <v>0</v>
      </c>
      <c r="G11" s="104">
        <f>SUM('Draw #11'!G11)+F11</f>
        <v>10580.63</v>
      </c>
      <c r="H11" s="109">
        <f t="shared" ref="H11:H74" si="0">SUM(G11-J11)</f>
        <v>10580.63</v>
      </c>
      <c r="I11" s="110">
        <v>0</v>
      </c>
      <c r="J11" s="109">
        <f>SUM(I11+'Draw #11'!J11)</f>
        <v>0</v>
      </c>
      <c r="K11" s="101" t="str">
        <f t="shared" ref="K11:K74" si="1">IF(J11=0,"",J11/G11)</f>
        <v/>
      </c>
      <c r="L11" s="9"/>
      <c r="M11" s="9"/>
    </row>
    <row r="12" spans="1:13" ht="14.1" customHeight="1">
      <c r="A12" s="4">
        <f>'SCHEDULE OF VALUE WORKSHEET'!A9</f>
        <v>3</v>
      </c>
      <c r="B12" s="142" t="str">
        <f>'SCHEDULE OF VALUE WORKSHEET'!B9</f>
        <v>Soils Inspection</v>
      </c>
      <c r="C12" s="143"/>
      <c r="D12" s="104">
        <f>SUM('SCHEDULE OF VALUE WORKSHEET'!E9)</f>
        <v>0</v>
      </c>
      <c r="E12" s="104">
        <f>SUM('Draw #11'!E12:F12)</f>
        <v>0</v>
      </c>
      <c r="F12" s="105">
        <v>0</v>
      </c>
      <c r="G12" s="104">
        <f>SUM('Draw #11'!G12)+F12</f>
        <v>0</v>
      </c>
      <c r="H12" s="109">
        <f t="shared" si="0"/>
        <v>0</v>
      </c>
      <c r="I12" s="110">
        <v>0</v>
      </c>
      <c r="J12" s="109">
        <f>SUM(I12+'Draw #11'!J12)</f>
        <v>0</v>
      </c>
      <c r="K12" s="101" t="str">
        <f t="shared" si="1"/>
        <v/>
      </c>
      <c r="L12" s="9"/>
      <c r="M12" s="9"/>
    </row>
    <row r="13" spans="1:13" ht="14.1" customHeight="1">
      <c r="A13" s="4">
        <f>'SCHEDULE OF VALUE WORKSHEET'!A10</f>
        <v>4</v>
      </c>
      <c r="B13" s="142" t="str">
        <f>'SCHEDULE OF VALUE WORKSHEET'!B10</f>
        <v>Offsites (Transformer)</v>
      </c>
      <c r="C13" s="143"/>
      <c r="D13" s="104">
        <f>SUM('SCHEDULE OF VALUE WORKSHEET'!E10)</f>
        <v>20000</v>
      </c>
      <c r="E13" s="104">
        <f>SUM('Draw #11'!E13:F13)</f>
        <v>0</v>
      </c>
      <c r="F13" s="105">
        <v>0</v>
      </c>
      <c r="G13" s="104">
        <f>SUM('Draw #11'!G13)+F13</f>
        <v>20000</v>
      </c>
      <c r="H13" s="109">
        <f t="shared" si="0"/>
        <v>20000</v>
      </c>
      <c r="I13" s="110">
        <v>0</v>
      </c>
      <c r="J13" s="109">
        <f>SUM(I13+'Draw #11'!J13)</f>
        <v>0</v>
      </c>
      <c r="K13" s="101" t="str">
        <f t="shared" si="1"/>
        <v/>
      </c>
      <c r="L13" s="9"/>
      <c r="M13" s="9"/>
    </row>
    <row r="14" spans="1:13" ht="14.1" customHeight="1">
      <c r="A14" s="4">
        <f>'SCHEDULE OF VALUE WORKSHEET'!A11</f>
        <v>5</v>
      </c>
      <c r="B14" s="142" t="str">
        <f>'SCHEDULE OF VALUE WORKSHEET'!B11</f>
        <v>Plan Check Fees</v>
      </c>
      <c r="C14" s="143"/>
      <c r="D14" s="104">
        <f>SUM('SCHEDULE OF VALUE WORKSHEET'!E11)</f>
        <v>0</v>
      </c>
      <c r="E14" s="104">
        <f>SUM('Draw #11'!E14:F14)</f>
        <v>0</v>
      </c>
      <c r="F14" s="105">
        <v>0</v>
      </c>
      <c r="G14" s="104">
        <f>SUM('Draw #11'!G14)+F14</f>
        <v>0</v>
      </c>
      <c r="H14" s="109">
        <f t="shared" si="0"/>
        <v>0</v>
      </c>
      <c r="I14" s="110">
        <v>0</v>
      </c>
      <c r="J14" s="109">
        <f>SUM(I14+'Draw #11'!J14)</f>
        <v>0</v>
      </c>
      <c r="K14" s="101" t="str">
        <f t="shared" si="1"/>
        <v/>
      </c>
      <c r="L14" s="9"/>
      <c r="M14" s="9"/>
    </row>
    <row r="15" spans="1:13" ht="14.1" customHeight="1">
      <c r="A15" s="4">
        <f>'SCHEDULE OF VALUE WORKSHEET'!A12</f>
        <v>6</v>
      </c>
      <c r="B15" s="142" t="str">
        <f>'SCHEDULE OF VALUE WORKSHEET'!B12</f>
        <v>Permits</v>
      </c>
      <c r="C15" s="143"/>
      <c r="D15" s="104">
        <f>SUM('SCHEDULE OF VALUE WORKSHEET'!E12)</f>
        <v>0</v>
      </c>
      <c r="E15" s="104">
        <f>SUM('Draw #11'!E15:F15)</f>
        <v>0</v>
      </c>
      <c r="F15" s="105">
        <v>0</v>
      </c>
      <c r="G15" s="104">
        <f>SUM('Draw #11'!G15)+F15</f>
        <v>0</v>
      </c>
      <c r="H15" s="109">
        <f t="shared" si="0"/>
        <v>0</v>
      </c>
      <c r="I15" s="110">
        <v>0</v>
      </c>
      <c r="J15" s="109">
        <f>SUM(I15+'Draw #11'!J15)</f>
        <v>0</v>
      </c>
      <c r="K15" s="101" t="str">
        <f t="shared" si="1"/>
        <v/>
      </c>
      <c r="L15" s="9"/>
      <c r="M15" s="9"/>
    </row>
    <row r="16" spans="1:13" ht="14.1" customHeight="1">
      <c r="A16" s="4">
        <f>'SCHEDULE OF VALUE WORKSHEET'!A13</f>
        <v>7</v>
      </c>
      <c r="B16" s="142" t="str">
        <f>'SCHEDULE OF VALUE WORKSHEET'!B13</f>
        <v>Survey</v>
      </c>
      <c r="C16" s="143"/>
      <c r="D16" s="104">
        <f>SUM('SCHEDULE OF VALUE WORKSHEET'!E13)</f>
        <v>0</v>
      </c>
      <c r="E16" s="104">
        <f>SUM('Draw #11'!E16:F16)</f>
        <v>0</v>
      </c>
      <c r="F16" s="105">
        <v>0</v>
      </c>
      <c r="G16" s="104">
        <f>SUM('Draw #11'!G16)+F16</f>
        <v>0</v>
      </c>
      <c r="H16" s="109">
        <f t="shared" si="0"/>
        <v>0</v>
      </c>
      <c r="I16" s="110">
        <v>0</v>
      </c>
      <c r="J16" s="109">
        <f>SUM(I16+'Draw #11'!J16)</f>
        <v>0</v>
      </c>
      <c r="K16" s="101" t="str">
        <f t="shared" si="1"/>
        <v/>
      </c>
      <c r="L16" s="9"/>
      <c r="M16" s="9"/>
    </row>
    <row r="17" spans="1:13" ht="14.1" customHeight="1">
      <c r="A17" s="4">
        <f>'SCHEDULE OF VALUE WORKSHEET'!A14</f>
        <v>8</v>
      </c>
      <c r="B17" s="142" t="str">
        <f>'SCHEDULE OF VALUE WORKSHEET'!B14</f>
        <v>Soils Engineer</v>
      </c>
      <c r="C17" s="143"/>
      <c r="D17" s="104">
        <f>SUM('SCHEDULE OF VALUE WORKSHEET'!E14)</f>
        <v>0</v>
      </c>
      <c r="E17" s="104">
        <f>SUM('Draw #11'!E17:F17)</f>
        <v>0</v>
      </c>
      <c r="F17" s="105">
        <v>0</v>
      </c>
      <c r="G17" s="104">
        <f>SUM('Draw #11'!G17)+F17</f>
        <v>0</v>
      </c>
      <c r="H17" s="109">
        <f t="shared" si="0"/>
        <v>0</v>
      </c>
      <c r="I17" s="110">
        <v>0</v>
      </c>
      <c r="J17" s="109">
        <f>SUM(I17+'Draw #11'!J17)</f>
        <v>0</v>
      </c>
      <c r="K17" s="101" t="str">
        <f t="shared" si="1"/>
        <v/>
      </c>
      <c r="L17" s="9"/>
      <c r="M17" s="9"/>
    </row>
    <row r="18" spans="1:13" ht="14.1" customHeight="1">
      <c r="A18" s="4">
        <f>'SCHEDULE OF VALUE WORKSHEET'!A15</f>
        <v>9</v>
      </c>
      <c r="B18" s="142" t="str">
        <f>'SCHEDULE OF VALUE WORKSHEET'!B15</f>
        <v>Soils Permit + T24</v>
      </c>
      <c r="C18" s="143"/>
      <c r="D18" s="104">
        <f>SUM('SCHEDULE OF VALUE WORKSHEET'!E15)</f>
        <v>2500</v>
      </c>
      <c r="E18" s="104">
        <f>SUM('Draw #11'!E18:F18)</f>
        <v>0</v>
      </c>
      <c r="F18" s="105">
        <v>0</v>
      </c>
      <c r="G18" s="104">
        <f>SUM('Draw #11'!G18)+F18</f>
        <v>2500</v>
      </c>
      <c r="H18" s="109">
        <f t="shared" si="0"/>
        <v>2500</v>
      </c>
      <c r="I18" s="110">
        <v>0</v>
      </c>
      <c r="J18" s="109">
        <f>SUM(I18+'Draw #11'!J18)</f>
        <v>0</v>
      </c>
      <c r="K18" s="101" t="str">
        <f t="shared" si="1"/>
        <v/>
      </c>
      <c r="L18" s="9"/>
      <c r="M18" s="9"/>
    </row>
    <row r="19" spans="1:13" ht="14.1" customHeight="1">
      <c r="A19" s="4">
        <f>'SCHEDULE OF VALUE WORKSHEET'!A16</f>
        <v>10</v>
      </c>
      <c r="B19" s="142" t="str">
        <f>'SCHEDULE OF VALUE WORKSHEET'!B16</f>
        <v>Special Inspections - Deputy</v>
      </c>
      <c r="C19" s="143"/>
      <c r="D19" s="104">
        <f>SUM('SCHEDULE OF VALUE WORKSHEET'!E16)</f>
        <v>15000</v>
      </c>
      <c r="E19" s="104">
        <f>SUM('Draw #11'!E19:F19)</f>
        <v>0</v>
      </c>
      <c r="F19" s="105">
        <v>0</v>
      </c>
      <c r="G19" s="104">
        <f>SUM('Draw #11'!G19)+F19</f>
        <v>15000</v>
      </c>
      <c r="H19" s="109">
        <f t="shared" si="0"/>
        <v>15000</v>
      </c>
      <c r="I19" s="110">
        <v>0</v>
      </c>
      <c r="J19" s="109">
        <f>SUM(I19+'Draw #11'!J19)</f>
        <v>0</v>
      </c>
      <c r="K19" s="101" t="str">
        <f t="shared" si="1"/>
        <v/>
      </c>
      <c r="L19" s="9"/>
      <c r="M19" s="9"/>
    </row>
    <row r="20" spans="1:13" ht="14.1" customHeight="1">
      <c r="A20" s="4">
        <f>'SCHEDULE OF VALUE WORKSHEET'!A17</f>
        <v>11</v>
      </c>
      <c r="B20" s="142" t="str">
        <f>'SCHEDULE OF VALUE WORKSHEET'!B17</f>
        <v>Architect</v>
      </c>
      <c r="C20" s="143"/>
      <c r="D20" s="104">
        <f>SUM('SCHEDULE OF VALUE WORKSHEET'!E17)</f>
        <v>0</v>
      </c>
      <c r="E20" s="104">
        <f>SUM('Draw #11'!E20:F20)</f>
        <v>0</v>
      </c>
      <c r="F20" s="105">
        <v>0</v>
      </c>
      <c r="G20" s="104">
        <f>SUM('Draw #11'!G20)+F20</f>
        <v>0</v>
      </c>
      <c r="H20" s="109">
        <f t="shared" si="0"/>
        <v>0</v>
      </c>
      <c r="I20" s="110">
        <v>0</v>
      </c>
      <c r="J20" s="109">
        <f>SUM(I20+'Draw #11'!J20)</f>
        <v>0</v>
      </c>
      <c r="K20" s="101" t="str">
        <f t="shared" si="1"/>
        <v/>
      </c>
      <c r="L20" s="9"/>
      <c r="M20" s="9"/>
    </row>
    <row r="21" spans="1:13" ht="14.1" customHeight="1">
      <c r="A21" s="4">
        <f>'SCHEDULE OF VALUE WORKSHEET'!A18</f>
        <v>12</v>
      </c>
      <c r="B21" s="142" t="str">
        <f>'SCHEDULE OF VALUE WORKSHEET'!B18</f>
        <v>Structural Engineer</v>
      </c>
      <c r="C21" s="143"/>
      <c r="D21" s="104">
        <f>SUM('SCHEDULE OF VALUE WORKSHEET'!E18)</f>
        <v>0</v>
      </c>
      <c r="E21" s="104">
        <f>SUM('Draw #11'!E21:F21)</f>
        <v>0</v>
      </c>
      <c r="F21" s="105">
        <v>0</v>
      </c>
      <c r="G21" s="104">
        <f>SUM('Draw #11'!G21)+F21</f>
        <v>0</v>
      </c>
      <c r="H21" s="109">
        <f t="shared" si="0"/>
        <v>0</v>
      </c>
      <c r="I21" s="110">
        <v>0</v>
      </c>
      <c r="J21" s="109">
        <f>SUM(I21+'Draw #11'!J21)</f>
        <v>0</v>
      </c>
      <c r="K21" s="101" t="str">
        <f t="shared" si="1"/>
        <v/>
      </c>
      <c r="L21" s="9"/>
      <c r="M21" s="9"/>
    </row>
    <row r="22" spans="1:13" ht="14.1" customHeight="1">
      <c r="A22" s="4">
        <f>'SCHEDULE OF VALUE WORKSHEET'!A19</f>
        <v>13</v>
      </c>
      <c r="B22" s="142" t="str">
        <f>'SCHEDULE OF VALUE WORKSHEET'!B19</f>
        <v>Structural Observation</v>
      </c>
      <c r="C22" s="143"/>
      <c r="D22" s="104">
        <f>SUM('SCHEDULE OF VALUE WORKSHEET'!E19)</f>
        <v>8000</v>
      </c>
      <c r="E22" s="104">
        <f>SUM('Draw #11'!E22:F22)</f>
        <v>0</v>
      </c>
      <c r="F22" s="105">
        <v>0</v>
      </c>
      <c r="G22" s="104">
        <f>SUM('Draw #11'!G22)+F22</f>
        <v>8000</v>
      </c>
      <c r="H22" s="109">
        <f t="shared" si="0"/>
        <v>8000</v>
      </c>
      <c r="I22" s="110">
        <v>0</v>
      </c>
      <c r="J22" s="109">
        <f>SUM(I22+'Draw #11'!J22)</f>
        <v>0</v>
      </c>
      <c r="K22" s="101" t="str">
        <f t="shared" si="1"/>
        <v/>
      </c>
      <c r="L22" s="9"/>
      <c r="M22" s="9"/>
    </row>
    <row r="23" spans="1:13" ht="14.1" customHeight="1">
      <c r="A23" s="4">
        <f>'SCHEDULE OF VALUE WORKSHEET'!A20</f>
        <v>14</v>
      </c>
      <c r="B23" s="142" t="str">
        <f>'SCHEDULE OF VALUE WORKSHEET'!B20</f>
        <v>Civil Engineering</v>
      </c>
      <c r="C23" s="143"/>
      <c r="D23" s="104">
        <f>SUM('SCHEDULE OF VALUE WORKSHEET'!E20)</f>
        <v>0</v>
      </c>
      <c r="E23" s="104">
        <f>SUM('Draw #11'!E23:F23)</f>
        <v>0</v>
      </c>
      <c r="F23" s="105">
        <v>0</v>
      </c>
      <c r="G23" s="104">
        <f>SUM('Draw #11'!G23)+F23</f>
        <v>0</v>
      </c>
      <c r="H23" s="109">
        <f t="shared" si="0"/>
        <v>0</v>
      </c>
      <c r="I23" s="110">
        <v>0</v>
      </c>
      <c r="J23" s="109">
        <f>SUM(I23+'Draw #11'!J23)</f>
        <v>0</v>
      </c>
      <c r="K23" s="101" t="str">
        <f t="shared" si="1"/>
        <v/>
      </c>
      <c r="L23" s="9"/>
      <c r="M23" s="9"/>
    </row>
    <row r="24" spans="1:13" ht="14.1" customHeight="1">
      <c r="A24" s="4">
        <f>'SCHEDULE OF VALUE WORKSHEET'!A21</f>
        <v>15</v>
      </c>
      <c r="B24" s="142" t="str">
        <f>'SCHEDULE OF VALUE WORKSHEET'!B21</f>
        <v>Grading Permit</v>
      </c>
      <c r="C24" s="143"/>
      <c r="D24" s="104">
        <f>SUM('SCHEDULE OF VALUE WORKSHEET'!E21)</f>
        <v>0</v>
      </c>
      <c r="E24" s="104">
        <f>SUM('Draw #11'!E24:F24)</f>
        <v>0</v>
      </c>
      <c r="F24" s="105">
        <v>0</v>
      </c>
      <c r="G24" s="104">
        <f>SUM('Draw #11'!G24)+F24</f>
        <v>0</v>
      </c>
      <c r="H24" s="109">
        <f t="shared" si="0"/>
        <v>0</v>
      </c>
      <c r="I24" s="110">
        <v>0</v>
      </c>
      <c r="J24" s="109">
        <f>SUM(I24+'Draw #11'!J24)</f>
        <v>0</v>
      </c>
      <c r="K24" s="101" t="str">
        <f t="shared" si="1"/>
        <v/>
      </c>
      <c r="L24" s="9"/>
      <c r="M24" s="9"/>
    </row>
    <row r="25" spans="1:13" ht="14.1" customHeight="1">
      <c r="A25" s="4">
        <f>'SCHEDULE OF VALUE WORKSHEET'!A22</f>
        <v>16</v>
      </c>
      <c r="B25" s="142" t="str">
        <f>'SCHEDULE OF VALUE WORKSHEET'!B22</f>
        <v>Landscape Architect/Designer</v>
      </c>
      <c r="C25" s="143"/>
      <c r="D25" s="104">
        <f>SUM('SCHEDULE OF VALUE WORKSHEET'!E22)</f>
        <v>0</v>
      </c>
      <c r="E25" s="104">
        <f>SUM('Draw #11'!E25:F25)</f>
        <v>0</v>
      </c>
      <c r="F25" s="105">
        <v>0</v>
      </c>
      <c r="G25" s="104">
        <f>SUM('Draw #11'!G25)+F25</f>
        <v>0</v>
      </c>
      <c r="H25" s="109">
        <f t="shared" si="0"/>
        <v>0</v>
      </c>
      <c r="I25" s="110">
        <v>0</v>
      </c>
      <c r="J25" s="109">
        <f>SUM(I25+'Draw #11'!J25)</f>
        <v>0</v>
      </c>
      <c r="K25" s="101" t="str">
        <f t="shared" si="1"/>
        <v/>
      </c>
      <c r="L25" s="9"/>
      <c r="M25" s="9"/>
    </row>
    <row r="26" spans="1:13" ht="14.1" customHeight="1">
      <c r="A26" s="4">
        <f>'SCHEDULE OF VALUE WORKSHEET'!A23</f>
        <v>17</v>
      </c>
      <c r="B26" s="142" t="str">
        <f>'SCHEDULE OF VALUE WORKSHEET'!B23</f>
        <v>Driveway Apron Permit</v>
      </c>
      <c r="C26" s="143"/>
      <c r="D26" s="104">
        <f>SUM('SCHEDULE OF VALUE WORKSHEET'!E23)</f>
        <v>2500</v>
      </c>
      <c r="E26" s="104">
        <f>SUM('Draw #11'!E26:F26)</f>
        <v>0</v>
      </c>
      <c r="F26" s="105">
        <v>0</v>
      </c>
      <c r="G26" s="104">
        <f>SUM('Draw #11'!G26)+F26</f>
        <v>2500</v>
      </c>
      <c r="H26" s="109">
        <f t="shared" si="0"/>
        <v>2500</v>
      </c>
      <c r="I26" s="110">
        <v>0</v>
      </c>
      <c r="J26" s="109">
        <f>SUM(I26+'Draw #11'!J26)</f>
        <v>0</v>
      </c>
      <c r="K26" s="101" t="str">
        <f t="shared" si="1"/>
        <v/>
      </c>
      <c r="L26" s="9"/>
      <c r="M26" s="9"/>
    </row>
    <row r="27" spans="1:13" ht="14.1" customHeight="1">
      <c r="A27" s="4">
        <f>'SCHEDULE OF VALUE WORKSHEET'!A24</f>
        <v>18</v>
      </c>
      <c r="B27" s="142" t="str">
        <f>'SCHEDULE OF VALUE WORKSHEET'!B24</f>
        <v>Punch List - Misc.</v>
      </c>
      <c r="C27" s="143"/>
      <c r="D27" s="104">
        <f>SUM('SCHEDULE OF VALUE WORKSHEET'!E24)</f>
        <v>21962.77</v>
      </c>
      <c r="E27" s="104">
        <f>SUM('Draw #11'!E27:F27)</f>
        <v>0</v>
      </c>
      <c r="F27" s="105">
        <v>0</v>
      </c>
      <c r="G27" s="104">
        <f>SUM('Draw #11'!G27)+F27</f>
        <v>21962.77</v>
      </c>
      <c r="H27" s="109">
        <f t="shared" si="0"/>
        <v>21962.77</v>
      </c>
      <c r="I27" s="110">
        <v>0</v>
      </c>
      <c r="J27" s="109">
        <f>SUM(I27+'Draw #11'!J27)</f>
        <v>0</v>
      </c>
      <c r="K27" s="101" t="str">
        <f t="shared" si="1"/>
        <v/>
      </c>
      <c r="L27" s="9"/>
      <c r="M27" s="9"/>
    </row>
    <row r="28" spans="1:13" ht="14.1" customHeight="1">
      <c r="A28" s="4">
        <f>'SCHEDULE OF VALUE WORKSHEET'!A25</f>
        <v>19</v>
      </c>
      <c r="B28" s="142" t="str">
        <f>'SCHEDULE OF VALUE WORKSHEET'!B25</f>
        <v>EBM, Low Voltage, Landscape, Waterproofing CA</v>
      </c>
      <c r="C28" s="143"/>
      <c r="D28" s="104">
        <f>SUM('SCHEDULE OF VALUE WORKSHEET'!E25)</f>
        <v>0</v>
      </c>
      <c r="E28" s="104">
        <f>SUM('Draw #11'!E28:F28)</f>
        <v>0</v>
      </c>
      <c r="F28" s="105">
        <v>0</v>
      </c>
      <c r="G28" s="104">
        <f>SUM('Draw #11'!G28)+F28</f>
        <v>0</v>
      </c>
      <c r="H28" s="109">
        <f t="shared" si="0"/>
        <v>0</v>
      </c>
      <c r="I28" s="110">
        <v>0</v>
      </c>
      <c r="J28" s="109">
        <f>SUM(I28+'Draw #11'!J28)</f>
        <v>0</v>
      </c>
      <c r="K28" s="101" t="str">
        <f t="shared" si="1"/>
        <v/>
      </c>
      <c r="L28" s="9"/>
      <c r="M28" s="9"/>
    </row>
    <row r="29" spans="1:13" ht="14.1" customHeight="1">
      <c r="A29" s="4">
        <f>'SCHEDULE OF VALUE WORKSHEET'!A26</f>
        <v>20</v>
      </c>
      <c r="B29" s="142" t="str">
        <f>'SCHEDULE OF VALUE WORKSHEET'!B26</f>
        <v>Project Accounting/Tax Filing</v>
      </c>
      <c r="C29" s="143"/>
      <c r="D29" s="104">
        <f>SUM('SCHEDULE OF VALUE WORKSHEET'!E26)</f>
        <v>12994.01</v>
      </c>
      <c r="E29" s="104">
        <f>SUM('Draw #11'!E29:F29)</f>
        <v>0</v>
      </c>
      <c r="F29" s="105">
        <v>0</v>
      </c>
      <c r="G29" s="104">
        <f>SUM('Draw #11'!G29)+F29</f>
        <v>12994.01</v>
      </c>
      <c r="H29" s="109">
        <f t="shared" si="0"/>
        <v>12994.01</v>
      </c>
      <c r="I29" s="110">
        <v>0</v>
      </c>
      <c r="J29" s="109">
        <f>SUM(I29+'Draw #11'!J29)</f>
        <v>0</v>
      </c>
      <c r="K29" s="101" t="str">
        <f t="shared" si="1"/>
        <v/>
      </c>
      <c r="L29" s="9"/>
      <c r="M29" s="9"/>
    </row>
    <row r="30" spans="1:13" ht="14.1" customHeight="1">
      <c r="A30" s="4">
        <f>'SCHEDULE OF VALUE WORKSHEET'!A27</f>
        <v>21</v>
      </c>
      <c r="B30" s="142" t="str">
        <f>'SCHEDULE OF VALUE WORKSHEET'!B27</f>
        <v>Legal &amp; Professional Fees</v>
      </c>
      <c r="C30" s="143"/>
      <c r="D30" s="104">
        <f>SUM('SCHEDULE OF VALUE WORKSHEET'!E27)</f>
        <v>873.38999999999942</v>
      </c>
      <c r="E30" s="104">
        <f>SUM('Draw #11'!E30:F30)</f>
        <v>0</v>
      </c>
      <c r="F30" s="105">
        <v>0</v>
      </c>
      <c r="G30" s="104">
        <f>SUM('Draw #11'!G30)+F30</f>
        <v>873.38999999999942</v>
      </c>
      <c r="H30" s="109">
        <f t="shared" si="0"/>
        <v>873.38999999999942</v>
      </c>
      <c r="I30" s="110">
        <v>0</v>
      </c>
      <c r="J30" s="109">
        <f>SUM(I30+'Draw #11'!J30)</f>
        <v>0</v>
      </c>
      <c r="K30" s="101" t="str">
        <f t="shared" si="1"/>
        <v/>
      </c>
      <c r="L30" s="9"/>
      <c r="M30" s="9"/>
    </row>
    <row r="31" spans="1:13" ht="14.1" customHeight="1">
      <c r="A31" s="4">
        <f>'SCHEDULE OF VALUE WORKSHEET'!A28</f>
        <v>22</v>
      </c>
      <c r="B31" s="142" t="str">
        <f>'SCHEDULE OF VALUE WORKSHEET'!B28</f>
        <v>Sewer CCTV and inspection</v>
      </c>
      <c r="C31" s="143"/>
      <c r="D31" s="104">
        <f>SUM('SCHEDULE OF VALUE WORKSHEET'!E28)</f>
        <v>0</v>
      </c>
      <c r="E31" s="104">
        <f>SUM('Draw #11'!E31:F31)</f>
        <v>0</v>
      </c>
      <c r="F31" s="105">
        <v>0</v>
      </c>
      <c r="G31" s="104">
        <f>SUM('Draw #11'!G31)+F31</f>
        <v>0</v>
      </c>
      <c r="H31" s="109">
        <f t="shared" si="0"/>
        <v>0</v>
      </c>
      <c r="I31" s="110">
        <v>0</v>
      </c>
      <c r="J31" s="109">
        <f>SUM(I31+'Draw #11'!J31)</f>
        <v>0</v>
      </c>
      <c r="K31" s="101" t="str">
        <f t="shared" si="1"/>
        <v/>
      </c>
      <c r="L31" s="9"/>
      <c r="M31" s="9"/>
    </row>
    <row r="32" spans="1:13" ht="14.1" customHeight="1">
      <c r="A32" s="4">
        <f>'SCHEDULE OF VALUE WORKSHEET'!A29</f>
        <v>23</v>
      </c>
      <c r="B32" s="142" t="str">
        <f>'SCHEDULE OF VALUE WORKSHEET'!B29</f>
        <v>Environmental Phase I</v>
      </c>
      <c r="C32" s="143"/>
      <c r="D32" s="104">
        <f>SUM('SCHEDULE OF VALUE WORKSHEET'!E29)</f>
        <v>0</v>
      </c>
      <c r="E32" s="104">
        <f>SUM('Draw #11'!E32:F32)</f>
        <v>0</v>
      </c>
      <c r="F32" s="105">
        <v>0</v>
      </c>
      <c r="G32" s="104">
        <f>SUM('Draw #11'!G32)+F32</f>
        <v>0</v>
      </c>
      <c r="H32" s="109">
        <f t="shared" si="0"/>
        <v>0</v>
      </c>
      <c r="I32" s="110">
        <v>0</v>
      </c>
      <c r="J32" s="109">
        <f>SUM(I32+'Draw #11'!J32)</f>
        <v>0</v>
      </c>
      <c r="K32" s="101" t="str">
        <f t="shared" si="1"/>
        <v/>
      </c>
      <c r="L32" s="9"/>
      <c r="M32" s="9"/>
    </row>
    <row r="33" spans="1:13" ht="14.1" customHeight="1">
      <c r="A33" s="4">
        <f>'SCHEDULE OF VALUE WORKSHEET'!A30</f>
        <v>24</v>
      </c>
      <c r="B33" s="142" t="str">
        <f>'SCHEDULE OF VALUE WORKSHEET'!B30</f>
        <v>Dry Utility Consultant</v>
      </c>
      <c r="C33" s="143"/>
      <c r="D33" s="104">
        <f>SUM('SCHEDULE OF VALUE WORKSHEET'!E30)</f>
        <v>0</v>
      </c>
      <c r="E33" s="104">
        <f>SUM('Draw #11'!E33:F33)</f>
        <v>0</v>
      </c>
      <c r="F33" s="105">
        <v>0</v>
      </c>
      <c r="G33" s="104">
        <f>SUM('Draw #11'!G33)+F33</f>
        <v>0</v>
      </c>
      <c r="H33" s="109">
        <f t="shared" si="0"/>
        <v>0</v>
      </c>
      <c r="I33" s="110">
        <v>0</v>
      </c>
      <c r="J33" s="109">
        <f>SUM(I33+'Draw #11'!J33)</f>
        <v>0</v>
      </c>
      <c r="K33" s="101" t="str">
        <f t="shared" si="1"/>
        <v/>
      </c>
      <c r="L33" s="9"/>
      <c r="M33" s="9"/>
    </row>
    <row r="34" spans="1:13" ht="14.1" customHeight="1">
      <c r="A34" s="4">
        <f>'SCHEDULE OF VALUE WORKSHEET'!A31</f>
        <v>25</v>
      </c>
      <c r="B34" s="142" t="str">
        <f>'SCHEDULE OF VALUE WORKSHEET'!B31</f>
        <v>Dry Utility Survey</v>
      </c>
      <c r="C34" s="143"/>
      <c r="D34" s="104">
        <f>SUM('SCHEDULE OF VALUE WORKSHEET'!E31)</f>
        <v>5000</v>
      </c>
      <c r="E34" s="104">
        <f>SUM('Draw #11'!E34:F34)</f>
        <v>0</v>
      </c>
      <c r="F34" s="105">
        <v>0</v>
      </c>
      <c r="G34" s="104">
        <f>SUM('Draw #11'!G34)+F34</f>
        <v>5000</v>
      </c>
      <c r="H34" s="109">
        <f t="shared" si="0"/>
        <v>5000</v>
      </c>
      <c r="I34" s="110">
        <v>0</v>
      </c>
      <c r="J34" s="109">
        <f>SUM(I34+'Draw #11'!J34)</f>
        <v>0</v>
      </c>
      <c r="K34" s="101" t="str">
        <f t="shared" si="1"/>
        <v/>
      </c>
      <c r="L34" s="9"/>
      <c r="M34" s="9"/>
    </row>
    <row r="35" spans="1:13" ht="14.1" customHeight="1">
      <c r="A35" s="4">
        <f>'SCHEDULE OF VALUE WORKSHEET'!A32</f>
        <v>26</v>
      </c>
      <c r="B35" s="142" t="str">
        <f>'SCHEDULE OF VALUE WORKSHEET'!B32</f>
        <v>MEP</v>
      </c>
      <c r="C35" s="143"/>
      <c r="D35" s="104">
        <f>SUM('SCHEDULE OF VALUE WORKSHEET'!E32)</f>
        <v>0</v>
      </c>
      <c r="E35" s="104">
        <f>SUM('Draw #11'!E35:F35)</f>
        <v>0</v>
      </c>
      <c r="F35" s="105">
        <v>0</v>
      </c>
      <c r="G35" s="104">
        <f>SUM('Draw #11'!G35)+F35</f>
        <v>0</v>
      </c>
      <c r="H35" s="109">
        <f t="shared" si="0"/>
        <v>0</v>
      </c>
      <c r="I35" s="110">
        <v>0</v>
      </c>
      <c r="J35" s="109">
        <f>SUM(I35+'Draw #11'!J35)</f>
        <v>0</v>
      </c>
      <c r="K35" s="101" t="str">
        <f t="shared" si="1"/>
        <v/>
      </c>
      <c r="L35" s="9"/>
      <c r="M35" s="9"/>
    </row>
    <row r="36" spans="1:13" ht="14.1" customHeight="1">
      <c r="A36" s="4">
        <f>'SCHEDULE OF VALUE WORKSHEET'!A33</f>
        <v>27</v>
      </c>
      <c r="B36" s="142" t="str">
        <f>'SCHEDULE OF VALUE WORKSHEET'!B33</f>
        <v>Civil Construction Administration</v>
      </c>
      <c r="C36" s="143"/>
      <c r="D36" s="104">
        <f>SUM('SCHEDULE OF VALUE WORKSHEET'!E33)</f>
        <v>5000</v>
      </c>
      <c r="E36" s="104">
        <f>SUM('Draw #11'!E36:F36)</f>
        <v>0</v>
      </c>
      <c r="F36" s="105">
        <v>0</v>
      </c>
      <c r="G36" s="104">
        <f>SUM('Draw #11'!G36)+F36</f>
        <v>5000</v>
      </c>
      <c r="H36" s="109">
        <f t="shared" si="0"/>
        <v>5000</v>
      </c>
      <c r="I36" s="110">
        <v>0</v>
      </c>
      <c r="J36" s="109">
        <f>SUM(I36+'Draw #11'!J36)</f>
        <v>0</v>
      </c>
      <c r="K36" s="101" t="str">
        <f t="shared" si="1"/>
        <v/>
      </c>
      <c r="L36" s="9"/>
      <c r="M36" s="9"/>
    </row>
    <row r="37" spans="1:13" ht="14.1" customHeight="1">
      <c r="A37" s="4">
        <f>'SCHEDULE OF VALUE WORKSHEET'!A34</f>
        <v>28</v>
      </c>
      <c r="B37" s="142" t="str">
        <f>'SCHEDULE OF VALUE WORKSHEET'!B34</f>
        <v>Permit Clearances &amp; Agency Reviews</v>
      </c>
      <c r="C37" s="143"/>
      <c r="D37" s="104">
        <f>SUM('SCHEDULE OF VALUE WORKSHEET'!E34)</f>
        <v>0</v>
      </c>
      <c r="E37" s="104">
        <f>SUM('Draw #11'!E37:F37)</f>
        <v>0</v>
      </c>
      <c r="F37" s="105">
        <v>0</v>
      </c>
      <c r="G37" s="104">
        <f>SUM('Draw #11'!G37)+F37</f>
        <v>0</v>
      </c>
      <c r="H37" s="109">
        <f t="shared" si="0"/>
        <v>0</v>
      </c>
      <c r="I37" s="110">
        <v>0</v>
      </c>
      <c r="J37" s="109">
        <f>SUM(I37+'Draw #11'!J37)</f>
        <v>0</v>
      </c>
      <c r="K37" s="101" t="str">
        <f t="shared" si="1"/>
        <v/>
      </c>
      <c r="L37" s="9"/>
      <c r="M37" s="9"/>
    </row>
    <row r="38" spans="1:13" ht="14.1" customHeight="1">
      <c r="A38" s="4">
        <f>'SCHEDULE OF VALUE WORKSHEET'!A35</f>
        <v>29</v>
      </c>
      <c r="B38" s="142" t="str">
        <f>'SCHEDULE OF VALUE WORKSHEET'!B35</f>
        <v>Demo Permit Fees</v>
      </c>
      <c r="C38" s="143"/>
      <c r="D38" s="104">
        <f>SUM('SCHEDULE OF VALUE WORKSHEET'!E35)</f>
        <v>500</v>
      </c>
      <c r="E38" s="104">
        <f>SUM('Draw #11'!E38:F38)</f>
        <v>0</v>
      </c>
      <c r="F38" s="105">
        <v>0</v>
      </c>
      <c r="G38" s="104">
        <f>SUM('Draw #11'!G38)+F38</f>
        <v>500</v>
      </c>
      <c r="H38" s="109">
        <f t="shared" si="0"/>
        <v>500</v>
      </c>
      <c r="I38" s="110">
        <v>0</v>
      </c>
      <c r="J38" s="109">
        <f>SUM(I38+'Draw #11'!J38)</f>
        <v>0</v>
      </c>
      <c r="K38" s="101" t="str">
        <f t="shared" si="1"/>
        <v/>
      </c>
      <c r="L38" s="9"/>
      <c r="M38" s="9"/>
    </row>
    <row r="39" spans="1:13" ht="14.1" customHeight="1">
      <c r="A39" s="4">
        <f>'SCHEDULE OF VALUE WORKSHEET'!A36</f>
        <v>30</v>
      </c>
      <c r="B39" s="142" t="str">
        <f>'SCHEDULE OF VALUE WORKSHEET'!B36</f>
        <v>MEP Fees</v>
      </c>
      <c r="C39" s="143"/>
      <c r="D39" s="104">
        <f>SUM('SCHEDULE OF VALUE WORKSHEET'!E36)</f>
        <v>0</v>
      </c>
      <c r="E39" s="104">
        <f>SUM('Draw #11'!E39:F39)</f>
        <v>0</v>
      </c>
      <c r="F39" s="105">
        <v>0</v>
      </c>
      <c r="G39" s="104">
        <f>SUM('Draw #11'!G39)+F39</f>
        <v>0</v>
      </c>
      <c r="H39" s="109">
        <f t="shared" si="0"/>
        <v>0</v>
      </c>
      <c r="I39" s="110">
        <v>0</v>
      </c>
      <c r="J39" s="109">
        <f>SUM(I39+'Draw #11'!J39)</f>
        <v>0</v>
      </c>
      <c r="K39" s="101" t="str">
        <f t="shared" si="1"/>
        <v/>
      </c>
      <c r="L39" s="9"/>
      <c r="M39" s="9"/>
    </row>
    <row r="40" spans="1:13" ht="14.1" customHeight="1">
      <c r="A40" s="4">
        <f>'SCHEDULE OF VALUE WORKSHEET'!A37</f>
        <v>31</v>
      </c>
      <c r="B40" s="142" t="str">
        <f>'SCHEDULE OF VALUE WORKSHEET'!B37</f>
        <v>Agency Signoffs</v>
      </c>
      <c r="C40" s="143"/>
      <c r="D40" s="104">
        <f>SUM('SCHEDULE OF VALUE WORKSHEET'!E37)</f>
        <v>0</v>
      </c>
      <c r="E40" s="104">
        <f>SUM('Draw #11'!E40:F40)</f>
        <v>0</v>
      </c>
      <c r="F40" s="105">
        <v>0</v>
      </c>
      <c r="G40" s="104">
        <f>SUM('Draw #11'!G40)+F40</f>
        <v>0</v>
      </c>
      <c r="H40" s="109">
        <f t="shared" si="0"/>
        <v>0</v>
      </c>
      <c r="I40" s="110">
        <v>0</v>
      </c>
      <c r="J40" s="109">
        <f>SUM(I40+'Draw #11'!J40)</f>
        <v>0</v>
      </c>
      <c r="K40" s="101" t="str">
        <f t="shared" si="1"/>
        <v/>
      </c>
      <c r="L40" s="9"/>
      <c r="M40" s="9"/>
    </row>
    <row r="41" spans="1:13" ht="14.1" customHeight="1">
      <c r="A41" s="4">
        <f>'SCHEDULE OF VALUE WORKSHEET'!A38</f>
        <v>32</v>
      </c>
      <c r="B41" s="142" t="str">
        <f>'SCHEDULE OF VALUE WORKSHEET'!B38</f>
        <v>Specifications Writer Consultant</v>
      </c>
      <c r="C41" s="143"/>
      <c r="D41" s="104">
        <f>SUM('SCHEDULE OF VALUE WORKSHEET'!E38)</f>
        <v>2000</v>
      </c>
      <c r="E41" s="104">
        <f>SUM('Draw #11'!E41:F41)</f>
        <v>0</v>
      </c>
      <c r="F41" s="105">
        <v>0</v>
      </c>
      <c r="G41" s="104">
        <f>SUM('Draw #11'!G41)+F41</f>
        <v>2000</v>
      </c>
      <c r="H41" s="109">
        <f t="shared" si="0"/>
        <v>2000</v>
      </c>
      <c r="I41" s="110">
        <v>0</v>
      </c>
      <c r="J41" s="109">
        <f>SUM(I41+'Draw #11'!J41)</f>
        <v>0</v>
      </c>
      <c r="K41" s="101" t="str">
        <f t="shared" si="1"/>
        <v/>
      </c>
      <c r="L41" s="9"/>
      <c r="M41" s="9"/>
    </row>
    <row r="42" spans="1:13" ht="14.1" customHeight="1">
      <c r="A42" s="4">
        <f>'SCHEDULE OF VALUE WORKSHEET'!A39</f>
        <v>33</v>
      </c>
      <c r="B42" s="142" t="str">
        <f>'SCHEDULE OF VALUE WORKSHEET'!B39</f>
        <v>Construction Consultant</v>
      </c>
      <c r="C42" s="143"/>
      <c r="D42" s="104">
        <f>SUM('SCHEDULE OF VALUE WORKSHEET'!E39)</f>
        <v>0</v>
      </c>
      <c r="E42" s="104">
        <f>SUM('Draw #11'!E42:F42)</f>
        <v>0</v>
      </c>
      <c r="F42" s="105">
        <v>0</v>
      </c>
      <c r="G42" s="104">
        <f>SUM('Draw #11'!G42)+F42</f>
        <v>0</v>
      </c>
      <c r="H42" s="109">
        <f t="shared" si="0"/>
        <v>0</v>
      </c>
      <c r="I42" s="110">
        <v>0</v>
      </c>
      <c r="J42" s="109">
        <f>SUM(I42+'Draw #11'!J42)</f>
        <v>0</v>
      </c>
      <c r="K42" s="101" t="str">
        <f t="shared" si="1"/>
        <v/>
      </c>
      <c r="L42" s="9"/>
      <c r="M42" s="9"/>
    </row>
    <row r="43" spans="1:13" ht="14.1" customHeight="1">
      <c r="A43" s="4">
        <f>'SCHEDULE OF VALUE WORKSHEET'!A40</f>
        <v>34</v>
      </c>
      <c r="B43" s="142" t="str">
        <f>'SCHEDULE OF VALUE WORKSHEET'!B40</f>
        <v>Low Voltage Consultant</v>
      </c>
      <c r="C43" s="143"/>
      <c r="D43" s="104">
        <f>SUM('SCHEDULE OF VALUE WORKSHEET'!E40)</f>
        <v>15524</v>
      </c>
      <c r="E43" s="104">
        <f>SUM('Draw #11'!E43:F43)</f>
        <v>0</v>
      </c>
      <c r="F43" s="105">
        <v>0</v>
      </c>
      <c r="G43" s="104">
        <f>SUM('Draw #11'!G43)+F43</f>
        <v>15524</v>
      </c>
      <c r="H43" s="109">
        <f t="shared" si="0"/>
        <v>15524</v>
      </c>
      <c r="I43" s="110">
        <v>0</v>
      </c>
      <c r="J43" s="109">
        <f>SUM(I43+'Draw #11'!J43)</f>
        <v>0</v>
      </c>
      <c r="K43" s="101" t="str">
        <f t="shared" si="1"/>
        <v/>
      </c>
      <c r="L43" s="9"/>
      <c r="M43" s="9"/>
    </row>
    <row r="44" spans="1:13" ht="14.1" customHeight="1">
      <c r="A44" s="4">
        <f>'SCHEDULE OF VALUE WORKSHEET'!A41</f>
        <v>35</v>
      </c>
      <c r="B44" s="142" t="str">
        <f>'SCHEDULE OF VALUE WORKSHEET'!B41</f>
        <v>Photovoltaic Consultant</v>
      </c>
      <c r="C44" s="143"/>
      <c r="D44" s="104">
        <f>SUM('SCHEDULE OF VALUE WORKSHEET'!E41)</f>
        <v>5000</v>
      </c>
      <c r="E44" s="104">
        <f>SUM('Draw #11'!E44:F44)</f>
        <v>0</v>
      </c>
      <c r="F44" s="105">
        <v>0</v>
      </c>
      <c r="G44" s="104">
        <f>SUM('Draw #11'!G44)+F44</f>
        <v>5000</v>
      </c>
      <c r="H44" s="109">
        <f t="shared" si="0"/>
        <v>5000</v>
      </c>
      <c r="I44" s="110">
        <v>0</v>
      </c>
      <c r="J44" s="109">
        <f>SUM(I44+'Draw #11'!J44)</f>
        <v>0</v>
      </c>
      <c r="K44" s="101" t="str">
        <f t="shared" si="1"/>
        <v/>
      </c>
      <c r="L44" s="9"/>
      <c r="M44" s="9"/>
    </row>
    <row r="45" spans="1:13" ht="14.1" customHeight="1">
      <c r="A45" s="4">
        <f>'SCHEDULE OF VALUE WORKSHEET'!A42</f>
        <v>36</v>
      </c>
      <c r="B45" s="142" t="str">
        <f>'SCHEDULE OF VALUE WORKSHEET'!B42</f>
        <v>Construction Management / Observation (OO)</v>
      </c>
      <c r="C45" s="143"/>
      <c r="D45" s="104">
        <f>SUM('SCHEDULE OF VALUE WORKSHEET'!E42)</f>
        <v>49427.9</v>
      </c>
      <c r="E45" s="104">
        <f>SUM('Draw #11'!E45:F45)</f>
        <v>0</v>
      </c>
      <c r="F45" s="105">
        <v>0</v>
      </c>
      <c r="G45" s="104">
        <f>SUM('Draw #11'!G45)+F45</f>
        <v>49427.9</v>
      </c>
      <c r="H45" s="109">
        <f t="shared" si="0"/>
        <v>49427.9</v>
      </c>
      <c r="I45" s="110">
        <v>0</v>
      </c>
      <c r="J45" s="109">
        <f>SUM(I45+'Draw #11'!J45)</f>
        <v>0</v>
      </c>
      <c r="K45" s="101" t="str">
        <f t="shared" si="1"/>
        <v/>
      </c>
      <c r="L45" s="9"/>
      <c r="M45" s="9"/>
    </row>
    <row r="46" spans="1:13" ht="14.1" customHeight="1">
      <c r="A46" s="4" t="e">
        <f>'SCHEDULE OF VALUE WORKSHEET'!#REF!</f>
        <v>#REF!</v>
      </c>
      <c r="B46" s="142" t="e">
        <f>'SCHEDULE OF VALUE WORKSHEET'!#REF!</f>
        <v>#REF!</v>
      </c>
      <c r="C46" s="143"/>
      <c r="D46" s="104" t="e">
        <f>SUM('SCHEDULE OF VALUE WORKSHEET'!#REF!)</f>
        <v>#REF!</v>
      </c>
      <c r="E46" s="104">
        <f>SUM('Draw #11'!E46:F46)</f>
        <v>0</v>
      </c>
      <c r="F46" s="105">
        <v>0</v>
      </c>
      <c r="G46" s="104" t="e">
        <f>SUM('Draw #11'!G46)+F46</f>
        <v>#REF!</v>
      </c>
      <c r="H46" s="109" t="e">
        <f t="shared" si="0"/>
        <v>#REF!</v>
      </c>
      <c r="I46" s="110">
        <v>0</v>
      </c>
      <c r="J46" s="109">
        <f>SUM(I46+'Draw #11'!J46)</f>
        <v>0</v>
      </c>
      <c r="K46" s="101" t="str">
        <f t="shared" si="1"/>
        <v/>
      </c>
      <c r="L46" s="9"/>
      <c r="M46" s="9"/>
    </row>
    <row r="47" spans="1:13" ht="14.1" customHeight="1">
      <c r="A47" s="4">
        <f>'SCHEDULE OF VALUE WORKSHEET'!A43</f>
        <v>37</v>
      </c>
      <c r="B47" s="142" t="str">
        <f>'SCHEDULE OF VALUE WORKSHEET'!B43</f>
        <v>CMFA Startup Fee</v>
      </c>
      <c r="C47" s="143"/>
      <c r="D47" s="104">
        <f>SUM('SCHEDULE OF VALUE WORKSHEET'!E43)</f>
        <v>22800</v>
      </c>
      <c r="E47" s="104">
        <f>SUM('Draw #11'!E47:F47)</f>
        <v>0</v>
      </c>
      <c r="F47" s="105">
        <v>0</v>
      </c>
      <c r="G47" s="104">
        <f>SUM('Draw #11'!G47)+F47</f>
        <v>22800</v>
      </c>
      <c r="H47" s="109">
        <f t="shared" si="0"/>
        <v>22800</v>
      </c>
      <c r="I47" s="110">
        <v>0</v>
      </c>
      <c r="J47" s="109">
        <f>SUM(I47+'Draw #11'!J47)</f>
        <v>0</v>
      </c>
      <c r="K47" s="101" t="str">
        <f t="shared" si="1"/>
        <v/>
      </c>
      <c r="L47" s="9"/>
      <c r="M47" s="9"/>
    </row>
    <row r="48" spans="1:13" ht="14.1" customHeight="1">
      <c r="A48" s="4">
        <f>'SCHEDULE OF VALUE WORKSHEET'!A44</f>
        <v>38</v>
      </c>
      <c r="B48" s="142" t="str">
        <f>'SCHEDULE OF VALUE WORKSHEET'!B44</f>
        <v>Non-Profit Start Up Fee</v>
      </c>
      <c r="C48" s="143"/>
      <c r="D48" s="104">
        <f>SUM('SCHEDULE OF VALUE WORKSHEET'!E44)</f>
        <v>25000</v>
      </c>
      <c r="E48" s="104">
        <f>SUM('Draw #11'!E48:F48)</f>
        <v>0</v>
      </c>
      <c r="F48" s="105">
        <v>0</v>
      </c>
      <c r="G48" s="104">
        <f>SUM('Draw #11'!G48)+F48</f>
        <v>25000</v>
      </c>
      <c r="H48" s="109">
        <f t="shared" si="0"/>
        <v>25000</v>
      </c>
      <c r="I48" s="110">
        <v>0</v>
      </c>
      <c r="J48" s="109">
        <f>SUM(I48+'Draw #11'!J48)</f>
        <v>0</v>
      </c>
      <c r="K48" s="101" t="str">
        <f t="shared" si="1"/>
        <v/>
      </c>
      <c r="L48" s="9"/>
      <c r="M48" s="9"/>
    </row>
    <row r="49" spans="1:13" ht="14.1" customHeight="1">
      <c r="A49" s="4">
        <f>'SCHEDULE OF VALUE WORKSHEET'!A45</f>
        <v>39</v>
      </c>
      <c r="B49" s="142" t="str">
        <f>'SCHEDULE OF VALUE WORKSHEET'!B45</f>
        <v>CMFA Construction Fee</v>
      </c>
      <c r="C49" s="143"/>
      <c r="D49" s="104">
        <f>SUM('SCHEDULE OF VALUE WORKSHEET'!E45)</f>
        <v>12000</v>
      </c>
      <c r="E49" s="104">
        <f>SUM('Draw #11'!E49:F49)</f>
        <v>0</v>
      </c>
      <c r="F49" s="105">
        <v>0</v>
      </c>
      <c r="G49" s="104">
        <f>SUM('Draw #11'!G49)+F49</f>
        <v>12000</v>
      </c>
      <c r="H49" s="109">
        <f t="shared" si="0"/>
        <v>12000</v>
      </c>
      <c r="I49" s="110">
        <v>0</v>
      </c>
      <c r="J49" s="109">
        <f>SUM(I49+'Draw #11'!J49)</f>
        <v>0</v>
      </c>
      <c r="K49" s="101" t="str">
        <f t="shared" si="1"/>
        <v/>
      </c>
      <c r="L49" s="9"/>
      <c r="M49" s="9"/>
    </row>
    <row r="50" spans="1:13" ht="14.1" customHeight="1">
      <c r="A50" s="4">
        <f>'SCHEDULE OF VALUE WORKSHEET'!A46</f>
        <v>40</v>
      </c>
      <c r="B50" s="142" t="str">
        <f>'SCHEDULE OF VALUE WORKSHEET'!B46</f>
        <v>Non-Profit Construction Fee</v>
      </c>
      <c r="C50" s="143"/>
      <c r="D50" s="104">
        <f>SUM('SCHEDULE OF VALUE WORKSHEET'!E46)</f>
        <v>10000</v>
      </c>
      <c r="E50" s="104">
        <f>SUM('Draw #11'!E50:F50)</f>
        <v>0</v>
      </c>
      <c r="F50" s="105">
        <v>0</v>
      </c>
      <c r="G50" s="104">
        <f>SUM('Draw #11'!G50)+F50</f>
        <v>10000</v>
      </c>
      <c r="H50" s="109">
        <f t="shared" si="0"/>
        <v>10000</v>
      </c>
      <c r="I50" s="110">
        <v>0</v>
      </c>
      <c r="J50" s="109">
        <f>SUM(I50+'Draw #11'!J50)</f>
        <v>0</v>
      </c>
      <c r="K50" s="101" t="str">
        <f t="shared" si="1"/>
        <v/>
      </c>
      <c r="L50" s="9"/>
      <c r="M50" s="9"/>
    </row>
    <row r="51" spans="1:13" ht="14.1" customHeight="1">
      <c r="A51" s="4">
        <f>'SCHEDULE OF VALUE WORKSHEET'!A47</f>
        <v>41</v>
      </c>
      <c r="B51" s="142" t="str">
        <f>'SCHEDULE OF VALUE WORKSHEET'!B47</f>
        <v>WTE Legal Costs for CMFA &amp; Non-Profit Partner</v>
      </c>
      <c r="C51" s="143"/>
      <c r="D51" s="104">
        <f>SUM('SCHEDULE OF VALUE WORKSHEET'!E47)</f>
        <v>20000</v>
      </c>
      <c r="E51" s="104">
        <f>SUM('Draw #11'!E51:F51)</f>
        <v>0</v>
      </c>
      <c r="F51" s="105">
        <v>0</v>
      </c>
      <c r="G51" s="104">
        <f>SUM('Draw #11'!G51)+F51</f>
        <v>20000</v>
      </c>
      <c r="H51" s="109">
        <f t="shared" si="0"/>
        <v>20000</v>
      </c>
      <c r="I51" s="110">
        <v>0</v>
      </c>
      <c r="J51" s="109">
        <f>SUM(I51+'Draw #11'!J51)</f>
        <v>0</v>
      </c>
      <c r="K51" s="101" t="str">
        <f t="shared" si="1"/>
        <v/>
      </c>
      <c r="L51" s="9"/>
      <c r="M51" s="9"/>
    </row>
    <row r="52" spans="1:13" ht="14.1" customHeight="1">
      <c r="A52" s="4" t="e">
        <f>'SCHEDULE OF VALUE WORKSHEET'!#REF!</f>
        <v>#REF!</v>
      </c>
      <c r="B52" s="142" t="e">
        <f>'SCHEDULE OF VALUE WORKSHEET'!#REF!</f>
        <v>#REF!</v>
      </c>
      <c r="C52" s="143"/>
      <c r="D52" s="104" t="e">
        <f>SUM('SCHEDULE OF VALUE WORKSHEET'!#REF!)</f>
        <v>#REF!</v>
      </c>
      <c r="E52" s="104">
        <f>SUM('Draw #11'!E52:F52)</f>
        <v>0</v>
      </c>
      <c r="F52" s="105">
        <v>0</v>
      </c>
      <c r="G52" s="104" t="e">
        <f>SUM('Draw #11'!G52)+F52</f>
        <v>#REF!</v>
      </c>
      <c r="H52" s="109" t="e">
        <f t="shared" si="0"/>
        <v>#REF!</v>
      </c>
      <c r="I52" s="110">
        <v>0</v>
      </c>
      <c r="J52" s="109">
        <f>SUM(I52+'Draw #11'!J52)</f>
        <v>0</v>
      </c>
      <c r="K52" s="101" t="str">
        <f t="shared" si="1"/>
        <v/>
      </c>
      <c r="L52" s="9"/>
      <c r="M52" s="9"/>
    </row>
    <row r="53" spans="1:13" ht="14.1" customHeight="1">
      <c r="A53" s="4">
        <f>'SCHEDULE OF VALUE WORKSHEET'!A49</f>
        <v>43</v>
      </c>
      <c r="B53" s="142" t="str">
        <f>'SCHEDULE OF VALUE WORKSHEET'!B49</f>
        <v>GENERAL CONDITIONS</v>
      </c>
      <c r="C53" s="143"/>
      <c r="D53" s="104">
        <f>SUM('SCHEDULE OF VALUE WORKSHEET'!E49)</f>
        <v>362115.24</v>
      </c>
      <c r="E53" s="104">
        <f>SUM('Draw #11'!E53:F53)</f>
        <v>0</v>
      </c>
      <c r="F53" s="105">
        <v>0</v>
      </c>
      <c r="G53" s="104">
        <f>SUM('Draw #11'!G53)+F53</f>
        <v>362115.24</v>
      </c>
      <c r="H53" s="109">
        <f t="shared" si="0"/>
        <v>362115.24</v>
      </c>
      <c r="I53" s="110">
        <v>0</v>
      </c>
      <c r="J53" s="109">
        <f>SUM(I53+'Draw #11'!J53)</f>
        <v>0</v>
      </c>
      <c r="K53" s="101" t="str">
        <f t="shared" si="1"/>
        <v/>
      </c>
      <c r="L53" s="9"/>
      <c r="M53" s="9"/>
    </row>
    <row r="54" spans="1:13" ht="14.1" customHeight="1">
      <c r="A54" s="4">
        <f>'SCHEDULE OF VALUE WORKSHEET'!A50</f>
        <v>44</v>
      </c>
      <c r="B54" s="142" t="str">
        <f>'SCHEDULE OF VALUE WORKSHEET'!B50</f>
        <v>GENERAL REQUIREMENT</v>
      </c>
      <c r="C54" s="143"/>
      <c r="D54" s="104">
        <f>SUM('SCHEDULE OF VALUE WORKSHEET'!E50)</f>
        <v>124657.88</v>
      </c>
      <c r="E54" s="104">
        <f>SUM('Draw #11'!E54:F54)</f>
        <v>0</v>
      </c>
      <c r="F54" s="105">
        <v>0</v>
      </c>
      <c r="G54" s="104">
        <f>SUM('Draw #11'!G54)+F54</f>
        <v>124657.88</v>
      </c>
      <c r="H54" s="109">
        <f t="shared" si="0"/>
        <v>124657.88</v>
      </c>
      <c r="I54" s="110">
        <v>0</v>
      </c>
      <c r="J54" s="109">
        <f>SUM(I54+'Draw #11'!J54)</f>
        <v>0</v>
      </c>
      <c r="K54" s="101" t="str">
        <f t="shared" si="1"/>
        <v/>
      </c>
      <c r="L54" s="9"/>
      <c r="M54" s="9"/>
    </row>
    <row r="55" spans="1:13" ht="14.1" customHeight="1">
      <c r="A55" s="4">
        <f>'SCHEDULE OF VALUE WORKSHEET'!A51</f>
        <v>45</v>
      </c>
      <c r="B55" s="142" t="str">
        <f>'SCHEDULE OF VALUE WORKSHEET'!B51</f>
        <v>SITE WORK</v>
      </c>
      <c r="C55" s="143"/>
      <c r="D55" s="104">
        <f>SUM('SCHEDULE OF VALUE WORKSHEET'!E51)</f>
        <v>139049.51</v>
      </c>
      <c r="E55" s="104">
        <f>SUM('Draw #11'!E55:F55)</f>
        <v>0</v>
      </c>
      <c r="F55" s="105">
        <v>0</v>
      </c>
      <c r="G55" s="104">
        <f>SUM('Draw #11'!G55)+F55</f>
        <v>139049.51</v>
      </c>
      <c r="H55" s="109">
        <f t="shared" si="0"/>
        <v>139049.51</v>
      </c>
      <c r="I55" s="110">
        <v>0</v>
      </c>
      <c r="J55" s="109">
        <f>SUM(I55+'Draw #11'!J55)</f>
        <v>0</v>
      </c>
      <c r="K55" s="101" t="str">
        <f t="shared" si="1"/>
        <v/>
      </c>
      <c r="L55" s="9"/>
      <c r="M55" s="9"/>
    </row>
    <row r="56" spans="1:13" ht="14.1" customHeight="1">
      <c r="A56" s="4">
        <f>'SCHEDULE OF VALUE WORKSHEET'!A52</f>
        <v>46</v>
      </c>
      <c r="B56" s="142" t="str">
        <f>'SCHEDULE OF VALUE WORKSHEET'!B52</f>
        <v>CONCRETE</v>
      </c>
      <c r="C56" s="143"/>
      <c r="D56" s="104">
        <f>SUM('SCHEDULE OF VALUE WORKSHEET'!E52)</f>
        <v>253182</v>
      </c>
      <c r="E56" s="104">
        <f>SUM('Draw #11'!E56:F56)</f>
        <v>0</v>
      </c>
      <c r="F56" s="105">
        <v>0</v>
      </c>
      <c r="G56" s="104">
        <f>SUM('Draw #11'!G56)+F56</f>
        <v>253182</v>
      </c>
      <c r="H56" s="109">
        <f t="shared" si="0"/>
        <v>253182</v>
      </c>
      <c r="I56" s="110">
        <v>0</v>
      </c>
      <c r="J56" s="109">
        <f>SUM(I56+'Draw #11'!J56)</f>
        <v>0</v>
      </c>
      <c r="K56" s="101" t="str">
        <f t="shared" si="1"/>
        <v/>
      </c>
      <c r="L56" s="9"/>
      <c r="M56" s="9"/>
    </row>
    <row r="57" spans="1:13" ht="14.1" customHeight="1">
      <c r="A57" s="4">
        <f>'SCHEDULE OF VALUE WORKSHEET'!A53</f>
        <v>47</v>
      </c>
      <c r="B57" s="142" t="str">
        <f>'SCHEDULE OF VALUE WORKSHEET'!B53</f>
        <v>MASONRY</v>
      </c>
      <c r="C57" s="143"/>
      <c r="D57" s="104">
        <f>SUM('SCHEDULE OF VALUE WORKSHEET'!E53)</f>
        <v>3562.64</v>
      </c>
      <c r="E57" s="104">
        <f>SUM('Draw #11'!E57:F57)</f>
        <v>0</v>
      </c>
      <c r="F57" s="105">
        <v>0</v>
      </c>
      <c r="G57" s="104">
        <f>SUM('Draw #11'!G57)+F57</f>
        <v>3562.64</v>
      </c>
      <c r="H57" s="109">
        <f t="shared" si="0"/>
        <v>3562.64</v>
      </c>
      <c r="I57" s="110">
        <v>0</v>
      </c>
      <c r="J57" s="109">
        <f>SUM(I57+'Draw #11'!J57)</f>
        <v>0</v>
      </c>
      <c r="K57" s="101" t="str">
        <f t="shared" si="1"/>
        <v/>
      </c>
      <c r="L57" s="9"/>
      <c r="M57" s="9"/>
    </row>
    <row r="58" spans="1:13" ht="14.1" customHeight="1">
      <c r="A58" s="4">
        <f>'SCHEDULE OF VALUE WORKSHEET'!A54</f>
        <v>48</v>
      </c>
      <c r="B58" s="142" t="str">
        <f>'SCHEDULE OF VALUE WORKSHEET'!B54</f>
        <v>METALS</v>
      </c>
      <c r="C58" s="143"/>
      <c r="D58" s="104">
        <f>SUM('SCHEDULE OF VALUE WORKSHEET'!E54)</f>
        <v>324100</v>
      </c>
      <c r="E58" s="104">
        <f>SUM('Draw #11'!E58:F58)</f>
        <v>0</v>
      </c>
      <c r="F58" s="105">
        <v>0</v>
      </c>
      <c r="G58" s="104">
        <f>SUM('Draw #11'!G58)+F58</f>
        <v>324100</v>
      </c>
      <c r="H58" s="109">
        <f t="shared" si="0"/>
        <v>324100</v>
      </c>
      <c r="I58" s="110">
        <v>0</v>
      </c>
      <c r="J58" s="109">
        <f>SUM(I58+'Draw #11'!J58)</f>
        <v>0</v>
      </c>
      <c r="K58" s="101" t="str">
        <f t="shared" si="1"/>
        <v/>
      </c>
      <c r="L58" s="9"/>
      <c r="M58" s="9"/>
    </row>
    <row r="59" spans="1:13" ht="14.1" customHeight="1">
      <c r="A59" s="4">
        <f>'SCHEDULE OF VALUE WORKSHEET'!A55</f>
        <v>49</v>
      </c>
      <c r="B59" s="142" t="str">
        <f>'SCHEDULE OF VALUE WORKSHEET'!B55</f>
        <v>FRAMING</v>
      </c>
      <c r="C59" s="143"/>
      <c r="D59" s="104">
        <f>SUM('SCHEDULE OF VALUE WORKSHEET'!E55)</f>
        <v>818554</v>
      </c>
      <c r="E59" s="104">
        <f>SUM('Draw #11'!E59:F59)</f>
        <v>0</v>
      </c>
      <c r="F59" s="105">
        <v>0</v>
      </c>
      <c r="G59" s="104">
        <f>SUM('Draw #11'!G59)+F59</f>
        <v>818554</v>
      </c>
      <c r="H59" s="109">
        <f t="shared" si="0"/>
        <v>818554</v>
      </c>
      <c r="I59" s="110">
        <v>0</v>
      </c>
      <c r="J59" s="109">
        <f>SUM(I59+'Draw #11'!J59)</f>
        <v>0</v>
      </c>
      <c r="K59" s="101" t="str">
        <f t="shared" si="1"/>
        <v/>
      </c>
      <c r="L59" s="9"/>
      <c r="M59" s="9"/>
    </row>
    <row r="60" spans="1:13" ht="14.1" customHeight="1">
      <c r="A60" s="4">
        <f>'SCHEDULE OF VALUE WORKSHEET'!A56</f>
        <v>50</v>
      </c>
      <c r="B60" s="142" t="str">
        <f>'SCHEDULE OF VALUE WORKSHEET'!B56</f>
        <v>COUNTERTOPS</v>
      </c>
      <c r="C60" s="143"/>
      <c r="D60" s="104">
        <f>SUM('SCHEDULE OF VALUE WORKSHEET'!E56)</f>
        <v>56930</v>
      </c>
      <c r="E60" s="104">
        <f>SUM('Draw #11'!E60:F60)</f>
        <v>0</v>
      </c>
      <c r="F60" s="105">
        <v>0</v>
      </c>
      <c r="G60" s="104">
        <f>SUM('Draw #11'!G60)+F60</f>
        <v>56930</v>
      </c>
      <c r="H60" s="109">
        <f t="shared" si="0"/>
        <v>56930</v>
      </c>
      <c r="I60" s="110">
        <v>0</v>
      </c>
      <c r="J60" s="109">
        <f>SUM(I60+'Draw #11'!J60)</f>
        <v>0</v>
      </c>
      <c r="K60" s="101" t="str">
        <f t="shared" si="1"/>
        <v/>
      </c>
      <c r="L60" s="9"/>
      <c r="M60" s="9"/>
    </row>
    <row r="61" spans="1:13" ht="14.1" customHeight="1">
      <c r="A61" s="4">
        <f>'SCHEDULE OF VALUE WORKSHEET'!A57</f>
        <v>51</v>
      </c>
      <c r="B61" s="142" t="str">
        <f>'SCHEDULE OF VALUE WORKSHEET'!B57</f>
        <v>CABINETS</v>
      </c>
      <c r="C61" s="143"/>
      <c r="D61" s="104">
        <f>SUM('SCHEDULE OF VALUE WORKSHEET'!E57)</f>
        <v>56930</v>
      </c>
      <c r="E61" s="104">
        <f>SUM('Draw #11'!E61:F61)</f>
        <v>0</v>
      </c>
      <c r="F61" s="105">
        <v>0</v>
      </c>
      <c r="G61" s="104">
        <f>SUM('Draw #11'!G61)+F61</f>
        <v>56930</v>
      </c>
      <c r="H61" s="109">
        <f t="shared" si="0"/>
        <v>56930</v>
      </c>
      <c r="I61" s="110">
        <v>0</v>
      </c>
      <c r="J61" s="109">
        <f>SUM(I61+'Draw #11'!J61)</f>
        <v>0</v>
      </c>
      <c r="K61" s="101" t="str">
        <f t="shared" si="1"/>
        <v/>
      </c>
      <c r="L61" s="9"/>
      <c r="M61" s="9"/>
    </row>
    <row r="62" spans="1:13" ht="14.1" customHeight="1">
      <c r="A62" s="4">
        <f>'SCHEDULE OF VALUE WORKSHEET'!A58</f>
        <v>52</v>
      </c>
      <c r="B62" s="142" t="str">
        <f>'SCHEDULE OF VALUE WORKSHEET'!B58</f>
        <v>THERMAL MOISTURE PROTECTION</v>
      </c>
      <c r="C62" s="143"/>
      <c r="D62" s="104">
        <f>SUM('SCHEDULE OF VALUE WORKSHEET'!E58)</f>
        <v>173148</v>
      </c>
      <c r="E62" s="104">
        <f>SUM('Draw #11'!E62:F62)</f>
        <v>0</v>
      </c>
      <c r="F62" s="105">
        <v>0</v>
      </c>
      <c r="G62" s="104">
        <f>SUM('Draw #11'!G62)+F62</f>
        <v>173148</v>
      </c>
      <c r="H62" s="109">
        <f t="shared" si="0"/>
        <v>173148</v>
      </c>
      <c r="I62" s="110">
        <v>0</v>
      </c>
      <c r="J62" s="109">
        <f>SUM(I62+'Draw #11'!J62)</f>
        <v>0</v>
      </c>
      <c r="K62" s="101" t="str">
        <f t="shared" si="1"/>
        <v/>
      </c>
      <c r="L62" s="9"/>
      <c r="M62" s="9"/>
    </row>
    <row r="63" spans="1:13" ht="14.1" customHeight="1">
      <c r="A63" s="4">
        <f>'SCHEDULE OF VALUE WORKSHEET'!A59</f>
        <v>53</v>
      </c>
      <c r="B63" s="142" t="str">
        <f>'SCHEDULE OF VALUE WORKSHEET'!B59</f>
        <v>DOORS</v>
      </c>
      <c r="C63" s="143"/>
      <c r="D63" s="104">
        <f>SUM('SCHEDULE OF VALUE WORKSHEET'!E59)</f>
        <v>204087.33</v>
      </c>
      <c r="E63" s="104">
        <f>SUM('Draw #11'!E63:F63)</f>
        <v>0</v>
      </c>
      <c r="F63" s="105">
        <v>0</v>
      </c>
      <c r="G63" s="104">
        <f>SUM('Draw #11'!G63)+F63</f>
        <v>204087.33</v>
      </c>
      <c r="H63" s="109">
        <f t="shared" si="0"/>
        <v>204087.33</v>
      </c>
      <c r="I63" s="110">
        <v>0</v>
      </c>
      <c r="J63" s="109">
        <f>SUM(I63+'Draw #11'!J63)</f>
        <v>0</v>
      </c>
      <c r="K63" s="101" t="str">
        <f t="shared" si="1"/>
        <v/>
      </c>
      <c r="L63" s="9"/>
      <c r="M63" s="9"/>
    </row>
    <row r="64" spans="1:13" ht="14.1" customHeight="1">
      <c r="A64" s="4">
        <f>'SCHEDULE OF VALUE WORKSHEET'!A60</f>
        <v>54</v>
      </c>
      <c r="B64" s="142" t="str">
        <f>'SCHEDULE OF VALUE WORKSHEET'!B60</f>
        <v>WINDOWS</v>
      </c>
      <c r="C64" s="143"/>
      <c r="D64" s="104">
        <f>SUM('SCHEDULE OF VALUE WORKSHEET'!E60)</f>
        <v>106274.25</v>
      </c>
      <c r="E64" s="104">
        <f>SUM('Draw #11'!E64:F64)</f>
        <v>0</v>
      </c>
      <c r="F64" s="105">
        <v>0</v>
      </c>
      <c r="G64" s="104">
        <f>SUM('Draw #11'!G64)+F64</f>
        <v>106274.25</v>
      </c>
      <c r="H64" s="109">
        <f t="shared" si="0"/>
        <v>106274.25</v>
      </c>
      <c r="I64" s="110">
        <v>0</v>
      </c>
      <c r="J64" s="109">
        <f>SUM(I64+'Draw #11'!J64)</f>
        <v>0</v>
      </c>
      <c r="K64" s="101" t="str">
        <f t="shared" si="1"/>
        <v/>
      </c>
      <c r="L64" s="9"/>
      <c r="M64" s="9"/>
    </row>
    <row r="65" spans="1:13" ht="14.1" customHeight="1">
      <c r="A65" s="4">
        <f>'SCHEDULE OF VALUE WORKSHEET'!A61</f>
        <v>55</v>
      </c>
      <c r="B65" s="142" t="str">
        <f>'SCHEDULE OF VALUE WORKSHEET'!B61</f>
        <v>STUCCO</v>
      </c>
      <c r="C65" s="143"/>
      <c r="D65" s="104">
        <f>SUM('SCHEDULE OF VALUE WORKSHEET'!E61)</f>
        <v>208002</v>
      </c>
      <c r="E65" s="104">
        <f>SUM('Draw #11'!E65:F65)</f>
        <v>0</v>
      </c>
      <c r="F65" s="105">
        <v>0</v>
      </c>
      <c r="G65" s="104">
        <f>SUM('Draw #11'!G65)+F65</f>
        <v>208002</v>
      </c>
      <c r="H65" s="109">
        <f t="shared" si="0"/>
        <v>208002</v>
      </c>
      <c r="I65" s="110">
        <v>0</v>
      </c>
      <c r="J65" s="109">
        <f>SUM(I65+'Draw #11'!J65)</f>
        <v>0</v>
      </c>
      <c r="K65" s="101" t="str">
        <f t="shared" si="1"/>
        <v/>
      </c>
      <c r="L65" s="9"/>
      <c r="M65" s="9"/>
    </row>
    <row r="66" spans="1:13" ht="14.1" customHeight="1">
      <c r="A66" s="4">
        <f>'SCHEDULE OF VALUE WORKSHEET'!A62</f>
        <v>56</v>
      </c>
      <c r="B66" s="142" t="str">
        <f>'SCHEDULE OF VALUE WORKSHEET'!B62</f>
        <v>DRYWALL</v>
      </c>
      <c r="C66" s="143"/>
      <c r="D66" s="104">
        <f>SUM('SCHEDULE OF VALUE WORKSHEET'!E62)</f>
        <v>416355</v>
      </c>
      <c r="E66" s="104">
        <f>SUM('Draw #11'!E66:F66)</f>
        <v>0</v>
      </c>
      <c r="F66" s="105">
        <v>0</v>
      </c>
      <c r="G66" s="104">
        <f>SUM('Draw #11'!G66)+F66</f>
        <v>416355</v>
      </c>
      <c r="H66" s="109">
        <f t="shared" si="0"/>
        <v>416355</v>
      </c>
      <c r="I66" s="110">
        <v>0</v>
      </c>
      <c r="J66" s="109">
        <f>SUM(I66+'Draw #11'!J66)</f>
        <v>0</v>
      </c>
      <c r="K66" s="101" t="str">
        <f t="shared" si="1"/>
        <v/>
      </c>
      <c r="L66" s="9"/>
      <c r="M66" s="9"/>
    </row>
    <row r="67" spans="1:13" ht="14.1" customHeight="1">
      <c r="A67" s="4">
        <f>'SCHEDULE OF VALUE WORKSHEET'!A63</f>
        <v>57</v>
      </c>
      <c r="B67" s="142" t="str">
        <f>'SCHEDULE OF VALUE WORKSHEET'!B63</f>
        <v>PAINTING</v>
      </c>
      <c r="C67" s="143"/>
      <c r="D67" s="104">
        <f>SUM('SCHEDULE OF VALUE WORKSHEET'!E63)</f>
        <v>120700</v>
      </c>
      <c r="E67" s="104">
        <f>SUM('Draw #11'!E67:F67)</f>
        <v>0</v>
      </c>
      <c r="F67" s="105">
        <v>0</v>
      </c>
      <c r="G67" s="104">
        <f>SUM('Draw #11'!G67)+F67</f>
        <v>120700</v>
      </c>
      <c r="H67" s="109">
        <f t="shared" si="0"/>
        <v>120700</v>
      </c>
      <c r="I67" s="110">
        <v>0</v>
      </c>
      <c r="J67" s="109">
        <f>SUM(I67+'Draw #11'!J67)</f>
        <v>0</v>
      </c>
      <c r="K67" s="101" t="str">
        <f t="shared" si="1"/>
        <v/>
      </c>
      <c r="L67" s="9"/>
      <c r="M67" s="9"/>
    </row>
    <row r="68" spans="1:13" ht="14.1" customHeight="1">
      <c r="A68" s="4">
        <f>'SCHEDULE OF VALUE WORKSHEET'!A64</f>
        <v>58</v>
      </c>
      <c r="B68" s="142" t="str">
        <f>'SCHEDULE OF VALUE WORKSHEET'!B64</f>
        <v>FLOORING - common areas</v>
      </c>
      <c r="C68" s="143"/>
      <c r="D68" s="104">
        <f>SUM('SCHEDULE OF VALUE WORKSHEET'!E64)</f>
        <v>45150</v>
      </c>
      <c r="E68" s="104">
        <f>SUM('Draw #11'!E68:F68)</f>
        <v>0</v>
      </c>
      <c r="F68" s="105">
        <v>0</v>
      </c>
      <c r="G68" s="104">
        <f>SUM('Draw #11'!G68)+F68</f>
        <v>45150</v>
      </c>
      <c r="H68" s="109">
        <f t="shared" si="0"/>
        <v>45150</v>
      </c>
      <c r="I68" s="110">
        <v>0</v>
      </c>
      <c r="J68" s="109">
        <f>SUM(I68+'Draw #11'!J68)</f>
        <v>0</v>
      </c>
      <c r="K68" s="101" t="str">
        <f t="shared" si="1"/>
        <v/>
      </c>
      <c r="L68" s="9"/>
      <c r="M68" s="9"/>
    </row>
    <row r="69" spans="1:13" ht="14.1" customHeight="1">
      <c r="A69" s="4">
        <f>'SCHEDULE OF VALUE WORKSHEET'!A65</f>
        <v>59</v>
      </c>
      <c r="B69" s="142" t="str">
        <f>'SCHEDULE OF VALUE WORKSHEET'!B65</f>
        <v>FLOORING - Units with baseboards</v>
      </c>
      <c r="C69" s="143"/>
      <c r="D69" s="104">
        <f>SUM('SCHEDULE OF VALUE WORKSHEET'!E65)</f>
        <v>93335</v>
      </c>
      <c r="E69" s="104">
        <f>SUM('Draw #11'!E69:F69)</f>
        <v>0</v>
      </c>
      <c r="F69" s="105">
        <v>0</v>
      </c>
      <c r="G69" s="104">
        <f>SUM('Draw #11'!G69)+F69</f>
        <v>93335</v>
      </c>
      <c r="H69" s="109">
        <f t="shared" si="0"/>
        <v>93335</v>
      </c>
      <c r="I69" s="110">
        <v>0</v>
      </c>
      <c r="J69" s="109">
        <f>SUM(I69+'Draw #11'!J69)</f>
        <v>0</v>
      </c>
      <c r="K69" s="101" t="str">
        <f t="shared" si="1"/>
        <v/>
      </c>
      <c r="L69" s="9"/>
      <c r="M69" s="9"/>
    </row>
    <row r="70" spans="1:13" ht="14.1" customHeight="1">
      <c r="A70" s="4">
        <f>'SCHEDULE OF VALUE WORKSHEET'!A66</f>
        <v>60</v>
      </c>
      <c r="B70" s="142" t="str">
        <f>'SCHEDULE OF VALUE WORKSHEET'!B66</f>
        <v>SPECIALTIES</v>
      </c>
      <c r="C70" s="143"/>
      <c r="D70" s="104">
        <f>SUM('SCHEDULE OF VALUE WORKSHEET'!E66)</f>
        <v>25109.21</v>
      </c>
      <c r="E70" s="104">
        <f>SUM('Draw #11'!E70:F70)</f>
        <v>0</v>
      </c>
      <c r="F70" s="105">
        <v>0</v>
      </c>
      <c r="G70" s="104">
        <f>SUM('Draw #11'!G70)+F70</f>
        <v>25109.21</v>
      </c>
      <c r="H70" s="109">
        <f t="shared" si="0"/>
        <v>25109.21</v>
      </c>
      <c r="I70" s="110">
        <v>0</v>
      </c>
      <c r="J70" s="109">
        <f>SUM(I70+'Draw #11'!J70)</f>
        <v>0</v>
      </c>
      <c r="K70" s="101" t="str">
        <f t="shared" si="1"/>
        <v/>
      </c>
      <c r="L70" s="9"/>
      <c r="M70" s="9"/>
    </row>
    <row r="71" spans="1:13" ht="14.1" customHeight="1">
      <c r="A71" s="4">
        <f>'SCHEDULE OF VALUE WORKSHEET'!A67</f>
        <v>61</v>
      </c>
      <c r="B71" s="142" t="str">
        <f>'SCHEDULE OF VALUE WORKSHEET'!B67</f>
        <v>EQUIPMENT</v>
      </c>
      <c r="C71" s="143"/>
      <c r="D71" s="104">
        <f>SUM('SCHEDULE OF VALUE WORKSHEET'!E67)</f>
        <v>153636</v>
      </c>
      <c r="E71" s="104">
        <f>SUM('Draw #11'!E71:F71)</f>
        <v>0</v>
      </c>
      <c r="F71" s="105">
        <v>0</v>
      </c>
      <c r="G71" s="104">
        <f>SUM('Draw #11'!G71)+F71</f>
        <v>153636</v>
      </c>
      <c r="H71" s="109">
        <f t="shared" si="0"/>
        <v>153636</v>
      </c>
      <c r="I71" s="110">
        <v>0</v>
      </c>
      <c r="J71" s="109">
        <f>SUM(I71+'Draw #11'!J71)</f>
        <v>0</v>
      </c>
      <c r="K71" s="101" t="str">
        <f t="shared" si="1"/>
        <v/>
      </c>
      <c r="L71" s="9"/>
      <c r="M71" s="9"/>
    </row>
    <row r="72" spans="1:13" ht="14.1" customHeight="1">
      <c r="A72" s="4">
        <f>'SCHEDULE OF VALUE WORKSHEET'!A68</f>
        <v>62</v>
      </c>
      <c r="B72" s="142" t="str">
        <f>'SCHEDULE OF VALUE WORKSHEET'!B68</f>
        <v>FURNISHING</v>
      </c>
      <c r="C72" s="143"/>
      <c r="D72" s="104">
        <f>SUM('SCHEDULE OF VALUE WORKSHEET'!E68)</f>
        <v>0</v>
      </c>
      <c r="E72" s="104">
        <f>SUM('Draw #11'!E72:F72)</f>
        <v>0</v>
      </c>
      <c r="F72" s="105">
        <v>0</v>
      </c>
      <c r="G72" s="104">
        <f>SUM('Draw #11'!G72)+F72</f>
        <v>0</v>
      </c>
      <c r="H72" s="109">
        <f t="shared" si="0"/>
        <v>0</v>
      </c>
      <c r="I72" s="110">
        <v>0</v>
      </c>
      <c r="J72" s="109">
        <f>SUM(I72+'Draw #11'!J72)</f>
        <v>0</v>
      </c>
      <c r="K72" s="101" t="str">
        <f t="shared" si="1"/>
        <v/>
      </c>
      <c r="L72" s="9"/>
      <c r="M72" s="9"/>
    </row>
    <row r="73" spans="1:13" ht="14.1" customHeight="1">
      <c r="A73" s="4">
        <f>'SCHEDULE OF VALUE WORKSHEET'!A69</f>
        <v>63</v>
      </c>
      <c r="B73" s="142" t="str">
        <f>'SCHEDULE OF VALUE WORKSHEET'!B69</f>
        <v>FIRE SPRINKLERS</v>
      </c>
      <c r="C73" s="143"/>
      <c r="D73" s="104">
        <f>SUM('SCHEDULE OF VALUE WORKSHEET'!E69)</f>
        <v>108500</v>
      </c>
      <c r="E73" s="104">
        <f>SUM('Draw #11'!E73:F73)</f>
        <v>0</v>
      </c>
      <c r="F73" s="105">
        <v>0</v>
      </c>
      <c r="G73" s="104">
        <f>SUM('Draw #11'!G73)+F73</f>
        <v>108500</v>
      </c>
      <c r="H73" s="109">
        <f t="shared" si="0"/>
        <v>108500</v>
      </c>
      <c r="I73" s="110">
        <v>0</v>
      </c>
      <c r="J73" s="109">
        <f>SUM(I73+'Draw #11'!J73)</f>
        <v>0</v>
      </c>
      <c r="K73" s="101" t="str">
        <f t="shared" si="1"/>
        <v/>
      </c>
      <c r="L73" s="9"/>
      <c r="M73" s="9"/>
    </row>
    <row r="74" spans="1:13" ht="14.1" customHeight="1">
      <c r="A74" s="4">
        <f>'SCHEDULE OF VALUE WORKSHEET'!A70</f>
        <v>64</v>
      </c>
      <c r="B74" s="142" t="str">
        <f>'SCHEDULE OF VALUE WORKSHEET'!B70</f>
        <v>FIRE ALARM</v>
      </c>
      <c r="C74" s="143"/>
      <c r="D74" s="104">
        <f>SUM('SCHEDULE OF VALUE WORKSHEET'!E70)</f>
        <v>68401</v>
      </c>
      <c r="E74" s="104">
        <f>SUM('Draw #11'!E74:F74)</f>
        <v>0</v>
      </c>
      <c r="F74" s="105">
        <v>0</v>
      </c>
      <c r="G74" s="104">
        <f>SUM('Draw #11'!G74)+F74</f>
        <v>68401</v>
      </c>
      <c r="H74" s="109">
        <f t="shared" si="0"/>
        <v>68401</v>
      </c>
      <c r="I74" s="110">
        <v>0</v>
      </c>
      <c r="J74" s="109">
        <f>SUM(I74+'Draw #11'!J74)</f>
        <v>0</v>
      </c>
      <c r="K74" s="101" t="str">
        <f t="shared" si="1"/>
        <v/>
      </c>
      <c r="L74" s="9"/>
      <c r="M74" s="9"/>
    </row>
    <row r="75" spans="1:13" ht="14.1" customHeight="1">
      <c r="A75" s="4">
        <f>'SCHEDULE OF VALUE WORKSHEET'!A71</f>
        <v>65</v>
      </c>
      <c r="B75" s="142" t="str">
        <f>'SCHEDULE OF VALUE WORKSHEET'!B71</f>
        <v>SOLAR PANELS</v>
      </c>
      <c r="C75" s="143"/>
      <c r="D75" s="104">
        <f>SUM('SCHEDULE OF VALUE WORKSHEET'!E71)</f>
        <v>97000</v>
      </c>
      <c r="E75" s="104">
        <f>SUM('Draw #11'!E75:F75)</f>
        <v>0</v>
      </c>
      <c r="F75" s="105">
        <v>0</v>
      </c>
      <c r="G75" s="104">
        <f>SUM('Draw #11'!G75)+F75</f>
        <v>97000</v>
      </c>
      <c r="H75" s="109">
        <f t="shared" ref="H75:H135" si="2">SUM(G75-J75)</f>
        <v>97000</v>
      </c>
      <c r="I75" s="110">
        <v>0</v>
      </c>
      <c r="J75" s="109">
        <f>SUM(I75+'Draw #11'!J75)</f>
        <v>0</v>
      </c>
      <c r="K75" s="101" t="str">
        <f t="shared" ref="K75:K135" si="3">IF(J75=0,"",J75/G75)</f>
        <v/>
      </c>
      <c r="L75" s="9"/>
      <c r="M75" s="9"/>
    </row>
    <row r="76" spans="1:13" ht="14.1" customHeight="1">
      <c r="A76" s="4">
        <f>'SCHEDULE OF VALUE WORKSHEET'!A72</f>
        <v>66</v>
      </c>
      <c r="B76" s="142" t="str">
        <f>'SCHEDULE OF VALUE WORKSHEET'!B72</f>
        <v>SECURITY ACCESS &amp; SURVEILLANCE</v>
      </c>
      <c r="C76" s="143"/>
      <c r="D76" s="104">
        <f>SUM('SCHEDULE OF VALUE WORKSHEET'!E72)</f>
        <v>136430</v>
      </c>
      <c r="E76" s="104">
        <f>SUM('Draw #11'!E76:F76)</f>
        <v>0</v>
      </c>
      <c r="F76" s="105">
        <v>0</v>
      </c>
      <c r="G76" s="104">
        <f>SUM('Draw #11'!G76)+F76</f>
        <v>136430</v>
      </c>
      <c r="H76" s="109">
        <f t="shared" si="2"/>
        <v>136430</v>
      </c>
      <c r="I76" s="110">
        <v>0</v>
      </c>
      <c r="J76" s="109">
        <f>SUM(I76+'Draw #11'!J76)</f>
        <v>0</v>
      </c>
      <c r="K76" s="101" t="str">
        <f t="shared" si="3"/>
        <v/>
      </c>
      <c r="L76" s="9"/>
      <c r="M76" s="9"/>
    </row>
    <row r="77" spans="1:13" ht="14.1" customHeight="1">
      <c r="A77" s="4">
        <f>'SCHEDULE OF VALUE WORKSHEET'!A73</f>
        <v>67</v>
      </c>
      <c r="B77" s="142" t="str">
        <f>'SCHEDULE OF VALUE WORKSHEET'!B73</f>
        <v>ELEVATORS &amp; LIFT</v>
      </c>
      <c r="C77" s="143"/>
      <c r="D77" s="104">
        <f>SUM('SCHEDULE OF VALUE WORKSHEET'!E73)</f>
        <v>174882</v>
      </c>
      <c r="E77" s="104">
        <f>SUM('Draw #11'!E77:F77)</f>
        <v>0</v>
      </c>
      <c r="F77" s="105">
        <v>0</v>
      </c>
      <c r="G77" s="104">
        <f>SUM('Draw #11'!G77)+F77</f>
        <v>174882</v>
      </c>
      <c r="H77" s="109">
        <f t="shared" si="2"/>
        <v>174882</v>
      </c>
      <c r="I77" s="110">
        <v>0</v>
      </c>
      <c r="J77" s="109">
        <f>SUM(I77+'Draw #11'!J77)</f>
        <v>0</v>
      </c>
      <c r="K77" s="101" t="str">
        <f t="shared" si="3"/>
        <v/>
      </c>
      <c r="L77" s="9"/>
      <c r="M77" s="9"/>
    </row>
    <row r="78" spans="1:13" ht="14.1" customHeight="1">
      <c r="A78" s="4">
        <f>'SCHEDULE OF VALUE WORKSHEET'!A74</f>
        <v>68</v>
      </c>
      <c r="B78" s="142" t="str">
        <f>'SCHEDULE OF VALUE WORKSHEET'!B74</f>
        <v>WATER SUBMETER (material)</v>
      </c>
      <c r="C78" s="143"/>
      <c r="D78" s="104">
        <f>SUM('SCHEDULE OF VALUE WORKSHEET'!E74)</f>
        <v>12273</v>
      </c>
      <c r="E78" s="104">
        <f>SUM('Draw #11'!E78:F78)</f>
        <v>0</v>
      </c>
      <c r="F78" s="105">
        <v>0</v>
      </c>
      <c r="G78" s="104">
        <f>SUM('Draw #11'!G78)+F78</f>
        <v>12273</v>
      </c>
      <c r="H78" s="109">
        <f t="shared" si="2"/>
        <v>12273</v>
      </c>
      <c r="I78" s="110">
        <v>0</v>
      </c>
      <c r="J78" s="109">
        <f>SUM(I78+'Draw #11'!J78)</f>
        <v>0</v>
      </c>
      <c r="K78" s="101" t="str">
        <f t="shared" si="3"/>
        <v/>
      </c>
      <c r="L78" s="9"/>
      <c r="M78" s="9"/>
    </row>
    <row r="79" spans="1:13" ht="14.1" customHeight="1">
      <c r="A79" s="4">
        <f>'SCHEDULE OF VALUE WORKSHEET'!A75</f>
        <v>69</v>
      </c>
      <c r="B79" s="142" t="str">
        <f>'SCHEDULE OF VALUE WORKSHEET'!B75</f>
        <v>WATER SUBMETER (labor)</v>
      </c>
      <c r="C79" s="143"/>
      <c r="D79" s="104">
        <f>SUM('SCHEDULE OF VALUE WORKSHEET'!E75)</f>
        <v>0</v>
      </c>
      <c r="E79" s="104">
        <f>SUM('Draw #11'!E79:F79)</f>
        <v>0</v>
      </c>
      <c r="F79" s="105">
        <v>0</v>
      </c>
      <c r="G79" s="104">
        <f>SUM('Draw #11'!G79)+F79</f>
        <v>0</v>
      </c>
      <c r="H79" s="109">
        <f t="shared" si="2"/>
        <v>0</v>
      </c>
      <c r="I79" s="110">
        <v>0</v>
      </c>
      <c r="J79" s="109">
        <f>SUM(I79+'Draw #11'!J79)</f>
        <v>0</v>
      </c>
      <c r="K79" s="101" t="str">
        <f t="shared" si="3"/>
        <v/>
      </c>
      <c r="L79" s="9"/>
      <c r="M79" s="9"/>
    </row>
    <row r="80" spans="1:13" ht="14.1" customHeight="1">
      <c r="A80" s="4">
        <f>'SCHEDULE OF VALUE WORKSHEET'!A76</f>
        <v>70</v>
      </c>
      <c r="B80" s="142" t="str">
        <f>'SCHEDULE OF VALUE WORKSHEET'!B76</f>
        <v>ROUGH PLUMBING</v>
      </c>
      <c r="C80" s="143"/>
      <c r="D80" s="104">
        <f>SUM('SCHEDULE OF VALUE WORKSHEET'!E76)</f>
        <v>751927</v>
      </c>
      <c r="E80" s="104">
        <f>SUM('Draw #11'!E80:F80)</f>
        <v>0</v>
      </c>
      <c r="F80" s="105">
        <v>0</v>
      </c>
      <c r="G80" s="104">
        <f>SUM('Draw #11'!G80)+F80</f>
        <v>751927</v>
      </c>
      <c r="H80" s="109">
        <f t="shared" si="2"/>
        <v>751927</v>
      </c>
      <c r="I80" s="110">
        <v>0</v>
      </c>
      <c r="J80" s="109">
        <f>SUM(I80+'Draw #11'!J80)</f>
        <v>0</v>
      </c>
      <c r="K80" s="101" t="str">
        <f t="shared" si="3"/>
        <v/>
      </c>
      <c r="L80" s="9"/>
      <c r="M80" s="9"/>
    </row>
    <row r="81" spans="1:13" ht="14.1" customHeight="1">
      <c r="A81" s="4">
        <f>'SCHEDULE OF VALUE WORKSHEET'!A77</f>
        <v>71</v>
      </c>
      <c r="B81" s="142" t="str">
        <f>'SCHEDULE OF VALUE WORKSHEET'!B77</f>
        <v>FINISH PLUMBING</v>
      </c>
      <c r="C81" s="143"/>
      <c r="D81" s="104">
        <f>SUM('SCHEDULE OF VALUE WORKSHEET'!E77)</f>
        <v>90000</v>
      </c>
      <c r="E81" s="104">
        <f>SUM('Draw #11'!E81:F81)</f>
        <v>0</v>
      </c>
      <c r="F81" s="105">
        <v>0</v>
      </c>
      <c r="G81" s="104">
        <f>SUM('Draw #11'!G81)+F81</f>
        <v>90000</v>
      </c>
      <c r="H81" s="109">
        <f t="shared" si="2"/>
        <v>90000</v>
      </c>
      <c r="I81" s="110">
        <v>0</v>
      </c>
      <c r="J81" s="109">
        <f>SUM(I81+'Draw #11'!J81)</f>
        <v>0</v>
      </c>
      <c r="K81" s="101" t="str">
        <f t="shared" si="3"/>
        <v/>
      </c>
      <c r="L81" s="9"/>
      <c r="M81" s="9"/>
    </row>
    <row r="82" spans="1:13" ht="14.1" customHeight="1">
      <c r="A82" s="4">
        <f>'SCHEDULE OF VALUE WORKSHEET'!A78</f>
        <v>72</v>
      </c>
      <c r="B82" s="142" t="str">
        <f>'SCHEDULE OF VALUE WORKSHEET'!B78</f>
        <v>HVAC</v>
      </c>
      <c r="C82" s="143"/>
      <c r="D82" s="104">
        <f>SUM('SCHEDULE OF VALUE WORKSHEET'!E78)</f>
        <v>259000</v>
      </c>
      <c r="E82" s="104">
        <f>SUM('Draw #11'!E82:F82)</f>
        <v>0</v>
      </c>
      <c r="F82" s="105">
        <v>0</v>
      </c>
      <c r="G82" s="104">
        <f>SUM('Draw #11'!G82)+F82</f>
        <v>259000</v>
      </c>
      <c r="H82" s="109">
        <f t="shared" si="2"/>
        <v>259000</v>
      </c>
      <c r="I82" s="110">
        <v>0</v>
      </c>
      <c r="J82" s="109">
        <f>SUM(I82+'Draw #11'!J82)</f>
        <v>0</v>
      </c>
      <c r="K82" s="101" t="str">
        <f t="shared" si="3"/>
        <v/>
      </c>
      <c r="L82" s="9"/>
      <c r="M82" s="9"/>
    </row>
    <row r="83" spans="1:13" ht="14.1" customHeight="1">
      <c r="A83" s="4">
        <f>'SCHEDULE OF VALUE WORKSHEET'!A79</f>
        <v>73</v>
      </c>
      <c r="B83" s="142" t="str">
        <f>'SCHEDULE OF VALUE WORKSHEET'!B79</f>
        <v>ELECTRICAL</v>
      </c>
      <c r="C83" s="143"/>
      <c r="D83" s="104">
        <f>SUM('SCHEDULE OF VALUE WORKSHEET'!E79)</f>
        <v>880486.32</v>
      </c>
      <c r="E83" s="104">
        <f>SUM('Draw #11'!E83:F83)</f>
        <v>0</v>
      </c>
      <c r="F83" s="105">
        <v>0</v>
      </c>
      <c r="G83" s="104">
        <f>SUM('Draw #11'!G83)+F83</f>
        <v>880486.32</v>
      </c>
      <c r="H83" s="109">
        <f t="shared" si="2"/>
        <v>880486.32</v>
      </c>
      <c r="I83" s="110">
        <v>0</v>
      </c>
      <c r="J83" s="109">
        <f>SUM(I83+'Draw #11'!J83)</f>
        <v>0</v>
      </c>
      <c r="K83" s="101" t="str">
        <f t="shared" si="3"/>
        <v/>
      </c>
      <c r="L83" s="9"/>
      <c r="M83" s="9"/>
    </row>
    <row r="84" spans="1:13" ht="14.1" customHeight="1">
      <c r="A84" s="4">
        <f>'SCHEDULE OF VALUE WORKSHEET'!A80</f>
        <v>74</v>
      </c>
      <c r="B84" s="142" t="str">
        <f>'SCHEDULE OF VALUE WORKSHEET'!B80</f>
        <v xml:space="preserve">CONTINGENCY </v>
      </c>
      <c r="C84" s="143"/>
      <c r="D84" s="104">
        <f>SUM('SCHEDULE OF VALUE WORKSHEET'!E80)</f>
        <v>529215.20000000007</v>
      </c>
      <c r="E84" s="104">
        <f>SUM('Draw #11'!E84:F84)</f>
        <v>0</v>
      </c>
      <c r="F84" s="105">
        <v>0</v>
      </c>
      <c r="G84" s="104">
        <f>SUM('Draw #11'!G84)+F84</f>
        <v>529215.20000000007</v>
      </c>
      <c r="H84" s="109">
        <f t="shared" si="2"/>
        <v>529215.20000000007</v>
      </c>
      <c r="I84" s="110">
        <v>0</v>
      </c>
      <c r="J84" s="109">
        <f>SUM(I84+'Draw #11'!J84)</f>
        <v>0</v>
      </c>
      <c r="K84" s="101" t="str">
        <f t="shared" si="3"/>
        <v/>
      </c>
      <c r="L84" s="9"/>
      <c r="M84" s="9"/>
    </row>
    <row r="85" spans="1:13" ht="14.1" customHeight="1">
      <c r="A85" s="4">
        <f>'SCHEDULE OF VALUE WORKSHEET'!A81</f>
        <v>75</v>
      </c>
      <c r="B85" s="142" t="str">
        <f>'SCHEDULE OF VALUE WORKSHEET'!B81</f>
        <v>INSURANCE (GL w/auto, workers compl)</v>
      </c>
      <c r="C85" s="143"/>
      <c r="D85" s="104">
        <f>SUM('SCHEDULE OF VALUE WORKSHEET'!E81)</f>
        <v>97177.07</v>
      </c>
      <c r="E85" s="104">
        <f>SUM('Draw #11'!E85:F85)</f>
        <v>0</v>
      </c>
      <c r="F85" s="105">
        <v>0</v>
      </c>
      <c r="G85" s="104">
        <f>SUM('Draw #11'!G85)+F85</f>
        <v>97177.07</v>
      </c>
      <c r="H85" s="109">
        <f t="shared" si="2"/>
        <v>97177.07</v>
      </c>
      <c r="I85" s="110">
        <v>0</v>
      </c>
      <c r="J85" s="109">
        <f>SUM(I85+'Draw #11'!J85)</f>
        <v>0</v>
      </c>
      <c r="K85" s="101" t="str">
        <f t="shared" si="3"/>
        <v/>
      </c>
      <c r="L85" s="9"/>
      <c r="M85" s="9"/>
    </row>
    <row r="86" spans="1:13" ht="14.1" customHeight="1">
      <c r="A86" s="4">
        <f>'SCHEDULE OF VALUE WORKSHEET'!A82</f>
        <v>76</v>
      </c>
      <c r="B86" s="142" t="str">
        <f>'SCHEDULE OF VALUE WORKSHEET'!B82</f>
        <v>GROSS RECEIPT TAX</v>
      </c>
      <c r="C86" s="143"/>
      <c r="D86" s="104">
        <f>SUM('SCHEDULE OF VALUE WORKSHEET'!E82)</f>
        <v>6543.26</v>
      </c>
      <c r="E86" s="104">
        <f>SUM('Draw #11'!E86:F86)</f>
        <v>0</v>
      </c>
      <c r="F86" s="105">
        <v>0</v>
      </c>
      <c r="G86" s="104">
        <f>SUM('Draw #11'!G86)+F86</f>
        <v>6543.26</v>
      </c>
      <c r="H86" s="109">
        <f t="shared" si="2"/>
        <v>6543.26</v>
      </c>
      <c r="I86" s="110">
        <v>0</v>
      </c>
      <c r="J86" s="109">
        <f>SUM(I86+'Draw #11'!J86)</f>
        <v>0</v>
      </c>
      <c r="K86" s="101" t="str">
        <f t="shared" si="3"/>
        <v/>
      </c>
      <c r="L86" s="9"/>
      <c r="M86" s="9"/>
    </row>
    <row r="87" spans="1:13" ht="14.1" customHeight="1">
      <c r="A87" s="4">
        <f>'SCHEDULE OF VALUE WORKSHEET'!A83</f>
        <v>77</v>
      </c>
      <c r="B87" s="142" t="str">
        <f>'SCHEDULE OF VALUE WORKSHEET'!B83</f>
        <v>GC FEE</v>
      </c>
      <c r="C87" s="143"/>
      <c r="D87" s="104">
        <f>SUM('SCHEDULE OF VALUE WORKSHEET'!E83)</f>
        <v>388708.28</v>
      </c>
      <c r="E87" s="104">
        <f>SUM('Draw #11'!E87:F87)</f>
        <v>0</v>
      </c>
      <c r="F87" s="105">
        <v>0</v>
      </c>
      <c r="G87" s="104">
        <f>SUM('Draw #11'!G87)+F87</f>
        <v>388708.28</v>
      </c>
      <c r="H87" s="109">
        <f t="shared" si="2"/>
        <v>388708.28</v>
      </c>
      <c r="I87" s="110">
        <v>0</v>
      </c>
      <c r="J87" s="109">
        <f>SUM(I87+'Draw #11'!J87)</f>
        <v>0</v>
      </c>
      <c r="K87" s="101" t="str">
        <f t="shared" si="3"/>
        <v/>
      </c>
      <c r="L87" s="9"/>
      <c r="M87" s="9"/>
    </row>
    <row r="88" spans="1:13" ht="14.1" customHeight="1">
      <c r="A88" s="4">
        <f>'SCHEDULE OF VALUE WORKSHEET'!A84</f>
        <v>78</v>
      </c>
      <c r="B88" s="142" t="str">
        <f>'SCHEDULE OF VALUE WORKSHEET'!B84</f>
        <v>DEVELOPMENT FEE</v>
      </c>
      <c r="C88" s="143"/>
      <c r="D88" s="104">
        <f>SUM('SCHEDULE OF VALUE WORKSHEET'!E84)</f>
        <v>180523.5</v>
      </c>
      <c r="E88" s="104">
        <f>SUM('Draw #11'!E88:F88)</f>
        <v>0</v>
      </c>
      <c r="F88" s="105">
        <v>0</v>
      </c>
      <c r="G88" s="104">
        <f>SUM('Draw #11'!G88)+F88</f>
        <v>180523.5</v>
      </c>
      <c r="H88" s="109">
        <f t="shared" si="2"/>
        <v>180523.5</v>
      </c>
      <c r="I88" s="110">
        <v>0</v>
      </c>
      <c r="J88" s="109">
        <f>SUM(I88+'Draw #11'!J88)</f>
        <v>0</v>
      </c>
      <c r="K88" s="101" t="str">
        <f t="shared" si="3"/>
        <v/>
      </c>
      <c r="L88" s="9"/>
      <c r="M88" s="9"/>
    </row>
    <row r="89" spans="1:13" ht="14.1" customHeight="1">
      <c r="A89" s="4">
        <f>'SCHEDULE OF VALUE WORKSHEET'!A85</f>
        <v>79</v>
      </c>
      <c r="B89" s="142" t="str">
        <f>'SCHEDULE OF VALUE WORKSHEET'!B85</f>
        <v>CARRYING COSTS</v>
      </c>
      <c r="C89" s="143"/>
      <c r="D89" s="104">
        <f>SUM('SCHEDULE OF VALUE WORKSHEET'!E85)</f>
        <v>92885.53</v>
      </c>
      <c r="E89" s="104">
        <f>SUM('Draw #11'!E89:F89)</f>
        <v>0</v>
      </c>
      <c r="F89" s="105">
        <v>0</v>
      </c>
      <c r="G89" s="104">
        <f>SUM('Draw #11'!G89)+F89</f>
        <v>92885.53</v>
      </c>
      <c r="H89" s="109">
        <f t="shared" si="2"/>
        <v>92885.53</v>
      </c>
      <c r="I89" s="110">
        <v>0</v>
      </c>
      <c r="J89" s="109">
        <f>SUM(I89+'Draw #11'!J89)</f>
        <v>0</v>
      </c>
      <c r="K89" s="101" t="str">
        <f t="shared" si="3"/>
        <v/>
      </c>
      <c r="L89" s="9"/>
      <c r="M89" s="9"/>
    </row>
    <row r="90" spans="1:13" ht="14.1" customHeight="1">
      <c r="A90" s="4">
        <f>'SCHEDULE OF VALUE WORKSHEET'!A86</f>
        <v>80</v>
      </c>
      <c r="B90" s="142" t="str">
        <f>'SCHEDULE OF VALUE WORKSHEET'!B86</f>
        <v>FINANCING COSTS</v>
      </c>
      <c r="C90" s="143"/>
      <c r="D90" s="104">
        <f>SUM('SCHEDULE OF VALUE WORKSHEET'!E86)</f>
        <v>0</v>
      </c>
      <c r="E90" s="104">
        <f>SUM('Draw #11'!E90:F90)</f>
        <v>0</v>
      </c>
      <c r="F90" s="105">
        <v>0</v>
      </c>
      <c r="G90" s="104">
        <f>SUM('Draw #11'!G90)+F90</f>
        <v>0</v>
      </c>
      <c r="H90" s="109">
        <f t="shared" si="2"/>
        <v>0</v>
      </c>
      <c r="I90" s="110">
        <v>0</v>
      </c>
      <c r="J90" s="109">
        <f>SUM(I90+'Draw #11'!J90)</f>
        <v>0</v>
      </c>
      <c r="K90" s="101" t="str">
        <f t="shared" si="3"/>
        <v/>
      </c>
      <c r="L90" s="9"/>
      <c r="M90" s="9"/>
    </row>
    <row r="91" spans="1:13" ht="14.1" customHeight="1">
      <c r="A91" s="4" t="e">
        <f>'SCHEDULE OF VALUE WORKSHEET'!#REF!</f>
        <v>#REF!</v>
      </c>
      <c r="B91" s="142" t="e">
        <f>'SCHEDULE OF VALUE WORKSHEET'!#REF!</f>
        <v>#REF!</v>
      </c>
      <c r="C91" s="143"/>
      <c r="D91" s="104" t="e">
        <f>SUM('SCHEDULE OF VALUE WORKSHEET'!#REF!)</f>
        <v>#REF!</v>
      </c>
      <c r="E91" s="104">
        <f>SUM('Draw #11'!E91:F91)</f>
        <v>0</v>
      </c>
      <c r="F91" s="105">
        <v>0</v>
      </c>
      <c r="G91" s="104" t="e">
        <f>SUM('Draw #11'!G91)+F91</f>
        <v>#REF!</v>
      </c>
      <c r="H91" s="109" t="e">
        <f t="shared" si="2"/>
        <v>#REF!</v>
      </c>
      <c r="I91" s="110">
        <v>0</v>
      </c>
      <c r="J91" s="109">
        <f>SUM(I91+'Draw #11'!J91)</f>
        <v>0</v>
      </c>
      <c r="K91" s="101" t="str">
        <f t="shared" si="3"/>
        <v/>
      </c>
      <c r="L91" s="9"/>
      <c r="M91" s="9"/>
    </row>
    <row r="92" spans="1:13" ht="14.1" customHeight="1">
      <c r="A92" s="4" t="e">
        <f>'SCHEDULE OF VALUE WORKSHEET'!#REF!</f>
        <v>#REF!</v>
      </c>
      <c r="B92" s="142" t="e">
        <f>'SCHEDULE OF VALUE WORKSHEET'!#REF!</f>
        <v>#REF!</v>
      </c>
      <c r="C92" s="143"/>
      <c r="D92" s="104" t="e">
        <f>SUM('SCHEDULE OF VALUE WORKSHEET'!#REF!)</f>
        <v>#REF!</v>
      </c>
      <c r="E92" s="104">
        <f>SUM('Draw #11'!E92:F92)</f>
        <v>0</v>
      </c>
      <c r="F92" s="105">
        <v>0</v>
      </c>
      <c r="G92" s="104" t="e">
        <f>SUM('Draw #11'!G92)+F92</f>
        <v>#REF!</v>
      </c>
      <c r="H92" s="109" t="e">
        <f t="shared" si="2"/>
        <v>#REF!</v>
      </c>
      <c r="I92" s="110">
        <v>0</v>
      </c>
      <c r="J92" s="109">
        <f>SUM(I92+'Draw #11'!J92)</f>
        <v>0</v>
      </c>
      <c r="K92" s="101" t="str">
        <f t="shared" si="3"/>
        <v/>
      </c>
      <c r="L92" s="9"/>
      <c r="M92" s="9"/>
    </row>
    <row r="93" spans="1:13" ht="14.1" customHeight="1">
      <c r="A93" s="4" t="e">
        <f>'SCHEDULE OF VALUE WORKSHEET'!#REF!</f>
        <v>#REF!</v>
      </c>
      <c r="B93" s="142" t="e">
        <f>'SCHEDULE OF VALUE WORKSHEET'!#REF!</f>
        <v>#REF!</v>
      </c>
      <c r="C93" s="143"/>
      <c r="D93" s="104" t="e">
        <f>SUM('SCHEDULE OF VALUE WORKSHEET'!#REF!)</f>
        <v>#REF!</v>
      </c>
      <c r="E93" s="104">
        <f>SUM('Draw #11'!E93:F93)</f>
        <v>0</v>
      </c>
      <c r="F93" s="105">
        <v>0</v>
      </c>
      <c r="G93" s="104" t="e">
        <f>SUM('Draw #11'!G93)+F93</f>
        <v>#REF!</v>
      </c>
      <c r="H93" s="109" t="e">
        <f t="shared" si="2"/>
        <v>#REF!</v>
      </c>
      <c r="I93" s="110">
        <v>0</v>
      </c>
      <c r="J93" s="109">
        <f>SUM(I93+'Draw #11'!J93)</f>
        <v>0</v>
      </c>
      <c r="K93" s="101" t="str">
        <f t="shared" si="3"/>
        <v/>
      </c>
      <c r="L93" s="9"/>
      <c r="M93" s="9"/>
    </row>
    <row r="94" spans="1:13" ht="14.1" customHeight="1">
      <c r="A94" s="4" t="e">
        <f>'SCHEDULE OF VALUE WORKSHEET'!#REF!</f>
        <v>#REF!</v>
      </c>
      <c r="B94" s="142" t="e">
        <f>'SCHEDULE OF VALUE WORKSHEET'!#REF!</f>
        <v>#REF!</v>
      </c>
      <c r="C94" s="143"/>
      <c r="D94" s="104" t="e">
        <f>SUM('SCHEDULE OF VALUE WORKSHEET'!#REF!)</f>
        <v>#REF!</v>
      </c>
      <c r="E94" s="104">
        <f>SUM('Draw #11'!E94:F94)</f>
        <v>0</v>
      </c>
      <c r="F94" s="105">
        <v>0</v>
      </c>
      <c r="G94" s="104" t="e">
        <f>SUM('Draw #11'!G94)+F94</f>
        <v>#REF!</v>
      </c>
      <c r="H94" s="109" t="e">
        <f t="shared" si="2"/>
        <v>#REF!</v>
      </c>
      <c r="I94" s="110">
        <v>0</v>
      </c>
      <c r="J94" s="109">
        <f>SUM(I94+'Draw #11'!J94)</f>
        <v>0</v>
      </c>
      <c r="K94" s="101" t="str">
        <f t="shared" si="3"/>
        <v/>
      </c>
      <c r="L94" s="9"/>
      <c r="M94" s="9"/>
    </row>
    <row r="95" spans="1:13" ht="14.1" customHeight="1">
      <c r="A95" s="4" t="e">
        <f>'SCHEDULE OF VALUE WORKSHEET'!#REF!</f>
        <v>#REF!</v>
      </c>
      <c r="B95" s="142" t="e">
        <f>'SCHEDULE OF VALUE WORKSHEET'!#REF!</f>
        <v>#REF!</v>
      </c>
      <c r="C95" s="143"/>
      <c r="D95" s="104" t="e">
        <f>SUM('SCHEDULE OF VALUE WORKSHEET'!#REF!)</f>
        <v>#REF!</v>
      </c>
      <c r="E95" s="104">
        <f>SUM('Draw #11'!E95:F95)</f>
        <v>0</v>
      </c>
      <c r="F95" s="105">
        <v>0</v>
      </c>
      <c r="G95" s="104" t="e">
        <f>SUM('Draw #11'!G95)+F95</f>
        <v>#REF!</v>
      </c>
      <c r="H95" s="109" t="e">
        <f t="shared" si="2"/>
        <v>#REF!</v>
      </c>
      <c r="I95" s="110">
        <v>0</v>
      </c>
      <c r="J95" s="109">
        <f>SUM(I95+'Draw #11'!J95)</f>
        <v>0</v>
      </c>
      <c r="K95" s="101" t="str">
        <f t="shared" si="3"/>
        <v/>
      </c>
      <c r="L95" s="9"/>
      <c r="M95" s="9"/>
    </row>
    <row r="96" spans="1:13" ht="14.1" customHeight="1">
      <c r="A96" s="4" t="e">
        <f>'SCHEDULE OF VALUE WORKSHEET'!#REF!</f>
        <v>#REF!</v>
      </c>
      <c r="B96" s="142" t="e">
        <f>'SCHEDULE OF VALUE WORKSHEET'!#REF!</f>
        <v>#REF!</v>
      </c>
      <c r="C96" s="143"/>
      <c r="D96" s="104" t="e">
        <f>SUM('SCHEDULE OF VALUE WORKSHEET'!#REF!)</f>
        <v>#REF!</v>
      </c>
      <c r="E96" s="104">
        <f>SUM('Draw #11'!E96:F96)</f>
        <v>0</v>
      </c>
      <c r="F96" s="105">
        <v>0</v>
      </c>
      <c r="G96" s="104" t="e">
        <f>SUM('Draw #11'!G96)+F96</f>
        <v>#REF!</v>
      </c>
      <c r="H96" s="109" t="e">
        <f t="shared" si="2"/>
        <v>#REF!</v>
      </c>
      <c r="I96" s="110">
        <v>0</v>
      </c>
      <c r="J96" s="109">
        <f>SUM(I96+'Draw #11'!J96)</f>
        <v>0</v>
      </c>
      <c r="K96" s="101" t="str">
        <f t="shared" si="3"/>
        <v/>
      </c>
      <c r="L96" s="9"/>
      <c r="M96" s="9"/>
    </row>
    <row r="97" spans="1:13" ht="14.1" customHeight="1">
      <c r="A97" s="4" t="e">
        <f>'SCHEDULE OF VALUE WORKSHEET'!#REF!</f>
        <v>#REF!</v>
      </c>
      <c r="B97" s="142" t="e">
        <f>'SCHEDULE OF VALUE WORKSHEET'!#REF!</f>
        <v>#REF!</v>
      </c>
      <c r="C97" s="143"/>
      <c r="D97" s="104" t="e">
        <f>SUM('SCHEDULE OF VALUE WORKSHEET'!#REF!)</f>
        <v>#REF!</v>
      </c>
      <c r="E97" s="104">
        <f>SUM('Draw #11'!E97:F97)</f>
        <v>0</v>
      </c>
      <c r="F97" s="105">
        <v>0</v>
      </c>
      <c r="G97" s="104" t="e">
        <f>SUM('Draw #11'!G97)+F97</f>
        <v>#REF!</v>
      </c>
      <c r="H97" s="109" t="e">
        <f t="shared" si="2"/>
        <v>#REF!</v>
      </c>
      <c r="I97" s="110">
        <v>0</v>
      </c>
      <c r="J97" s="109">
        <f>SUM(I97+'Draw #11'!J97)</f>
        <v>0</v>
      </c>
      <c r="K97" s="101" t="str">
        <f t="shared" si="3"/>
        <v/>
      </c>
      <c r="L97" s="9"/>
      <c r="M97" s="9"/>
    </row>
    <row r="98" spans="1:13" ht="14.1" customHeight="1">
      <c r="A98" s="4" t="e">
        <f>'SCHEDULE OF VALUE WORKSHEET'!#REF!</f>
        <v>#REF!</v>
      </c>
      <c r="B98" s="142" t="e">
        <f>'SCHEDULE OF VALUE WORKSHEET'!#REF!</f>
        <v>#REF!</v>
      </c>
      <c r="C98" s="143"/>
      <c r="D98" s="104" t="e">
        <f>SUM('SCHEDULE OF VALUE WORKSHEET'!#REF!)</f>
        <v>#REF!</v>
      </c>
      <c r="E98" s="104">
        <f>SUM('Draw #11'!E98:F98)</f>
        <v>0</v>
      </c>
      <c r="F98" s="105">
        <v>0</v>
      </c>
      <c r="G98" s="104" t="e">
        <f>SUM('Draw #11'!G98)+F98</f>
        <v>#REF!</v>
      </c>
      <c r="H98" s="109" t="e">
        <f t="shared" si="2"/>
        <v>#REF!</v>
      </c>
      <c r="I98" s="110">
        <v>0</v>
      </c>
      <c r="J98" s="109">
        <f>SUM(I98+'Draw #11'!J98)</f>
        <v>0</v>
      </c>
      <c r="K98" s="101" t="str">
        <f t="shared" si="3"/>
        <v/>
      </c>
      <c r="L98" s="9"/>
      <c r="M98" s="9"/>
    </row>
    <row r="99" spans="1:13" ht="14.1" customHeight="1">
      <c r="A99" s="4" t="e">
        <f>'SCHEDULE OF VALUE WORKSHEET'!#REF!</f>
        <v>#REF!</v>
      </c>
      <c r="B99" s="142" t="e">
        <f>'SCHEDULE OF VALUE WORKSHEET'!#REF!</f>
        <v>#REF!</v>
      </c>
      <c r="C99" s="143"/>
      <c r="D99" s="104" t="e">
        <f>SUM('SCHEDULE OF VALUE WORKSHEET'!#REF!)</f>
        <v>#REF!</v>
      </c>
      <c r="E99" s="104">
        <f>SUM('Draw #11'!E99:F99)</f>
        <v>0</v>
      </c>
      <c r="F99" s="105">
        <v>0</v>
      </c>
      <c r="G99" s="104" t="e">
        <f>SUM('Draw #11'!G99)+F99</f>
        <v>#REF!</v>
      </c>
      <c r="H99" s="109" t="e">
        <f t="shared" si="2"/>
        <v>#REF!</v>
      </c>
      <c r="I99" s="110">
        <v>0</v>
      </c>
      <c r="J99" s="109">
        <f>SUM(I99+'Draw #11'!J99)</f>
        <v>0</v>
      </c>
      <c r="K99" s="101" t="str">
        <f t="shared" si="3"/>
        <v/>
      </c>
      <c r="L99" s="9"/>
      <c r="M99" s="9"/>
    </row>
    <row r="100" spans="1:13" ht="14.1" customHeight="1">
      <c r="A100" s="4" t="e">
        <f>'SCHEDULE OF VALUE WORKSHEET'!#REF!</f>
        <v>#REF!</v>
      </c>
      <c r="B100" s="142" t="e">
        <f>'SCHEDULE OF VALUE WORKSHEET'!#REF!</f>
        <v>#REF!</v>
      </c>
      <c r="C100" s="143"/>
      <c r="D100" s="104" t="e">
        <f>SUM('SCHEDULE OF VALUE WORKSHEET'!#REF!)</f>
        <v>#REF!</v>
      </c>
      <c r="E100" s="104">
        <f>SUM('Draw #11'!E100:F100)</f>
        <v>0</v>
      </c>
      <c r="F100" s="105">
        <v>0</v>
      </c>
      <c r="G100" s="104" t="e">
        <f>SUM('Draw #11'!G100)+F100</f>
        <v>#REF!</v>
      </c>
      <c r="H100" s="109" t="e">
        <f t="shared" si="2"/>
        <v>#REF!</v>
      </c>
      <c r="I100" s="110">
        <v>0</v>
      </c>
      <c r="J100" s="109">
        <f>SUM(I100+'Draw #11'!J100)</f>
        <v>0</v>
      </c>
      <c r="K100" s="101" t="str">
        <f t="shared" si="3"/>
        <v/>
      </c>
      <c r="L100" s="9"/>
      <c r="M100" s="9"/>
    </row>
    <row r="101" spans="1:13" ht="14.1" customHeight="1">
      <c r="A101" s="4" t="e">
        <f>'SCHEDULE OF VALUE WORKSHEET'!#REF!</f>
        <v>#REF!</v>
      </c>
      <c r="B101" s="142" t="e">
        <f>'SCHEDULE OF VALUE WORKSHEET'!#REF!</f>
        <v>#REF!</v>
      </c>
      <c r="C101" s="143"/>
      <c r="D101" s="104" t="e">
        <f>SUM('SCHEDULE OF VALUE WORKSHEET'!#REF!)</f>
        <v>#REF!</v>
      </c>
      <c r="E101" s="104">
        <f>SUM('Draw #11'!E101:F101)</f>
        <v>0</v>
      </c>
      <c r="F101" s="105">
        <v>0</v>
      </c>
      <c r="G101" s="104" t="e">
        <f>SUM('Draw #11'!G101)+F101</f>
        <v>#REF!</v>
      </c>
      <c r="H101" s="109" t="e">
        <f t="shared" si="2"/>
        <v>#REF!</v>
      </c>
      <c r="I101" s="110">
        <v>0</v>
      </c>
      <c r="J101" s="109">
        <f>SUM(I101+'Draw #11'!J101)</f>
        <v>0</v>
      </c>
      <c r="K101" s="101" t="str">
        <f t="shared" si="3"/>
        <v/>
      </c>
      <c r="L101" s="9"/>
      <c r="M101" s="9"/>
    </row>
    <row r="102" spans="1:13" ht="14.1" customHeight="1">
      <c r="A102" s="4" t="e">
        <f>'SCHEDULE OF VALUE WORKSHEET'!#REF!</f>
        <v>#REF!</v>
      </c>
      <c r="B102" s="142" t="e">
        <f>'SCHEDULE OF VALUE WORKSHEET'!#REF!</f>
        <v>#REF!</v>
      </c>
      <c r="C102" s="143"/>
      <c r="D102" s="104" t="e">
        <f>SUM('SCHEDULE OF VALUE WORKSHEET'!#REF!)</f>
        <v>#REF!</v>
      </c>
      <c r="E102" s="104">
        <f>SUM('Draw #11'!E102:F102)</f>
        <v>0</v>
      </c>
      <c r="F102" s="105">
        <v>0</v>
      </c>
      <c r="G102" s="104" t="e">
        <f>SUM('Draw #11'!G102)+F102</f>
        <v>#REF!</v>
      </c>
      <c r="H102" s="109" t="e">
        <f t="shared" si="2"/>
        <v>#REF!</v>
      </c>
      <c r="I102" s="110">
        <v>0</v>
      </c>
      <c r="J102" s="109">
        <f>SUM(I102+'Draw #11'!J102)</f>
        <v>0</v>
      </c>
      <c r="K102" s="101" t="str">
        <f t="shared" si="3"/>
        <v/>
      </c>
      <c r="L102" s="9"/>
      <c r="M102" s="9"/>
    </row>
    <row r="103" spans="1:13" ht="14.1" customHeight="1">
      <c r="A103" s="4" t="e">
        <f>'SCHEDULE OF VALUE WORKSHEET'!#REF!</f>
        <v>#REF!</v>
      </c>
      <c r="B103" s="142" t="e">
        <f>'SCHEDULE OF VALUE WORKSHEET'!#REF!</f>
        <v>#REF!</v>
      </c>
      <c r="C103" s="143"/>
      <c r="D103" s="104" t="e">
        <f>SUM('SCHEDULE OF VALUE WORKSHEET'!#REF!)</f>
        <v>#REF!</v>
      </c>
      <c r="E103" s="104">
        <f>SUM('Draw #11'!E103:F103)</f>
        <v>0</v>
      </c>
      <c r="F103" s="105">
        <v>0</v>
      </c>
      <c r="G103" s="104" t="e">
        <f>SUM('Draw #11'!G103)+F103</f>
        <v>#REF!</v>
      </c>
      <c r="H103" s="109" t="e">
        <f t="shared" si="2"/>
        <v>#REF!</v>
      </c>
      <c r="I103" s="110">
        <v>0</v>
      </c>
      <c r="J103" s="109">
        <f>SUM(I103+'Draw #11'!J103)</f>
        <v>0</v>
      </c>
      <c r="K103" s="101" t="str">
        <f t="shared" si="3"/>
        <v/>
      </c>
      <c r="L103" s="9"/>
      <c r="M103" s="9"/>
    </row>
    <row r="104" spans="1:13" ht="14.1" customHeight="1">
      <c r="A104" s="4" t="e">
        <f>'SCHEDULE OF VALUE WORKSHEET'!#REF!</f>
        <v>#REF!</v>
      </c>
      <c r="B104" s="142" t="e">
        <f>'SCHEDULE OF VALUE WORKSHEET'!#REF!</f>
        <v>#REF!</v>
      </c>
      <c r="C104" s="143"/>
      <c r="D104" s="104" t="e">
        <f>SUM('SCHEDULE OF VALUE WORKSHEET'!#REF!)</f>
        <v>#REF!</v>
      </c>
      <c r="E104" s="104">
        <f>SUM('Draw #11'!E104:F104)</f>
        <v>0</v>
      </c>
      <c r="F104" s="105">
        <v>0</v>
      </c>
      <c r="G104" s="104" t="e">
        <f>SUM('Draw #11'!G104)+F104</f>
        <v>#REF!</v>
      </c>
      <c r="H104" s="109" t="e">
        <f t="shared" si="2"/>
        <v>#REF!</v>
      </c>
      <c r="I104" s="110">
        <v>0</v>
      </c>
      <c r="J104" s="109">
        <f>SUM(I104+'Draw #11'!J104)</f>
        <v>0</v>
      </c>
      <c r="K104" s="101" t="str">
        <f t="shared" si="3"/>
        <v/>
      </c>
      <c r="L104" s="9"/>
      <c r="M104" s="9"/>
    </row>
    <row r="105" spans="1:13" ht="14.1" customHeight="1">
      <c r="A105" s="4" t="e">
        <f>'SCHEDULE OF VALUE WORKSHEET'!#REF!</f>
        <v>#REF!</v>
      </c>
      <c r="B105" s="142" t="e">
        <f>'SCHEDULE OF VALUE WORKSHEET'!#REF!</f>
        <v>#REF!</v>
      </c>
      <c r="C105" s="143"/>
      <c r="D105" s="104" t="e">
        <f>SUM('SCHEDULE OF VALUE WORKSHEET'!#REF!)</f>
        <v>#REF!</v>
      </c>
      <c r="E105" s="104">
        <f>SUM('Draw #11'!E105:F105)</f>
        <v>0</v>
      </c>
      <c r="F105" s="105">
        <v>0</v>
      </c>
      <c r="G105" s="104" t="e">
        <f>SUM('Draw #11'!G105)+F105</f>
        <v>#REF!</v>
      </c>
      <c r="H105" s="109" t="e">
        <f t="shared" si="2"/>
        <v>#REF!</v>
      </c>
      <c r="I105" s="110">
        <v>0</v>
      </c>
      <c r="J105" s="109">
        <f>SUM(I105+'Draw #11'!J105)</f>
        <v>0</v>
      </c>
      <c r="K105" s="101" t="str">
        <f t="shared" si="3"/>
        <v/>
      </c>
      <c r="L105" s="9"/>
      <c r="M105" s="9"/>
    </row>
    <row r="106" spans="1:13" ht="14.1" customHeight="1">
      <c r="A106" s="4" t="e">
        <f>'SCHEDULE OF VALUE WORKSHEET'!#REF!</f>
        <v>#REF!</v>
      </c>
      <c r="B106" s="142" t="e">
        <f>'SCHEDULE OF VALUE WORKSHEET'!#REF!</f>
        <v>#REF!</v>
      </c>
      <c r="C106" s="143"/>
      <c r="D106" s="104" t="e">
        <f>SUM('SCHEDULE OF VALUE WORKSHEET'!#REF!)</f>
        <v>#REF!</v>
      </c>
      <c r="E106" s="104">
        <f>SUM('Draw #11'!E106:F106)</f>
        <v>0</v>
      </c>
      <c r="F106" s="105">
        <v>0</v>
      </c>
      <c r="G106" s="104" t="e">
        <f>SUM('Draw #11'!G106)+F106</f>
        <v>#REF!</v>
      </c>
      <c r="H106" s="109" t="e">
        <f t="shared" si="2"/>
        <v>#REF!</v>
      </c>
      <c r="I106" s="110">
        <v>0</v>
      </c>
      <c r="J106" s="109">
        <f>SUM(I106+'Draw #11'!J106)</f>
        <v>0</v>
      </c>
      <c r="K106" s="101" t="str">
        <f t="shared" si="3"/>
        <v/>
      </c>
      <c r="L106" s="9"/>
      <c r="M106" s="9"/>
    </row>
    <row r="107" spans="1:13" ht="14.1" customHeight="1">
      <c r="A107" s="4" t="e">
        <f>'SCHEDULE OF VALUE WORKSHEET'!#REF!</f>
        <v>#REF!</v>
      </c>
      <c r="B107" s="142" t="e">
        <f>'SCHEDULE OF VALUE WORKSHEET'!#REF!</f>
        <v>#REF!</v>
      </c>
      <c r="C107" s="143"/>
      <c r="D107" s="104" t="e">
        <f>SUM('SCHEDULE OF VALUE WORKSHEET'!#REF!)</f>
        <v>#REF!</v>
      </c>
      <c r="E107" s="104">
        <f>SUM('Draw #11'!E107:F107)</f>
        <v>0</v>
      </c>
      <c r="F107" s="105">
        <v>0</v>
      </c>
      <c r="G107" s="104" t="e">
        <f>SUM('Draw #11'!G107)+F107</f>
        <v>#REF!</v>
      </c>
      <c r="H107" s="109" t="e">
        <f t="shared" si="2"/>
        <v>#REF!</v>
      </c>
      <c r="I107" s="110">
        <v>0</v>
      </c>
      <c r="J107" s="109">
        <f>SUM(I107+'Draw #11'!J107)</f>
        <v>0</v>
      </c>
      <c r="K107" s="101" t="str">
        <f t="shared" si="3"/>
        <v/>
      </c>
      <c r="L107" s="9"/>
      <c r="M107" s="9"/>
    </row>
    <row r="108" spans="1:13" ht="14.1" customHeight="1">
      <c r="A108" s="4" t="e">
        <f>'SCHEDULE OF VALUE WORKSHEET'!#REF!</f>
        <v>#REF!</v>
      </c>
      <c r="B108" s="142" t="e">
        <f>'SCHEDULE OF VALUE WORKSHEET'!#REF!</f>
        <v>#REF!</v>
      </c>
      <c r="C108" s="143"/>
      <c r="D108" s="104" t="e">
        <f>SUM('SCHEDULE OF VALUE WORKSHEET'!#REF!)</f>
        <v>#REF!</v>
      </c>
      <c r="E108" s="104">
        <f>SUM('Draw #11'!E108:F108)</f>
        <v>0</v>
      </c>
      <c r="F108" s="105">
        <v>0</v>
      </c>
      <c r="G108" s="104" t="e">
        <f>SUM('Draw #11'!G108)+F108</f>
        <v>#REF!</v>
      </c>
      <c r="H108" s="109" t="e">
        <f t="shared" si="2"/>
        <v>#REF!</v>
      </c>
      <c r="I108" s="110">
        <v>0</v>
      </c>
      <c r="J108" s="109">
        <f>SUM(I108+'Draw #11'!J108)</f>
        <v>0</v>
      </c>
      <c r="K108" s="101" t="str">
        <f t="shared" si="3"/>
        <v/>
      </c>
      <c r="L108" s="9"/>
      <c r="M108" s="9"/>
    </row>
    <row r="109" spans="1:13" ht="14.1" customHeight="1">
      <c r="A109" s="4" t="e">
        <f>'SCHEDULE OF VALUE WORKSHEET'!#REF!</f>
        <v>#REF!</v>
      </c>
      <c r="B109" s="142" t="e">
        <f>'SCHEDULE OF VALUE WORKSHEET'!#REF!</f>
        <v>#REF!</v>
      </c>
      <c r="C109" s="143"/>
      <c r="D109" s="104" t="e">
        <f>SUM('SCHEDULE OF VALUE WORKSHEET'!#REF!)</f>
        <v>#REF!</v>
      </c>
      <c r="E109" s="104">
        <f>SUM('Draw #11'!E109:F109)</f>
        <v>0</v>
      </c>
      <c r="F109" s="105">
        <v>0</v>
      </c>
      <c r="G109" s="104" t="e">
        <f>SUM('Draw #11'!G109)+F109</f>
        <v>#REF!</v>
      </c>
      <c r="H109" s="109" t="e">
        <f t="shared" si="2"/>
        <v>#REF!</v>
      </c>
      <c r="I109" s="110">
        <v>0</v>
      </c>
      <c r="J109" s="109">
        <f>SUM(I109+'Draw #11'!J109)</f>
        <v>0</v>
      </c>
      <c r="K109" s="101" t="str">
        <f t="shared" si="3"/>
        <v/>
      </c>
      <c r="L109" s="9"/>
      <c r="M109" s="9"/>
    </row>
    <row r="110" spans="1:13" ht="14.1" customHeight="1">
      <c r="A110" s="4" t="e">
        <f>'SCHEDULE OF VALUE WORKSHEET'!#REF!</f>
        <v>#REF!</v>
      </c>
      <c r="B110" s="142" t="e">
        <f>'SCHEDULE OF VALUE WORKSHEET'!#REF!</f>
        <v>#REF!</v>
      </c>
      <c r="C110" s="143"/>
      <c r="D110" s="104" t="e">
        <f>SUM('SCHEDULE OF VALUE WORKSHEET'!#REF!)</f>
        <v>#REF!</v>
      </c>
      <c r="E110" s="104">
        <f>SUM('Draw #11'!E110:F110)</f>
        <v>0</v>
      </c>
      <c r="F110" s="105">
        <v>0</v>
      </c>
      <c r="G110" s="104" t="e">
        <f>SUM('Draw #11'!G110)+F110</f>
        <v>#REF!</v>
      </c>
      <c r="H110" s="109" t="e">
        <f t="shared" si="2"/>
        <v>#REF!</v>
      </c>
      <c r="I110" s="110">
        <v>0</v>
      </c>
      <c r="J110" s="109">
        <f>SUM(I110+'Draw #11'!J110)</f>
        <v>0</v>
      </c>
      <c r="K110" s="101" t="str">
        <f t="shared" si="3"/>
        <v/>
      </c>
      <c r="L110" s="9"/>
      <c r="M110" s="9"/>
    </row>
    <row r="111" spans="1:13" ht="14.1" customHeight="1">
      <c r="A111" s="4" t="e">
        <f>'SCHEDULE OF VALUE WORKSHEET'!#REF!</f>
        <v>#REF!</v>
      </c>
      <c r="B111" s="142" t="e">
        <f>'SCHEDULE OF VALUE WORKSHEET'!#REF!</f>
        <v>#REF!</v>
      </c>
      <c r="C111" s="143"/>
      <c r="D111" s="104" t="e">
        <f>SUM('SCHEDULE OF VALUE WORKSHEET'!#REF!)</f>
        <v>#REF!</v>
      </c>
      <c r="E111" s="104">
        <f>SUM('Draw #11'!E111:F111)</f>
        <v>0</v>
      </c>
      <c r="F111" s="105">
        <v>0</v>
      </c>
      <c r="G111" s="104" t="e">
        <f>SUM('Draw #11'!G111)+F111</f>
        <v>#REF!</v>
      </c>
      <c r="H111" s="109" t="e">
        <f t="shared" si="2"/>
        <v>#REF!</v>
      </c>
      <c r="I111" s="110">
        <v>0</v>
      </c>
      <c r="J111" s="109">
        <f>SUM(I111+'Draw #11'!J111)</f>
        <v>0</v>
      </c>
      <c r="K111" s="101" t="str">
        <f t="shared" si="3"/>
        <v/>
      </c>
      <c r="L111" s="9"/>
      <c r="M111" s="9"/>
    </row>
    <row r="112" spans="1:13" ht="14.1" customHeight="1">
      <c r="A112" s="4" t="e">
        <f>'SCHEDULE OF VALUE WORKSHEET'!#REF!</f>
        <v>#REF!</v>
      </c>
      <c r="B112" s="142" t="e">
        <f>'SCHEDULE OF VALUE WORKSHEET'!#REF!</f>
        <v>#REF!</v>
      </c>
      <c r="C112" s="143"/>
      <c r="D112" s="104" t="e">
        <f>SUM('SCHEDULE OF VALUE WORKSHEET'!#REF!)</f>
        <v>#REF!</v>
      </c>
      <c r="E112" s="104">
        <f>SUM('Draw #11'!E112:F112)</f>
        <v>0</v>
      </c>
      <c r="F112" s="105">
        <v>0</v>
      </c>
      <c r="G112" s="104" t="e">
        <f>SUM('Draw #11'!G112)+F112</f>
        <v>#REF!</v>
      </c>
      <c r="H112" s="109" t="e">
        <f t="shared" si="2"/>
        <v>#REF!</v>
      </c>
      <c r="I112" s="110">
        <v>0</v>
      </c>
      <c r="J112" s="109">
        <f>SUM(I112+'Draw #11'!J112)</f>
        <v>0</v>
      </c>
      <c r="K112" s="101" t="str">
        <f t="shared" si="3"/>
        <v/>
      </c>
      <c r="L112" s="9"/>
      <c r="M112" s="9"/>
    </row>
    <row r="113" spans="1:13" ht="14.1" customHeight="1">
      <c r="A113" s="4" t="e">
        <f>'SCHEDULE OF VALUE WORKSHEET'!#REF!</f>
        <v>#REF!</v>
      </c>
      <c r="B113" s="142" t="e">
        <f>'SCHEDULE OF VALUE WORKSHEET'!#REF!</f>
        <v>#REF!</v>
      </c>
      <c r="C113" s="143"/>
      <c r="D113" s="104" t="e">
        <f>SUM('SCHEDULE OF VALUE WORKSHEET'!#REF!)</f>
        <v>#REF!</v>
      </c>
      <c r="E113" s="104">
        <f>SUM('Draw #11'!E113:F113)</f>
        <v>0</v>
      </c>
      <c r="F113" s="105">
        <v>0</v>
      </c>
      <c r="G113" s="104" t="e">
        <f>SUM('Draw #11'!G113)+F113</f>
        <v>#REF!</v>
      </c>
      <c r="H113" s="109" t="e">
        <f t="shared" si="2"/>
        <v>#REF!</v>
      </c>
      <c r="I113" s="110">
        <v>0</v>
      </c>
      <c r="J113" s="109">
        <f>SUM(I113+'Draw #11'!J113)</f>
        <v>0</v>
      </c>
      <c r="K113" s="101" t="str">
        <f t="shared" si="3"/>
        <v/>
      </c>
      <c r="L113" s="9"/>
      <c r="M113" s="9"/>
    </row>
    <row r="114" spans="1:13" ht="14.1" customHeight="1">
      <c r="A114" s="4" t="e">
        <f>'SCHEDULE OF VALUE WORKSHEET'!#REF!</f>
        <v>#REF!</v>
      </c>
      <c r="B114" s="142" t="e">
        <f>'SCHEDULE OF VALUE WORKSHEET'!#REF!</f>
        <v>#REF!</v>
      </c>
      <c r="C114" s="143"/>
      <c r="D114" s="104" t="e">
        <f>SUM('SCHEDULE OF VALUE WORKSHEET'!#REF!)</f>
        <v>#REF!</v>
      </c>
      <c r="E114" s="104">
        <f>SUM('Draw #11'!E114:F114)</f>
        <v>0</v>
      </c>
      <c r="F114" s="105">
        <v>0</v>
      </c>
      <c r="G114" s="104" t="e">
        <f>SUM('Draw #11'!G114)+F114</f>
        <v>#REF!</v>
      </c>
      <c r="H114" s="109" t="e">
        <f t="shared" si="2"/>
        <v>#REF!</v>
      </c>
      <c r="I114" s="110">
        <v>0</v>
      </c>
      <c r="J114" s="109">
        <f>SUM(I114+'Draw #11'!J114)</f>
        <v>0</v>
      </c>
      <c r="K114" s="101" t="str">
        <f t="shared" si="3"/>
        <v/>
      </c>
      <c r="L114" s="9"/>
      <c r="M114" s="9"/>
    </row>
    <row r="115" spans="1:13" ht="14.1" customHeight="1">
      <c r="A115" s="4" t="e">
        <f>'SCHEDULE OF VALUE WORKSHEET'!#REF!</f>
        <v>#REF!</v>
      </c>
      <c r="B115" s="142" t="e">
        <f>'SCHEDULE OF VALUE WORKSHEET'!#REF!</f>
        <v>#REF!</v>
      </c>
      <c r="C115" s="143"/>
      <c r="D115" s="104" t="e">
        <f>SUM('SCHEDULE OF VALUE WORKSHEET'!#REF!)</f>
        <v>#REF!</v>
      </c>
      <c r="E115" s="104">
        <f>SUM('Draw #11'!E115:F115)</f>
        <v>0</v>
      </c>
      <c r="F115" s="105">
        <v>0</v>
      </c>
      <c r="G115" s="104" t="e">
        <f>SUM('Draw #11'!G115)+F115</f>
        <v>#REF!</v>
      </c>
      <c r="H115" s="109" t="e">
        <f t="shared" si="2"/>
        <v>#REF!</v>
      </c>
      <c r="I115" s="110">
        <v>0</v>
      </c>
      <c r="J115" s="109">
        <f>SUM(I115+'Draw #11'!J115)</f>
        <v>0</v>
      </c>
      <c r="K115" s="101" t="str">
        <f t="shared" si="3"/>
        <v/>
      </c>
      <c r="L115" s="9"/>
      <c r="M115" s="9"/>
    </row>
    <row r="116" spans="1:13" ht="14.1" customHeight="1">
      <c r="A116" s="4" t="e">
        <f>'SCHEDULE OF VALUE WORKSHEET'!#REF!</f>
        <v>#REF!</v>
      </c>
      <c r="B116" s="142" t="e">
        <f>'SCHEDULE OF VALUE WORKSHEET'!#REF!</f>
        <v>#REF!</v>
      </c>
      <c r="C116" s="143"/>
      <c r="D116" s="104" t="e">
        <f>SUM('SCHEDULE OF VALUE WORKSHEET'!#REF!)</f>
        <v>#REF!</v>
      </c>
      <c r="E116" s="104">
        <f>SUM('Draw #11'!E116:F116)</f>
        <v>0</v>
      </c>
      <c r="F116" s="105">
        <v>0</v>
      </c>
      <c r="G116" s="104" t="e">
        <f>SUM('Draw #11'!G116)+F116</f>
        <v>#REF!</v>
      </c>
      <c r="H116" s="109" t="e">
        <f t="shared" si="2"/>
        <v>#REF!</v>
      </c>
      <c r="I116" s="110">
        <v>0</v>
      </c>
      <c r="J116" s="109">
        <f>SUM(I116+'Draw #11'!J116)</f>
        <v>0</v>
      </c>
      <c r="K116" s="101" t="str">
        <f t="shared" si="3"/>
        <v/>
      </c>
      <c r="L116" s="9"/>
      <c r="M116" s="9"/>
    </row>
    <row r="117" spans="1:13" ht="14.1" customHeight="1">
      <c r="A117" s="4">
        <f>'SCHEDULE OF VALUE WORKSHEET'!A87</f>
        <v>82</v>
      </c>
      <c r="B117" s="142" t="str">
        <f>'SCHEDULE OF VALUE WORKSHEET'!B87</f>
        <v xml:space="preserve">Open Item </v>
      </c>
      <c r="C117" s="143"/>
      <c r="D117" s="104">
        <f>SUM('SCHEDULE OF VALUE WORKSHEET'!E87)</f>
        <v>0</v>
      </c>
      <c r="E117" s="104">
        <f>SUM('Draw #11'!E117:F117)</f>
        <v>0</v>
      </c>
      <c r="F117" s="105">
        <v>0</v>
      </c>
      <c r="G117" s="104">
        <f>SUM('Draw #11'!G117)+F117</f>
        <v>0</v>
      </c>
      <c r="H117" s="109">
        <f t="shared" si="2"/>
        <v>0</v>
      </c>
      <c r="I117" s="110">
        <v>0</v>
      </c>
      <c r="J117" s="109">
        <f>SUM(I117+'Draw #11'!J117)</f>
        <v>0</v>
      </c>
      <c r="K117" s="101" t="str">
        <f t="shared" si="3"/>
        <v/>
      </c>
      <c r="L117" s="9"/>
      <c r="M117" s="9"/>
    </row>
    <row r="118" spans="1:13" ht="14.1" customHeight="1">
      <c r="A118" s="4">
        <f>'SCHEDULE OF VALUE WORKSHEET'!A88</f>
        <v>83</v>
      </c>
      <c r="B118" s="142" t="str">
        <f>'SCHEDULE OF VALUE WORKSHEET'!B88</f>
        <v xml:space="preserve">Open Item </v>
      </c>
      <c r="C118" s="143"/>
      <c r="D118" s="104">
        <f>SUM('SCHEDULE OF VALUE WORKSHEET'!E88)</f>
        <v>0</v>
      </c>
      <c r="E118" s="104">
        <f>SUM('Draw #11'!E118:F118)</f>
        <v>0</v>
      </c>
      <c r="F118" s="105">
        <v>0</v>
      </c>
      <c r="G118" s="104">
        <f>SUM('Draw #11'!G118)+F118</f>
        <v>0</v>
      </c>
      <c r="H118" s="109">
        <f t="shared" si="2"/>
        <v>0</v>
      </c>
      <c r="I118" s="110">
        <v>0</v>
      </c>
      <c r="J118" s="109">
        <f>SUM(I118+'Draw #11'!J118)</f>
        <v>0</v>
      </c>
      <c r="K118" s="101" t="str">
        <f t="shared" si="3"/>
        <v/>
      </c>
      <c r="L118" s="9"/>
      <c r="M118" s="9"/>
    </row>
    <row r="119" spans="1:13" ht="14.1" customHeight="1">
      <c r="A119" s="4">
        <f>'SCHEDULE OF VALUE WORKSHEET'!A89</f>
        <v>84</v>
      </c>
      <c r="B119" s="142" t="str">
        <f>'SCHEDULE OF VALUE WORKSHEET'!B89</f>
        <v xml:space="preserve">Open Item </v>
      </c>
      <c r="C119" s="143"/>
      <c r="D119" s="104">
        <f>SUM('SCHEDULE OF VALUE WORKSHEET'!E89)</f>
        <v>0</v>
      </c>
      <c r="E119" s="104">
        <f>SUM('Draw #11'!E119:F119)</f>
        <v>0</v>
      </c>
      <c r="F119" s="105">
        <v>0</v>
      </c>
      <c r="G119" s="104">
        <f>SUM('Draw #11'!G119)+F119</f>
        <v>0</v>
      </c>
      <c r="H119" s="109">
        <f t="shared" si="2"/>
        <v>0</v>
      </c>
      <c r="I119" s="110">
        <v>0</v>
      </c>
      <c r="J119" s="109">
        <f>SUM(I119+'Draw #11'!J119)</f>
        <v>0</v>
      </c>
      <c r="K119" s="101" t="str">
        <f t="shared" si="3"/>
        <v/>
      </c>
      <c r="L119" s="9"/>
      <c r="M119" s="9"/>
    </row>
    <row r="120" spans="1:13" ht="14.1" customHeight="1">
      <c r="A120" s="4">
        <f>'SCHEDULE OF VALUE WORKSHEET'!A90</f>
        <v>85</v>
      </c>
      <c r="B120" s="142" t="str">
        <f>'SCHEDULE OF VALUE WORKSHEET'!B90</f>
        <v xml:space="preserve">Open Item </v>
      </c>
      <c r="C120" s="143"/>
      <c r="D120" s="104">
        <f>SUM('SCHEDULE OF VALUE WORKSHEET'!E90)</f>
        <v>0</v>
      </c>
      <c r="E120" s="104">
        <f>SUM('Draw #11'!E120:F120)</f>
        <v>0</v>
      </c>
      <c r="F120" s="105">
        <v>0</v>
      </c>
      <c r="G120" s="104">
        <f>SUM('Draw #11'!G120)+F120</f>
        <v>0</v>
      </c>
      <c r="H120" s="109">
        <f t="shared" si="2"/>
        <v>0</v>
      </c>
      <c r="I120" s="110">
        <v>0</v>
      </c>
      <c r="J120" s="109">
        <f>SUM(I120+'Draw #11'!J120)</f>
        <v>0</v>
      </c>
      <c r="K120" s="101" t="str">
        <f t="shared" si="3"/>
        <v/>
      </c>
      <c r="L120" s="9"/>
      <c r="M120" s="9"/>
    </row>
    <row r="121" spans="1:13" ht="14.1" customHeight="1">
      <c r="A121" s="4">
        <f>'SCHEDULE OF VALUE WORKSHEET'!A91</f>
        <v>86</v>
      </c>
      <c r="B121" s="142" t="str">
        <f>'SCHEDULE OF VALUE WORKSHEET'!B91</f>
        <v xml:space="preserve">Open Item </v>
      </c>
      <c r="C121" s="143"/>
      <c r="D121" s="104">
        <f>SUM('SCHEDULE OF VALUE WORKSHEET'!E91)</f>
        <v>0</v>
      </c>
      <c r="E121" s="104">
        <f>SUM('Draw #11'!E121:F121)</f>
        <v>0</v>
      </c>
      <c r="F121" s="105">
        <v>0</v>
      </c>
      <c r="G121" s="104">
        <f>SUM('Draw #11'!G121)+F121</f>
        <v>0</v>
      </c>
      <c r="H121" s="109">
        <f t="shared" si="2"/>
        <v>0</v>
      </c>
      <c r="I121" s="110">
        <v>0</v>
      </c>
      <c r="J121" s="109">
        <f>SUM(I121+'Draw #11'!J121)</f>
        <v>0</v>
      </c>
      <c r="K121" s="101" t="str">
        <f t="shared" si="3"/>
        <v/>
      </c>
      <c r="L121" s="9"/>
      <c r="M121" s="9"/>
    </row>
    <row r="122" spans="1:13" ht="14.1" customHeight="1">
      <c r="A122" s="4">
        <f>'SCHEDULE OF VALUE WORKSHEET'!A92</f>
        <v>87</v>
      </c>
      <c r="B122" s="142" t="str">
        <f>'SCHEDULE OF VALUE WORKSHEET'!B92</f>
        <v xml:space="preserve">Open Item </v>
      </c>
      <c r="C122" s="143"/>
      <c r="D122" s="104">
        <f>SUM('SCHEDULE OF VALUE WORKSHEET'!E92)</f>
        <v>0</v>
      </c>
      <c r="E122" s="104">
        <f>SUM('Draw #11'!E122:F122)</f>
        <v>0</v>
      </c>
      <c r="F122" s="105">
        <v>0</v>
      </c>
      <c r="G122" s="104">
        <f>SUM('Draw #11'!G122)+F122</f>
        <v>0</v>
      </c>
      <c r="H122" s="109">
        <f t="shared" si="2"/>
        <v>0</v>
      </c>
      <c r="I122" s="110">
        <v>0</v>
      </c>
      <c r="J122" s="109">
        <f>SUM(I122+'Draw #11'!J122)</f>
        <v>0</v>
      </c>
      <c r="K122" s="101" t="str">
        <f t="shared" si="3"/>
        <v/>
      </c>
      <c r="L122" s="9"/>
      <c r="M122" s="9"/>
    </row>
    <row r="123" spans="1:13" ht="14.1" customHeight="1">
      <c r="A123" s="4">
        <f>'SCHEDULE OF VALUE WORKSHEET'!A93</f>
        <v>88</v>
      </c>
      <c r="B123" s="142" t="str">
        <f>'SCHEDULE OF VALUE WORKSHEET'!B93</f>
        <v xml:space="preserve">Open Item </v>
      </c>
      <c r="C123" s="143"/>
      <c r="D123" s="104">
        <f>SUM('SCHEDULE OF VALUE WORKSHEET'!E93)</f>
        <v>0</v>
      </c>
      <c r="E123" s="104">
        <f>SUM('Draw #11'!E123:F123)</f>
        <v>0</v>
      </c>
      <c r="F123" s="105">
        <v>0</v>
      </c>
      <c r="G123" s="104">
        <f>SUM('Draw #11'!G123)+F123</f>
        <v>0</v>
      </c>
      <c r="H123" s="109">
        <f t="shared" si="2"/>
        <v>0</v>
      </c>
      <c r="I123" s="110">
        <v>0</v>
      </c>
      <c r="J123" s="109">
        <f>SUM(I123+'Draw #11'!J123)</f>
        <v>0</v>
      </c>
      <c r="K123" s="101" t="str">
        <f t="shared" si="3"/>
        <v/>
      </c>
      <c r="L123" s="9"/>
      <c r="M123" s="9"/>
    </row>
    <row r="124" spans="1:13" ht="14.1" customHeight="1">
      <c r="A124" s="4">
        <f>'SCHEDULE OF VALUE WORKSHEET'!A94</f>
        <v>89</v>
      </c>
      <c r="B124" s="142" t="str">
        <f>'SCHEDULE OF VALUE WORKSHEET'!B94</f>
        <v xml:space="preserve">Open Item </v>
      </c>
      <c r="C124" s="143"/>
      <c r="D124" s="104">
        <f>SUM('SCHEDULE OF VALUE WORKSHEET'!E94)</f>
        <v>0</v>
      </c>
      <c r="E124" s="104">
        <f>SUM('Draw #11'!E124:F124)</f>
        <v>0</v>
      </c>
      <c r="F124" s="105">
        <v>0</v>
      </c>
      <c r="G124" s="104">
        <f>SUM('Draw #11'!G124)+F124</f>
        <v>0</v>
      </c>
      <c r="H124" s="109">
        <f t="shared" si="2"/>
        <v>0</v>
      </c>
      <c r="I124" s="110">
        <v>0</v>
      </c>
      <c r="J124" s="109">
        <f>SUM(I124+'Draw #11'!J124)</f>
        <v>0</v>
      </c>
      <c r="K124" s="101" t="str">
        <f t="shared" si="3"/>
        <v/>
      </c>
      <c r="L124" s="9"/>
      <c r="M124" s="9"/>
    </row>
    <row r="125" spans="1:13" ht="14.1" customHeight="1">
      <c r="A125" s="4">
        <f>'SCHEDULE OF VALUE WORKSHEET'!A95</f>
        <v>90</v>
      </c>
      <c r="B125" s="142" t="str">
        <f>'SCHEDULE OF VALUE WORKSHEET'!B95</f>
        <v xml:space="preserve">Open Item </v>
      </c>
      <c r="C125" s="143"/>
      <c r="D125" s="104">
        <f>SUM('SCHEDULE OF VALUE WORKSHEET'!E95)</f>
        <v>0</v>
      </c>
      <c r="E125" s="104">
        <f>SUM('Draw #11'!E125:F125)</f>
        <v>0</v>
      </c>
      <c r="F125" s="105">
        <v>0</v>
      </c>
      <c r="G125" s="104">
        <f>SUM('Draw #11'!G125)+F125</f>
        <v>0</v>
      </c>
      <c r="H125" s="109">
        <f t="shared" si="2"/>
        <v>0</v>
      </c>
      <c r="I125" s="110">
        <v>0</v>
      </c>
      <c r="J125" s="109">
        <f>SUM(I125+'Draw #11'!J125)</f>
        <v>0</v>
      </c>
      <c r="K125" s="101" t="str">
        <f t="shared" si="3"/>
        <v/>
      </c>
      <c r="L125" s="9"/>
      <c r="M125" s="9"/>
    </row>
    <row r="126" spans="1:13" ht="14.1" customHeight="1">
      <c r="A126" s="4">
        <f>'SCHEDULE OF VALUE WORKSHEET'!A96</f>
        <v>91</v>
      </c>
      <c r="B126" s="142" t="str">
        <f>'SCHEDULE OF VALUE WORKSHEET'!B96</f>
        <v xml:space="preserve">Open Item </v>
      </c>
      <c r="C126" s="143"/>
      <c r="D126" s="104">
        <f>SUM('SCHEDULE OF VALUE WORKSHEET'!E96)</f>
        <v>0</v>
      </c>
      <c r="E126" s="104">
        <f>SUM('Draw #11'!E126:F126)</f>
        <v>0</v>
      </c>
      <c r="F126" s="105">
        <v>0</v>
      </c>
      <c r="G126" s="104">
        <f>SUM('Draw #11'!G126)+F126</f>
        <v>0</v>
      </c>
      <c r="H126" s="109">
        <f t="shared" si="2"/>
        <v>0</v>
      </c>
      <c r="I126" s="110">
        <v>0</v>
      </c>
      <c r="J126" s="109">
        <f>SUM(I126+'Draw #11'!J126)</f>
        <v>0</v>
      </c>
      <c r="K126" s="101" t="str">
        <f t="shared" si="3"/>
        <v/>
      </c>
      <c r="L126" s="9"/>
      <c r="M126" s="9"/>
    </row>
    <row r="127" spans="1:13" ht="14.1" customHeight="1">
      <c r="A127" s="4">
        <f>'SCHEDULE OF VALUE WORKSHEET'!A97</f>
        <v>92</v>
      </c>
      <c r="B127" s="142" t="str">
        <f>'SCHEDULE OF VALUE WORKSHEET'!B97</f>
        <v xml:space="preserve">Open Item </v>
      </c>
      <c r="C127" s="143"/>
      <c r="D127" s="104">
        <f>SUM('SCHEDULE OF VALUE WORKSHEET'!E97)</f>
        <v>0</v>
      </c>
      <c r="E127" s="104">
        <f>SUM('Draw #11'!E127:F127)</f>
        <v>0</v>
      </c>
      <c r="F127" s="105">
        <v>0</v>
      </c>
      <c r="G127" s="104">
        <f>SUM('Draw #11'!G127)+F127</f>
        <v>0</v>
      </c>
      <c r="H127" s="109">
        <f t="shared" si="2"/>
        <v>0</v>
      </c>
      <c r="I127" s="110">
        <v>0</v>
      </c>
      <c r="J127" s="109">
        <f>SUM(I127+'Draw #11'!J127)</f>
        <v>0</v>
      </c>
      <c r="K127" s="101" t="str">
        <f t="shared" si="3"/>
        <v/>
      </c>
      <c r="L127" s="9"/>
      <c r="M127" s="9"/>
    </row>
    <row r="128" spans="1:13" ht="14.1" customHeight="1">
      <c r="A128" s="4">
        <f>'SCHEDULE OF VALUE WORKSHEET'!A98</f>
        <v>93</v>
      </c>
      <c r="B128" s="142" t="str">
        <f>'SCHEDULE OF VALUE WORKSHEET'!B98</f>
        <v xml:space="preserve">Open Item </v>
      </c>
      <c r="C128" s="143"/>
      <c r="D128" s="104">
        <f>SUM('SCHEDULE OF VALUE WORKSHEET'!E98)</f>
        <v>0</v>
      </c>
      <c r="E128" s="104">
        <f>SUM('Draw #11'!E128:F128)</f>
        <v>0</v>
      </c>
      <c r="F128" s="105">
        <v>0</v>
      </c>
      <c r="G128" s="104">
        <f>SUM('Draw #11'!G128)+F128</f>
        <v>0</v>
      </c>
      <c r="H128" s="109">
        <f t="shared" si="2"/>
        <v>0</v>
      </c>
      <c r="I128" s="110">
        <v>0</v>
      </c>
      <c r="J128" s="109">
        <f>SUM(I128+'Draw #11'!J128)</f>
        <v>0</v>
      </c>
      <c r="K128" s="101" t="str">
        <f t="shared" si="3"/>
        <v/>
      </c>
      <c r="L128" s="9"/>
      <c r="M128" s="9"/>
    </row>
    <row r="129" spans="1:13" ht="14.1" customHeight="1">
      <c r="A129" s="4">
        <f>'SCHEDULE OF VALUE WORKSHEET'!A99</f>
        <v>94</v>
      </c>
      <c r="B129" s="142" t="str">
        <f>'SCHEDULE OF VALUE WORKSHEET'!B99</f>
        <v xml:space="preserve">Open Item </v>
      </c>
      <c r="C129" s="143"/>
      <c r="D129" s="104">
        <f>SUM('SCHEDULE OF VALUE WORKSHEET'!E99)</f>
        <v>0</v>
      </c>
      <c r="E129" s="104">
        <f>SUM('Draw #11'!E129:F129)</f>
        <v>0</v>
      </c>
      <c r="F129" s="105">
        <v>0</v>
      </c>
      <c r="G129" s="104">
        <f>SUM('Draw #11'!G129)+F129</f>
        <v>0</v>
      </c>
      <c r="H129" s="109">
        <f t="shared" si="2"/>
        <v>0</v>
      </c>
      <c r="I129" s="110">
        <v>0</v>
      </c>
      <c r="J129" s="109">
        <f>SUM(I129+'Draw #11'!J129)</f>
        <v>0</v>
      </c>
      <c r="K129" s="101" t="str">
        <f t="shared" si="3"/>
        <v/>
      </c>
      <c r="L129" s="9"/>
      <c r="M129" s="9"/>
    </row>
    <row r="130" spans="1:13" ht="14.1" customHeight="1">
      <c r="A130" s="4">
        <f>'SCHEDULE OF VALUE WORKSHEET'!A100</f>
        <v>95</v>
      </c>
      <c r="B130" s="142" t="str">
        <f>'SCHEDULE OF VALUE WORKSHEET'!B100</f>
        <v xml:space="preserve">Open Item </v>
      </c>
      <c r="C130" s="143"/>
      <c r="D130" s="104">
        <f>SUM('SCHEDULE OF VALUE WORKSHEET'!E100)</f>
        <v>0</v>
      </c>
      <c r="E130" s="104">
        <f>SUM('Draw #11'!E130:F130)</f>
        <v>0</v>
      </c>
      <c r="F130" s="105">
        <v>0</v>
      </c>
      <c r="G130" s="104">
        <f>SUM('Draw #11'!G130)+F130</f>
        <v>0</v>
      </c>
      <c r="H130" s="109">
        <f t="shared" si="2"/>
        <v>0</v>
      </c>
      <c r="I130" s="110">
        <v>0</v>
      </c>
      <c r="J130" s="109">
        <f>SUM(I130+'Draw #11'!J130)</f>
        <v>0</v>
      </c>
      <c r="K130" s="101" t="str">
        <f t="shared" si="3"/>
        <v/>
      </c>
      <c r="L130" s="9"/>
      <c r="M130" s="9"/>
    </row>
    <row r="131" spans="1:13" ht="14.1" customHeight="1">
      <c r="A131" s="4">
        <f>'SCHEDULE OF VALUE WORKSHEET'!A101</f>
        <v>96</v>
      </c>
      <c r="B131" s="142" t="str">
        <f>'SCHEDULE OF VALUE WORKSHEET'!B101</f>
        <v xml:space="preserve">Open Item </v>
      </c>
      <c r="C131" s="143"/>
      <c r="D131" s="104">
        <f>SUM('SCHEDULE OF VALUE WORKSHEET'!E101)</f>
        <v>0</v>
      </c>
      <c r="E131" s="104">
        <f>SUM('Draw #11'!E131:F131)</f>
        <v>0</v>
      </c>
      <c r="F131" s="105">
        <v>0</v>
      </c>
      <c r="G131" s="104">
        <f>SUM('Draw #11'!G131)+F131</f>
        <v>0</v>
      </c>
      <c r="H131" s="109">
        <f t="shared" si="2"/>
        <v>0</v>
      </c>
      <c r="I131" s="110">
        <v>0</v>
      </c>
      <c r="J131" s="109">
        <f>SUM(I131+'Draw #11'!J131)</f>
        <v>0</v>
      </c>
      <c r="K131" s="101" t="str">
        <f t="shared" si="3"/>
        <v/>
      </c>
      <c r="L131" s="9"/>
      <c r="M131" s="9"/>
    </row>
    <row r="132" spans="1:13" ht="14.1" customHeight="1">
      <c r="A132" s="4">
        <f>'SCHEDULE OF VALUE WORKSHEET'!A102</f>
        <v>97</v>
      </c>
      <c r="B132" s="142" t="str">
        <f>'SCHEDULE OF VALUE WORKSHEET'!B102</f>
        <v xml:space="preserve">Open Item </v>
      </c>
      <c r="C132" s="143"/>
      <c r="D132" s="104">
        <f>SUM('SCHEDULE OF VALUE WORKSHEET'!E102)</f>
        <v>0</v>
      </c>
      <c r="E132" s="104">
        <f>SUM('Draw #11'!E132:F132)</f>
        <v>0</v>
      </c>
      <c r="F132" s="105">
        <v>0</v>
      </c>
      <c r="G132" s="104">
        <f>SUM('Draw #11'!G132)+F132</f>
        <v>0</v>
      </c>
      <c r="H132" s="109">
        <f t="shared" si="2"/>
        <v>0</v>
      </c>
      <c r="I132" s="110">
        <v>0</v>
      </c>
      <c r="J132" s="109">
        <f>SUM(I132+'Draw #11'!J132)</f>
        <v>0</v>
      </c>
      <c r="K132" s="101" t="str">
        <f t="shared" si="3"/>
        <v/>
      </c>
      <c r="L132" s="9"/>
      <c r="M132" s="9"/>
    </row>
    <row r="133" spans="1:13" ht="14.1" customHeight="1">
      <c r="A133" s="4">
        <f>'SCHEDULE OF VALUE WORKSHEET'!A103</f>
        <v>98</v>
      </c>
      <c r="B133" s="142" t="str">
        <f>'SCHEDULE OF VALUE WORKSHEET'!B103</f>
        <v xml:space="preserve">Open Item </v>
      </c>
      <c r="C133" s="143"/>
      <c r="D133" s="104">
        <f>SUM('SCHEDULE OF VALUE WORKSHEET'!E103)</f>
        <v>0</v>
      </c>
      <c r="E133" s="104">
        <f>SUM('Draw #11'!E133:F133)</f>
        <v>0</v>
      </c>
      <c r="F133" s="105">
        <v>0</v>
      </c>
      <c r="G133" s="104">
        <f>SUM('Draw #11'!G133)+F133</f>
        <v>0</v>
      </c>
      <c r="H133" s="109">
        <f t="shared" si="2"/>
        <v>0</v>
      </c>
      <c r="I133" s="110">
        <v>0</v>
      </c>
      <c r="J133" s="109">
        <f>SUM(I133+'Draw #11'!J133)</f>
        <v>0</v>
      </c>
      <c r="K133" s="101" t="str">
        <f t="shared" si="3"/>
        <v/>
      </c>
      <c r="L133" s="9"/>
      <c r="M133" s="9"/>
    </row>
    <row r="134" spans="1:13" ht="14.1" customHeight="1">
      <c r="A134" s="4">
        <f>'SCHEDULE OF VALUE WORKSHEET'!A104</f>
        <v>99</v>
      </c>
      <c r="B134" s="142" t="str">
        <f>'SCHEDULE OF VALUE WORKSHEET'!B104</f>
        <v xml:space="preserve">Open Item </v>
      </c>
      <c r="C134" s="143"/>
      <c r="D134" s="104">
        <f>SUM('SCHEDULE OF VALUE WORKSHEET'!E104)</f>
        <v>0</v>
      </c>
      <c r="E134" s="104">
        <f>SUM('Draw #11'!E134:F134)</f>
        <v>0</v>
      </c>
      <c r="F134" s="105">
        <v>0</v>
      </c>
      <c r="G134" s="104">
        <f>SUM('Draw #11'!G134)+F134</f>
        <v>0</v>
      </c>
      <c r="H134" s="109">
        <f t="shared" si="2"/>
        <v>0</v>
      </c>
      <c r="I134" s="110">
        <v>0</v>
      </c>
      <c r="J134" s="109">
        <f>SUM(I134+'Draw #11'!J134)</f>
        <v>0</v>
      </c>
      <c r="K134" s="101" t="str">
        <f t="shared" si="3"/>
        <v/>
      </c>
      <c r="L134" s="9"/>
      <c r="M134" s="9"/>
    </row>
    <row r="135" spans="1:13" ht="14.1" customHeight="1">
      <c r="A135" s="4" t="e">
        <f>'SCHEDULE OF VALUE WORKSHEET'!#REF!</f>
        <v>#REF!</v>
      </c>
      <c r="B135" s="142" t="e">
        <f>'SCHEDULE OF VALUE WORKSHEET'!#REF!</f>
        <v>#REF!</v>
      </c>
      <c r="C135" s="143"/>
      <c r="D135" s="104" t="e">
        <f>SUM('SCHEDULE OF VALUE WORKSHEET'!#REF!)</f>
        <v>#REF!</v>
      </c>
      <c r="E135" s="104">
        <f>SUM('Draw #11'!E135:F135)</f>
        <v>0</v>
      </c>
      <c r="F135" s="105">
        <v>0</v>
      </c>
      <c r="G135" s="104" t="e">
        <f>SUM('Draw #11'!G135)+F135</f>
        <v>#REF!</v>
      </c>
      <c r="H135" s="109" t="e">
        <f t="shared" si="2"/>
        <v>#REF!</v>
      </c>
      <c r="I135" s="110">
        <v>0</v>
      </c>
      <c r="J135" s="109">
        <f>SUM(I135+'Draw #11'!J135)</f>
        <v>0</v>
      </c>
      <c r="K135" s="101" t="str">
        <f t="shared" si="3"/>
        <v/>
      </c>
      <c r="L135" s="9"/>
      <c r="M135" s="9"/>
    </row>
    <row r="136" spans="1:13" ht="14.1" customHeight="1">
      <c r="A136" s="165"/>
      <c r="B136" s="166"/>
      <c r="C136" s="166"/>
      <c r="D136" s="166"/>
      <c r="E136" s="166"/>
      <c r="F136" s="166"/>
      <c r="G136" s="166"/>
      <c r="H136" s="166"/>
      <c r="I136" s="166"/>
      <c r="J136" s="166"/>
      <c r="K136" s="167"/>
      <c r="L136" s="10"/>
      <c r="M136" s="10"/>
    </row>
    <row r="137" spans="1:13" ht="18.75" customHeight="1">
      <c r="A137" s="7"/>
      <c r="B137" s="168" t="s">
        <v>2</v>
      </c>
      <c r="C137" s="168"/>
      <c r="D137" s="25" t="e">
        <f t="shared" ref="D137:J137" si="4">SUM(D10:D135)</f>
        <v>#REF!</v>
      </c>
      <c r="E137" s="25">
        <f t="shared" si="4"/>
        <v>0</v>
      </c>
      <c r="F137" s="25">
        <f t="shared" si="4"/>
        <v>0</v>
      </c>
      <c r="G137" s="25" t="e">
        <f t="shared" si="4"/>
        <v>#REF!</v>
      </c>
      <c r="H137" s="25" t="e">
        <f t="shared" si="4"/>
        <v>#REF!</v>
      </c>
      <c r="I137" s="25">
        <f t="shared" si="4"/>
        <v>0</v>
      </c>
      <c r="J137" s="25">
        <f t="shared" si="4"/>
        <v>0</v>
      </c>
      <c r="K137" s="17"/>
      <c r="L137" s="11"/>
      <c r="M137" s="11"/>
    </row>
    <row r="138" spans="1:13" ht="14.1" customHeight="1">
      <c r="A138" s="2"/>
      <c r="B138" s="2"/>
      <c r="C138" s="2"/>
      <c r="D138" s="2"/>
      <c r="E138" s="2"/>
      <c r="F138" s="2"/>
      <c r="G138" s="2"/>
    </row>
    <row r="139" spans="1:13" ht="14.1" customHeight="1">
      <c r="G139" s="2"/>
      <c r="H139" s="140"/>
      <c r="I139" s="140"/>
      <c r="J139" s="140"/>
    </row>
    <row r="140" spans="1:13" ht="14.1" customHeight="1">
      <c r="G140" s="2"/>
    </row>
    <row r="141" spans="1:13" ht="14.1" customHeight="1">
      <c r="G141" s="2"/>
      <c r="H141" s="8"/>
    </row>
    <row r="142" spans="1:13" ht="14.1" customHeight="1">
      <c r="G142" s="2"/>
      <c r="H142" s="8"/>
    </row>
    <row r="143" spans="1:13" ht="14.1" customHeight="1">
      <c r="G143" s="2"/>
    </row>
    <row r="144" spans="1:13" ht="14.1" customHeight="1">
      <c r="G144" s="2"/>
    </row>
    <row r="145" spans="7:7" ht="14.1" customHeight="1">
      <c r="G145" s="2"/>
    </row>
    <row r="146" spans="7:7" ht="14.1" customHeight="1">
      <c r="G146" s="2"/>
    </row>
    <row r="147" spans="7:7" ht="14.1" customHeight="1">
      <c r="G147" s="2"/>
    </row>
    <row r="148" spans="7:7" ht="14.1" customHeight="1">
      <c r="G148" s="3"/>
    </row>
  </sheetData>
  <sheetProtection algorithmName="SHA-512" hashValue="S4J9yMjswBYtfgy6ynn5APm3Np4ySVbYjujuFumH/5Pg6maxcXw5JwUrQlWnhicMZBwofWYcg/RpEmUSAU6+Cw==" saltValue="ChUWaCSaeJa7uvL74STZ2Q==" spinCount="100000" sheet="1" selectLockedCells="1"/>
  <mergeCells count="136">
    <mergeCell ref="A1:K2"/>
    <mergeCell ref="B47:C47"/>
    <mergeCell ref="B48:C48"/>
    <mergeCell ref="B49:C49"/>
    <mergeCell ref="B50:C50"/>
    <mergeCell ref="B8:C9"/>
    <mergeCell ref="D8:D9"/>
    <mergeCell ref="G8:G9"/>
    <mergeCell ref="J8:K8"/>
    <mergeCell ref="J9:K9"/>
    <mergeCell ref="F8:F9"/>
    <mergeCell ref="B10:C10"/>
    <mergeCell ref="B11:C11"/>
    <mergeCell ref="B12:C12"/>
    <mergeCell ref="B13:C13"/>
    <mergeCell ref="B26:C26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4:C34"/>
    <mergeCell ref="B35:C35"/>
    <mergeCell ref="B32:C32"/>
    <mergeCell ref="B33:C33"/>
    <mergeCell ref="B27:C27"/>
    <mergeCell ref="B36:C36"/>
    <mergeCell ref="B37:C37"/>
    <mergeCell ref="B46:C46"/>
    <mergeCell ref="A136:K136"/>
    <mergeCell ref="B38:C38"/>
    <mergeCell ref="B39:C39"/>
    <mergeCell ref="B51:C51"/>
    <mergeCell ref="B52:C52"/>
    <mergeCell ref="B53:C53"/>
    <mergeCell ref="B54:C54"/>
    <mergeCell ref="B130:C130"/>
    <mergeCell ref="B119:C119"/>
    <mergeCell ref="B120:C120"/>
    <mergeCell ref="B121:C121"/>
    <mergeCell ref="B122:C122"/>
    <mergeCell ref="B123:C123"/>
    <mergeCell ref="B124:C124"/>
    <mergeCell ref="B131:C131"/>
    <mergeCell ref="B132:C132"/>
    <mergeCell ref="B133:C133"/>
    <mergeCell ref="B134:C134"/>
    <mergeCell ref="B135:C135"/>
    <mergeCell ref="B125:C125"/>
    <mergeCell ref="B126:C126"/>
    <mergeCell ref="B137:C137"/>
    <mergeCell ref="H139:J139"/>
    <mergeCell ref="B40:C40"/>
    <mergeCell ref="B41:C41"/>
    <mergeCell ref="B42:C42"/>
    <mergeCell ref="B43:C43"/>
    <mergeCell ref="B44:C44"/>
    <mergeCell ref="B45:C45"/>
    <mergeCell ref="B117:C117"/>
    <mergeCell ref="B118:C118"/>
    <mergeCell ref="B127:C127"/>
    <mergeCell ref="B128:C128"/>
    <mergeCell ref="B129:C129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15:C115"/>
    <mergeCell ref="B116:C11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</mergeCells>
  <conditionalFormatting sqref="B10:K135">
    <cfRule type="expression" dxfId="35" priority="3" stopIfTrue="1">
      <formula>$I10&gt;0</formula>
    </cfRule>
    <cfRule type="expression" dxfId="34" priority="4" stopIfTrue="1">
      <formula>$K10=100%</formula>
    </cfRule>
  </conditionalFormatting>
  <conditionalFormatting sqref="D10:K135">
    <cfRule type="expression" dxfId="33" priority="1" stopIfTrue="1">
      <formula>$K10=""</formula>
    </cfRule>
    <cfRule type="expression" dxfId="32" priority="2" stopIfTrue="1">
      <formula>$K10&gt;100%</formula>
    </cfRule>
  </conditionalFormatting>
  <pageMargins left="0.7" right="0.7" top="0.75" bottom="0.75" header="0.3" footer="0.3"/>
  <pageSetup scale="7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48"/>
  <sheetViews>
    <sheetView showGridLines="0" zoomScale="90" zoomScaleNormal="90" workbookViewId="0">
      <selection activeCell="F20" sqref="F20"/>
    </sheetView>
  </sheetViews>
  <sheetFormatPr defaultColWidth="6.59765625" defaultRowHeight="15.75"/>
  <cols>
    <col min="1" max="1" width="4.8984375" style="1" customWidth="1"/>
    <col min="2" max="2" width="5.69921875" style="1" customWidth="1"/>
    <col min="3" max="3" width="15.19921875" style="1" customWidth="1"/>
    <col min="4" max="5" width="10.59765625" style="1" customWidth="1"/>
    <col min="6" max="9" width="10.69921875" style="1" customWidth="1"/>
    <col min="10" max="10" width="10.59765625" style="1" customWidth="1"/>
    <col min="11" max="11" width="5.09765625" style="18" customWidth="1"/>
    <col min="12" max="13" width="4.69921875" style="1" customWidth="1"/>
    <col min="14" max="16384" width="6.59765625" style="1"/>
  </cols>
  <sheetData>
    <row r="1" spans="1:13">
      <c r="A1" s="171" t="s">
        <v>18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</row>
    <row r="2" spans="1:13">
      <c r="A2" s="174"/>
      <c r="B2" s="153"/>
      <c r="C2" s="153"/>
      <c r="D2" s="153"/>
      <c r="E2" s="153"/>
      <c r="F2" s="153"/>
      <c r="G2" s="153"/>
      <c r="H2" s="153"/>
      <c r="I2" s="153"/>
      <c r="J2" s="153"/>
      <c r="K2" s="175"/>
    </row>
    <row r="3" spans="1:13">
      <c r="A3" s="74"/>
      <c r="B3" s="13" t="s">
        <v>7</v>
      </c>
      <c r="C3" s="35" t="str">
        <f>'SCHEDULE OF VALUE WORKSHEET'!$B$3</f>
        <v>Angeleno Investments</v>
      </c>
      <c r="F3" s="6"/>
      <c r="G3" s="28"/>
      <c r="H3" s="55"/>
      <c r="I3" s="41" t="s">
        <v>5</v>
      </c>
      <c r="J3" s="38">
        <f>SUM(J137)</f>
        <v>0</v>
      </c>
      <c r="K3" s="80" t="e">
        <f>SUM(J3)/J7</f>
        <v>#REF!</v>
      </c>
    </row>
    <row r="4" spans="1:13" ht="16.350000000000001" customHeight="1">
      <c r="A4" s="74"/>
      <c r="B4" s="34" t="s">
        <v>0</v>
      </c>
      <c r="C4" s="36">
        <f ca="1">TODAY()</f>
        <v>45978</v>
      </c>
      <c r="D4" s="36"/>
      <c r="E4" s="36"/>
      <c r="F4" s="15"/>
      <c r="G4" s="3"/>
      <c r="H4" s="75"/>
      <c r="I4" s="41" t="s">
        <v>13</v>
      </c>
      <c r="J4" s="38" t="e">
        <f>SUM(H137)</f>
        <v>#REF!</v>
      </c>
      <c r="K4" s="80"/>
    </row>
    <row r="5" spans="1:13">
      <c r="A5" s="74"/>
      <c r="B5" s="34" t="s">
        <v>6</v>
      </c>
      <c r="C5" s="37" t="str">
        <f>'SCHEDULE OF VALUE WORKSHEET'!B5</f>
        <v>10910 Huston Street</v>
      </c>
      <c r="F5" s="56"/>
      <c r="G5" s="57"/>
      <c r="H5" s="75"/>
      <c r="I5" s="41" t="s">
        <v>14</v>
      </c>
      <c r="J5" s="38" t="e">
        <f>SUM(D137)</f>
        <v>#REF!</v>
      </c>
      <c r="K5" s="80"/>
    </row>
    <row r="6" spans="1:13">
      <c r="A6" s="74"/>
      <c r="B6" s="34" t="s">
        <v>20</v>
      </c>
      <c r="C6" s="48">
        <f>SUM(I137)</f>
        <v>0</v>
      </c>
      <c r="D6" s="6"/>
      <c r="E6" s="6"/>
      <c r="F6" s="6"/>
      <c r="G6" s="57"/>
      <c r="H6" s="75"/>
      <c r="I6" s="42" t="s">
        <v>17</v>
      </c>
      <c r="J6" s="38">
        <f>SUM(F137)</f>
        <v>0</v>
      </c>
      <c r="K6" s="80"/>
    </row>
    <row r="7" spans="1:13">
      <c r="A7" s="78"/>
      <c r="G7" s="28"/>
      <c r="H7" s="20"/>
      <c r="I7" s="34" t="s">
        <v>15</v>
      </c>
      <c r="J7" s="29" t="e">
        <f>SUM(G137)</f>
        <v>#REF!</v>
      </c>
      <c r="K7" s="80"/>
    </row>
    <row r="8" spans="1:13">
      <c r="A8" s="19"/>
      <c r="B8" s="169" t="s">
        <v>1</v>
      </c>
      <c r="C8" s="170"/>
      <c r="D8" s="177" t="s">
        <v>8</v>
      </c>
      <c r="E8" s="102" t="s">
        <v>24</v>
      </c>
      <c r="F8" s="176" t="s">
        <v>26</v>
      </c>
      <c r="G8" s="177" t="s">
        <v>9</v>
      </c>
      <c r="H8" s="30" t="s">
        <v>10</v>
      </c>
      <c r="I8" s="31" t="s">
        <v>12</v>
      </c>
      <c r="J8" s="178" t="s">
        <v>3</v>
      </c>
      <c r="K8" s="179"/>
      <c r="L8" s="12"/>
      <c r="M8" s="12"/>
    </row>
    <row r="9" spans="1:13" ht="14.1" customHeight="1">
      <c r="A9" s="19"/>
      <c r="B9" s="146"/>
      <c r="C9" s="147"/>
      <c r="D9" s="162"/>
      <c r="E9" s="103" t="s">
        <v>25</v>
      </c>
      <c r="F9" s="164"/>
      <c r="G9" s="162"/>
      <c r="H9" s="32" t="s">
        <v>22</v>
      </c>
      <c r="I9" s="33">
        <v>13</v>
      </c>
      <c r="J9" s="180" t="s">
        <v>4</v>
      </c>
      <c r="K9" s="181"/>
      <c r="L9" s="12"/>
      <c r="M9" s="12"/>
    </row>
    <row r="10" spans="1:13" ht="14.1" customHeight="1">
      <c r="A10" s="4">
        <f>'SCHEDULE OF VALUE WORKSHEET'!A7</f>
        <v>1</v>
      </c>
      <c r="B10" s="142" t="str">
        <f>'SCHEDULE OF VALUE WORKSHEET'!B7</f>
        <v>SOFT COSTS</v>
      </c>
      <c r="C10" s="143"/>
      <c r="D10" s="104">
        <f>SUM('SCHEDULE OF VALUE WORKSHEET'!E7)</f>
        <v>0</v>
      </c>
      <c r="E10" s="104">
        <f>SUM('Draw #12'!E10:F10)</f>
        <v>0</v>
      </c>
      <c r="F10" s="105">
        <v>0</v>
      </c>
      <c r="G10" s="104">
        <f>SUM('Draw #12'!G10)+F10</f>
        <v>0</v>
      </c>
      <c r="H10" s="109">
        <f>SUM(G10-J10)</f>
        <v>0</v>
      </c>
      <c r="I10" s="110">
        <v>0</v>
      </c>
      <c r="J10" s="109">
        <f>SUM(I10+'Draw #12'!J10)</f>
        <v>0</v>
      </c>
      <c r="K10" s="101" t="str">
        <f>IF(J10=0,"",J10/G10)</f>
        <v/>
      </c>
      <c r="L10" s="9"/>
      <c r="M10" s="9"/>
    </row>
    <row r="11" spans="1:13" ht="14.1" customHeight="1">
      <c r="A11" s="4">
        <f>'SCHEDULE OF VALUE WORKSHEET'!A8</f>
        <v>2</v>
      </c>
      <c r="B11" s="142" t="str">
        <f>'SCHEDULE OF VALUE WORKSHEET'!B8</f>
        <v>Site Security</v>
      </c>
      <c r="C11" s="143"/>
      <c r="D11" s="104">
        <f>SUM('SCHEDULE OF VALUE WORKSHEET'!E8)</f>
        <v>10580.63</v>
      </c>
      <c r="E11" s="104">
        <f>SUM('Draw #12'!E11:F11)</f>
        <v>0</v>
      </c>
      <c r="F11" s="105">
        <v>0</v>
      </c>
      <c r="G11" s="104">
        <f>SUM('Draw #12'!G11)+F11</f>
        <v>10580.63</v>
      </c>
      <c r="H11" s="109">
        <f t="shared" ref="H11:H74" si="0">SUM(G11-J11)</f>
        <v>10580.63</v>
      </c>
      <c r="I11" s="110">
        <v>0</v>
      </c>
      <c r="J11" s="109">
        <f>SUM(I11+'Draw #12'!J11)</f>
        <v>0</v>
      </c>
      <c r="K11" s="101" t="str">
        <f t="shared" ref="K11:K74" si="1">IF(J11=0,"",J11/G11)</f>
        <v/>
      </c>
      <c r="L11" s="9"/>
      <c r="M11" s="9"/>
    </row>
    <row r="12" spans="1:13" ht="14.1" customHeight="1">
      <c r="A12" s="4">
        <f>'SCHEDULE OF VALUE WORKSHEET'!A9</f>
        <v>3</v>
      </c>
      <c r="B12" s="142" t="str">
        <f>'SCHEDULE OF VALUE WORKSHEET'!B9</f>
        <v>Soils Inspection</v>
      </c>
      <c r="C12" s="143"/>
      <c r="D12" s="104">
        <f>SUM('SCHEDULE OF VALUE WORKSHEET'!E9)</f>
        <v>0</v>
      </c>
      <c r="E12" s="104">
        <f>SUM('Draw #12'!E12:F12)</f>
        <v>0</v>
      </c>
      <c r="F12" s="105">
        <v>0</v>
      </c>
      <c r="G12" s="104">
        <f>SUM('Draw #12'!G12)+F12</f>
        <v>0</v>
      </c>
      <c r="H12" s="109">
        <f t="shared" si="0"/>
        <v>0</v>
      </c>
      <c r="I12" s="110">
        <v>0</v>
      </c>
      <c r="J12" s="109">
        <f>SUM(I12+'Draw #12'!J12)</f>
        <v>0</v>
      </c>
      <c r="K12" s="101" t="str">
        <f t="shared" si="1"/>
        <v/>
      </c>
      <c r="L12" s="9"/>
      <c r="M12" s="9"/>
    </row>
    <row r="13" spans="1:13" ht="14.1" customHeight="1">
      <c r="A13" s="4">
        <f>'SCHEDULE OF VALUE WORKSHEET'!A10</f>
        <v>4</v>
      </c>
      <c r="B13" s="142" t="str">
        <f>'SCHEDULE OF VALUE WORKSHEET'!B10</f>
        <v>Offsites (Transformer)</v>
      </c>
      <c r="C13" s="143"/>
      <c r="D13" s="104">
        <f>SUM('SCHEDULE OF VALUE WORKSHEET'!E10)</f>
        <v>20000</v>
      </c>
      <c r="E13" s="104">
        <f>SUM('Draw #12'!E13:F13)</f>
        <v>0</v>
      </c>
      <c r="F13" s="105">
        <v>0</v>
      </c>
      <c r="G13" s="104">
        <f>SUM('Draw #12'!G13)+F13</f>
        <v>20000</v>
      </c>
      <c r="H13" s="109">
        <f t="shared" si="0"/>
        <v>20000</v>
      </c>
      <c r="I13" s="110">
        <v>0</v>
      </c>
      <c r="J13" s="109">
        <f>SUM(I13+'Draw #12'!J13)</f>
        <v>0</v>
      </c>
      <c r="K13" s="101" t="str">
        <f t="shared" si="1"/>
        <v/>
      </c>
      <c r="L13" s="9"/>
      <c r="M13" s="9"/>
    </row>
    <row r="14" spans="1:13" ht="14.1" customHeight="1">
      <c r="A14" s="4">
        <f>'SCHEDULE OF VALUE WORKSHEET'!A11</f>
        <v>5</v>
      </c>
      <c r="B14" s="142" t="str">
        <f>'SCHEDULE OF VALUE WORKSHEET'!B11</f>
        <v>Plan Check Fees</v>
      </c>
      <c r="C14" s="143"/>
      <c r="D14" s="104">
        <f>SUM('SCHEDULE OF VALUE WORKSHEET'!E11)</f>
        <v>0</v>
      </c>
      <c r="E14" s="104">
        <f>SUM('Draw #12'!E14:F14)</f>
        <v>0</v>
      </c>
      <c r="F14" s="105">
        <v>0</v>
      </c>
      <c r="G14" s="104">
        <f>SUM('Draw #12'!G14)+F14</f>
        <v>0</v>
      </c>
      <c r="H14" s="109">
        <f t="shared" si="0"/>
        <v>0</v>
      </c>
      <c r="I14" s="110">
        <v>0</v>
      </c>
      <c r="J14" s="109">
        <f>SUM(I14+'Draw #12'!J14)</f>
        <v>0</v>
      </c>
      <c r="K14" s="101" t="str">
        <f t="shared" si="1"/>
        <v/>
      </c>
      <c r="L14" s="9"/>
      <c r="M14" s="9"/>
    </row>
    <row r="15" spans="1:13" ht="14.1" customHeight="1">
      <c r="A15" s="4">
        <f>'SCHEDULE OF VALUE WORKSHEET'!A12</f>
        <v>6</v>
      </c>
      <c r="B15" s="142" t="str">
        <f>'SCHEDULE OF VALUE WORKSHEET'!B12</f>
        <v>Permits</v>
      </c>
      <c r="C15" s="143"/>
      <c r="D15" s="104">
        <f>SUM('SCHEDULE OF VALUE WORKSHEET'!E12)</f>
        <v>0</v>
      </c>
      <c r="E15" s="104">
        <f>SUM('Draw #12'!E15:F15)</f>
        <v>0</v>
      </c>
      <c r="F15" s="105">
        <v>0</v>
      </c>
      <c r="G15" s="104">
        <f>SUM('Draw #12'!G15)+F15</f>
        <v>0</v>
      </c>
      <c r="H15" s="109">
        <f t="shared" si="0"/>
        <v>0</v>
      </c>
      <c r="I15" s="110">
        <v>0</v>
      </c>
      <c r="J15" s="109">
        <f>SUM(I15+'Draw #12'!J15)</f>
        <v>0</v>
      </c>
      <c r="K15" s="101" t="str">
        <f t="shared" si="1"/>
        <v/>
      </c>
      <c r="L15" s="9"/>
      <c r="M15" s="9"/>
    </row>
    <row r="16" spans="1:13" ht="14.1" customHeight="1">
      <c r="A16" s="4">
        <f>'SCHEDULE OF VALUE WORKSHEET'!A13</f>
        <v>7</v>
      </c>
      <c r="B16" s="142" t="str">
        <f>'SCHEDULE OF VALUE WORKSHEET'!B13</f>
        <v>Survey</v>
      </c>
      <c r="C16" s="143"/>
      <c r="D16" s="104">
        <f>SUM('SCHEDULE OF VALUE WORKSHEET'!E13)</f>
        <v>0</v>
      </c>
      <c r="E16" s="104">
        <f>SUM('Draw #12'!E16:F16)</f>
        <v>0</v>
      </c>
      <c r="F16" s="105">
        <v>0</v>
      </c>
      <c r="G16" s="104">
        <f>SUM('Draw #12'!G16)+F16</f>
        <v>0</v>
      </c>
      <c r="H16" s="109">
        <f t="shared" si="0"/>
        <v>0</v>
      </c>
      <c r="I16" s="110">
        <v>0</v>
      </c>
      <c r="J16" s="109">
        <f>SUM(I16+'Draw #12'!J16)</f>
        <v>0</v>
      </c>
      <c r="K16" s="101" t="str">
        <f t="shared" si="1"/>
        <v/>
      </c>
      <c r="L16" s="9"/>
      <c r="M16" s="9"/>
    </row>
    <row r="17" spans="1:13" ht="14.1" customHeight="1">
      <c r="A17" s="4">
        <f>'SCHEDULE OF VALUE WORKSHEET'!A14</f>
        <v>8</v>
      </c>
      <c r="B17" s="142" t="str">
        <f>'SCHEDULE OF VALUE WORKSHEET'!B14</f>
        <v>Soils Engineer</v>
      </c>
      <c r="C17" s="143"/>
      <c r="D17" s="104">
        <f>SUM('SCHEDULE OF VALUE WORKSHEET'!E14)</f>
        <v>0</v>
      </c>
      <c r="E17" s="104">
        <f>SUM('Draw #12'!E17:F17)</f>
        <v>0</v>
      </c>
      <c r="F17" s="105">
        <v>0</v>
      </c>
      <c r="G17" s="104">
        <f>SUM('Draw #12'!G17)+F17</f>
        <v>0</v>
      </c>
      <c r="H17" s="109">
        <f t="shared" si="0"/>
        <v>0</v>
      </c>
      <c r="I17" s="110">
        <v>0</v>
      </c>
      <c r="J17" s="109">
        <f>SUM(I17+'Draw #12'!J17)</f>
        <v>0</v>
      </c>
      <c r="K17" s="101" t="str">
        <f t="shared" si="1"/>
        <v/>
      </c>
      <c r="L17" s="9"/>
      <c r="M17" s="9"/>
    </row>
    <row r="18" spans="1:13" ht="14.1" customHeight="1">
      <c r="A18" s="4">
        <f>'SCHEDULE OF VALUE WORKSHEET'!A15</f>
        <v>9</v>
      </c>
      <c r="B18" s="142" t="str">
        <f>'SCHEDULE OF VALUE WORKSHEET'!B15</f>
        <v>Soils Permit + T24</v>
      </c>
      <c r="C18" s="143"/>
      <c r="D18" s="104">
        <f>SUM('SCHEDULE OF VALUE WORKSHEET'!E15)</f>
        <v>2500</v>
      </c>
      <c r="E18" s="104">
        <f>SUM('Draw #12'!E18:F18)</f>
        <v>0</v>
      </c>
      <c r="F18" s="105">
        <v>0</v>
      </c>
      <c r="G18" s="104">
        <f>SUM('Draw #12'!G18)+F18</f>
        <v>2500</v>
      </c>
      <c r="H18" s="109">
        <f t="shared" si="0"/>
        <v>2500</v>
      </c>
      <c r="I18" s="110">
        <v>0</v>
      </c>
      <c r="J18" s="109">
        <f>SUM(I18+'Draw #12'!J18)</f>
        <v>0</v>
      </c>
      <c r="K18" s="101" t="str">
        <f t="shared" si="1"/>
        <v/>
      </c>
      <c r="L18" s="9"/>
      <c r="M18" s="9"/>
    </row>
    <row r="19" spans="1:13" ht="14.1" customHeight="1">
      <c r="A19" s="4">
        <f>'SCHEDULE OF VALUE WORKSHEET'!A16</f>
        <v>10</v>
      </c>
      <c r="B19" s="142" t="str">
        <f>'SCHEDULE OF VALUE WORKSHEET'!B16</f>
        <v>Special Inspections - Deputy</v>
      </c>
      <c r="C19" s="143"/>
      <c r="D19" s="104">
        <f>SUM('SCHEDULE OF VALUE WORKSHEET'!E16)</f>
        <v>15000</v>
      </c>
      <c r="E19" s="104">
        <f>SUM('Draw #12'!E19:F19)</f>
        <v>0</v>
      </c>
      <c r="F19" s="105">
        <v>0</v>
      </c>
      <c r="G19" s="104">
        <f>SUM('Draw #12'!G19)+F19</f>
        <v>15000</v>
      </c>
      <c r="H19" s="109">
        <f t="shared" si="0"/>
        <v>15000</v>
      </c>
      <c r="I19" s="110">
        <v>0</v>
      </c>
      <c r="J19" s="109">
        <f>SUM(I19+'Draw #12'!J19)</f>
        <v>0</v>
      </c>
      <c r="K19" s="101" t="str">
        <f t="shared" si="1"/>
        <v/>
      </c>
      <c r="L19" s="9"/>
      <c r="M19" s="9"/>
    </row>
    <row r="20" spans="1:13" ht="14.1" customHeight="1">
      <c r="A20" s="4">
        <f>'SCHEDULE OF VALUE WORKSHEET'!A17</f>
        <v>11</v>
      </c>
      <c r="B20" s="142" t="str">
        <f>'SCHEDULE OF VALUE WORKSHEET'!B17</f>
        <v>Architect</v>
      </c>
      <c r="C20" s="143"/>
      <c r="D20" s="104">
        <f>SUM('SCHEDULE OF VALUE WORKSHEET'!E17)</f>
        <v>0</v>
      </c>
      <c r="E20" s="104">
        <f>SUM('Draw #12'!E20:F20)</f>
        <v>0</v>
      </c>
      <c r="F20" s="105">
        <v>0</v>
      </c>
      <c r="G20" s="104">
        <f>SUM('Draw #12'!G20)+F20</f>
        <v>0</v>
      </c>
      <c r="H20" s="109">
        <f t="shared" si="0"/>
        <v>0</v>
      </c>
      <c r="I20" s="110">
        <v>0</v>
      </c>
      <c r="J20" s="109">
        <f>SUM(I20+'Draw #12'!J20)</f>
        <v>0</v>
      </c>
      <c r="K20" s="101" t="str">
        <f t="shared" si="1"/>
        <v/>
      </c>
      <c r="L20" s="9"/>
      <c r="M20" s="9"/>
    </row>
    <row r="21" spans="1:13" ht="14.1" customHeight="1">
      <c r="A21" s="4">
        <f>'SCHEDULE OF VALUE WORKSHEET'!A18</f>
        <v>12</v>
      </c>
      <c r="B21" s="142" t="str">
        <f>'SCHEDULE OF VALUE WORKSHEET'!B18</f>
        <v>Structural Engineer</v>
      </c>
      <c r="C21" s="143"/>
      <c r="D21" s="104">
        <f>SUM('SCHEDULE OF VALUE WORKSHEET'!E18)</f>
        <v>0</v>
      </c>
      <c r="E21" s="104">
        <f>SUM('Draw #12'!E21:F21)</f>
        <v>0</v>
      </c>
      <c r="F21" s="105">
        <v>0</v>
      </c>
      <c r="G21" s="104">
        <f>SUM('Draw #12'!G21)+F21</f>
        <v>0</v>
      </c>
      <c r="H21" s="109">
        <f t="shared" si="0"/>
        <v>0</v>
      </c>
      <c r="I21" s="110">
        <v>0</v>
      </c>
      <c r="J21" s="109">
        <f>SUM(I21+'Draw #12'!J21)</f>
        <v>0</v>
      </c>
      <c r="K21" s="101" t="str">
        <f t="shared" si="1"/>
        <v/>
      </c>
      <c r="L21" s="9"/>
      <c r="M21" s="9"/>
    </row>
    <row r="22" spans="1:13" ht="14.1" customHeight="1">
      <c r="A22" s="4">
        <f>'SCHEDULE OF VALUE WORKSHEET'!A19</f>
        <v>13</v>
      </c>
      <c r="B22" s="142" t="str">
        <f>'SCHEDULE OF VALUE WORKSHEET'!B19</f>
        <v>Structural Observation</v>
      </c>
      <c r="C22" s="143"/>
      <c r="D22" s="104">
        <f>SUM('SCHEDULE OF VALUE WORKSHEET'!E19)</f>
        <v>8000</v>
      </c>
      <c r="E22" s="104">
        <f>SUM('Draw #12'!E22:F22)</f>
        <v>0</v>
      </c>
      <c r="F22" s="105">
        <v>0</v>
      </c>
      <c r="G22" s="104">
        <f>SUM('Draw #12'!G22)+F22</f>
        <v>8000</v>
      </c>
      <c r="H22" s="109">
        <f t="shared" si="0"/>
        <v>8000</v>
      </c>
      <c r="I22" s="110">
        <v>0</v>
      </c>
      <c r="J22" s="109">
        <f>SUM(I22+'Draw #12'!J22)</f>
        <v>0</v>
      </c>
      <c r="K22" s="101" t="str">
        <f t="shared" si="1"/>
        <v/>
      </c>
      <c r="L22" s="9"/>
      <c r="M22" s="9"/>
    </row>
    <row r="23" spans="1:13" ht="14.1" customHeight="1">
      <c r="A23" s="4">
        <f>'SCHEDULE OF VALUE WORKSHEET'!A20</f>
        <v>14</v>
      </c>
      <c r="B23" s="142" t="str">
        <f>'SCHEDULE OF VALUE WORKSHEET'!B20</f>
        <v>Civil Engineering</v>
      </c>
      <c r="C23" s="143"/>
      <c r="D23" s="104">
        <f>SUM('SCHEDULE OF VALUE WORKSHEET'!E20)</f>
        <v>0</v>
      </c>
      <c r="E23" s="104">
        <f>SUM('Draw #12'!E23:F23)</f>
        <v>0</v>
      </c>
      <c r="F23" s="105">
        <v>0</v>
      </c>
      <c r="G23" s="104">
        <f>SUM('Draw #12'!G23)+F23</f>
        <v>0</v>
      </c>
      <c r="H23" s="109">
        <f t="shared" si="0"/>
        <v>0</v>
      </c>
      <c r="I23" s="110">
        <v>0</v>
      </c>
      <c r="J23" s="109">
        <f>SUM(I23+'Draw #12'!J23)</f>
        <v>0</v>
      </c>
      <c r="K23" s="101" t="str">
        <f t="shared" si="1"/>
        <v/>
      </c>
      <c r="L23" s="9"/>
      <c r="M23" s="9"/>
    </row>
    <row r="24" spans="1:13" ht="14.1" customHeight="1">
      <c r="A24" s="4">
        <f>'SCHEDULE OF VALUE WORKSHEET'!A21</f>
        <v>15</v>
      </c>
      <c r="B24" s="142" t="str">
        <f>'SCHEDULE OF VALUE WORKSHEET'!B21</f>
        <v>Grading Permit</v>
      </c>
      <c r="C24" s="143"/>
      <c r="D24" s="104">
        <f>SUM('SCHEDULE OF VALUE WORKSHEET'!E21)</f>
        <v>0</v>
      </c>
      <c r="E24" s="104">
        <f>SUM('Draw #12'!E24:F24)</f>
        <v>0</v>
      </c>
      <c r="F24" s="105">
        <v>0</v>
      </c>
      <c r="G24" s="104">
        <f>SUM('Draw #12'!G24)+F24</f>
        <v>0</v>
      </c>
      <c r="H24" s="109">
        <f t="shared" si="0"/>
        <v>0</v>
      </c>
      <c r="I24" s="110">
        <v>0</v>
      </c>
      <c r="J24" s="109">
        <f>SUM(I24+'Draw #12'!J24)</f>
        <v>0</v>
      </c>
      <c r="K24" s="101" t="str">
        <f t="shared" si="1"/>
        <v/>
      </c>
      <c r="L24" s="9"/>
      <c r="M24" s="9"/>
    </row>
    <row r="25" spans="1:13" ht="14.1" customHeight="1">
      <c r="A25" s="4">
        <f>'SCHEDULE OF VALUE WORKSHEET'!A22</f>
        <v>16</v>
      </c>
      <c r="B25" s="142" t="str">
        <f>'SCHEDULE OF VALUE WORKSHEET'!B22</f>
        <v>Landscape Architect/Designer</v>
      </c>
      <c r="C25" s="143"/>
      <c r="D25" s="104">
        <f>SUM('SCHEDULE OF VALUE WORKSHEET'!E22)</f>
        <v>0</v>
      </c>
      <c r="E25" s="104">
        <f>SUM('Draw #12'!E25:F25)</f>
        <v>0</v>
      </c>
      <c r="F25" s="105">
        <v>0</v>
      </c>
      <c r="G25" s="104">
        <f>SUM('Draw #12'!G25)+F25</f>
        <v>0</v>
      </c>
      <c r="H25" s="109">
        <f t="shared" si="0"/>
        <v>0</v>
      </c>
      <c r="I25" s="110">
        <v>0</v>
      </c>
      <c r="J25" s="109">
        <f>SUM(I25+'Draw #12'!J25)</f>
        <v>0</v>
      </c>
      <c r="K25" s="101" t="str">
        <f t="shared" si="1"/>
        <v/>
      </c>
      <c r="L25" s="9"/>
      <c r="M25" s="9"/>
    </row>
    <row r="26" spans="1:13" ht="14.1" customHeight="1">
      <c r="A26" s="4">
        <f>'SCHEDULE OF VALUE WORKSHEET'!A23</f>
        <v>17</v>
      </c>
      <c r="B26" s="142" t="str">
        <f>'SCHEDULE OF VALUE WORKSHEET'!B23</f>
        <v>Driveway Apron Permit</v>
      </c>
      <c r="C26" s="143"/>
      <c r="D26" s="104">
        <f>SUM('SCHEDULE OF VALUE WORKSHEET'!E23)</f>
        <v>2500</v>
      </c>
      <c r="E26" s="104">
        <f>SUM('Draw #12'!E26:F26)</f>
        <v>0</v>
      </c>
      <c r="F26" s="105">
        <v>0</v>
      </c>
      <c r="G26" s="104">
        <f>SUM('Draw #12'!G26)+F26</f>
        <v>2500</v>
      </c>
      <c r="H26" s="109">
        <f t="shared" si="0"/>
        <v>2500</v>
      </c>
      <c r="I26" s="110">
        <v>0</v>
      </c>
      <c r="J26" s="109">
        <f>SUM(I26+'Draw #12'!J26)</f>
        <v>0</v>
      </c>
      <c r="K26" s="101" t="str">
        <f t="shared" si="1"/>
        <v/>
      </c>
      <c r="L26" s="9"/>
      <c r="M26" s="9"/>
    </row>
    <row r="27" spans="1:13" ht="14.1" customHeight="1">
      <c r="A27" s="4">
        <f>'SCHEDULE OF VALUE WORKSHEET'!A24</f>
        <v>18</v>
      </c>
      <c r="B27" s="142" t="str">
        <f>'SCHEDULE OF VALUE WORKSHEET'!B24</f>
        <v>Punch List - Misc.</v>
      </c>
      <c r="C27" s="143"/>
      <c r="D27" s="104">
        <f>SUM('SCHEDULE OF VALUE WORKSHEET'!E24)</f>
        <v>21962.77</v>
      </c>
      <c r="E27" s="104">
        <f>SUM('Draw #12'!E27:F27)</f>
        <v>0</v>
      </c>
      <c r="F27" s="105">
        <v>0</v>
      </c>
      <c r="G27" s="104">
        <f>SUM('Draw #12'!G27)+F27</f>
        <v>21962.77</v>
      </c>
      <c r="H27" s="109">
        <f t="shared" si="0"/>
        <v>21962.77</v>
      </c>
      <c r="I27" s="110">
        <v>0</v>
      </c>
      <c r="J27" s="109">
        <f>SUM(I27+'Draw #12'!J27)</f>
        <v>0</v>
      </c>
      <c r="K27" s="101" t="str">
        <f t="shared" si="1"/>
        <v/>
      </c>
      <c r="L27" s="9"/>
      <c r="M27" s="9"/>
    </row>
    <row r="28" spans="1:13" ht="14.1" customHeight="1">
      <c r="A28" s="4">
        <f>'SCHEDULE OF VALUE WORKSHEET'!A25</f>
        <v>19</v>
      </c>
      <c r="B28" s="142" t="str">
        <f>'SCHEDULE OF VALUE WORKSHEET'!B25</f>
        <v>EBM, Low Voltage, Landscape, Waterproofing CA</v>
      </c>
      <c r="C28" s="143"/>
      <c r="D28" s="104">
        <f>SUM('SCHEDULE OF VALUE WORKSHEET'!E25)</f>
        <v>0</v>
      </c>
      <c r="E28" s="104">
        <f>SUM('Draw #12'!E28:F28)</f>
        <v>0</v>
      </c>
      <c r="F28" s="105">
        <v>0</v>
      </c>
      <c r="G28" s="104">
        <f>SUM('Draw #12'!G28)+F28</f>
        <v>0</v>
      </c>
      <c r="H28" s="109">
        <f t="shared" si="0"/>
        <v>0</v>
      </c>
      <c r="I28" s="110">
        <v>0</v>
      </c>
      <c r="J28" s="109">
        <f>SUM(I28+'Draw #12'!J28)</f>
        <v>0</v>
      </c>
      <c r="K28" s="101" t="str">
        <f t="shared" si="1"/>
        <v/>
      </c>
      <c r="L28" s="9"/>
      <c r="M28" s="9"/>
    </row>
    <row r="29" spans="1:13" ht="14.1" customHeight="1">
      <c r="A29" s="4">
        <f>'SCHEDULE OF VALUE WORKSHEET'!A26</f>
        <v>20</v>
      </c>
      <c r="B29" s="142" t="str">
        <f>'SCHEDULE OF VALUE WORKSHEET'!B26</f>
        <v>Project Accounting/Tax Filing</v>
      </c>
      <c r="C29" s="143"/>
      <c r="D29" s="104">
        <f>SUM('SCHEDULE OF VALUE WORKSHEET'!E26)</f>
        <v>12994.01</v>
      </c>
      <c r="E29" s="104">
        <f>SUM('Draw #12'!E29:F29)</f>
        <v>0</v>
      </c>
      <c r="F29" s="105">
        <v>0</v>
      </c>
      <c r="G29" s="104">
        <f>SUM('Draw #12'!G29)+F29</f>
        <v>12994.01</v>
      </c>
      <c r="H29" s="109">
        <f t="shared" si="0"/>
        <v>12994.01</v>
      </c>
      <c r="I29" s="110">
        <v>0</v>
      </c>
      <c r="J29" s="109">
        <f>SUM(I29+'Draw #12'!J29)</f>
        <v>0</v>
      </c>
      <c r="K29" s="101" t="str">
        <f t="shared" si="1"/>
        <v/>
      </c>
      <c r="L29" s="9"/>
      <c r="M29" s="9"/>
    </row>
    <row r="30" spans="1:13" ht="14.1" customHeight="1">
      <c r="A30" s="4">
        <f>'SCHEDULE OF VALUE WORKSHEET'!A27</f>
        <v>21</v>
      </c>
      <c r="B30" s="142" t="str">
        <f>'SCHEDULE OF VALUE WORKSHEET'!B27</f>
        <v>Legal &amp; Professional Fees</v>
      </c>
      <c r="C30" s="143"/>
      <c r="D30" s="104">
        <f>SUM('SCHEDULE OF VALUE WORKSHEET'!E27)</f>
        <v>873.38999999999942</v>
      </c>
      <c r="E30" s="104">
        <f>SUM('Draw #12'!E30:F30)</f>
        <v>0</v>
      </c>
      <c r="F30" s="105">
        <v>0</v>
      </c>
      <c r="G30" s="104">
        <f>SUM('Draw #12'!G30)+F30</f>
        <v>873.38999999999942</v>
      </c>
      <c r="H30" s="109">
        <f t="shared" si="0"/>
        <v>873.38999999999942</v>
      </c>
      <c r="I30" s="110">
        <v>0</v>
      </c>
      <c r="J30" s="109">
        <f>SUM(I30+'Draw #12'!J30)</f>
        <v>0</v>
      </c>
      <c r="K30" s="101" t="str">
        <f t="shared" si="1"/>
        <v/>
      </c>
      <c r="L30" s="9"/>
      <c r="M30" s="9"/>
    </row>
    <row r="31" spans="1:13" ht="14.1" customHeight="1">
      <c r="A31" s="4">
        <f>'SCHEDULE OF VALUE WORKSHEET'!A28</f>
        <v>22</v>
      </c>
      <c r="B31" s="142" t="str">
        <f>'SCHEDULE OF VALUE WORKSHEET'!B28</f>
        <v>Sewer CCTV and inspection</v>
      </c>
      <c r="C31" s="143"/>
      <c r="D31" s="104">
        <f>SUM('SCHEDULE OF VALUE WORKSHEET'!E28)</f>
        <v>0</v>
      </c>
      <c r="E31" s="104">
        <f>SUM('Draw #12'!E31:F31)</f>
        <v>0</v>
      </c>
      <c r="F31" s="105">
        <v>0</v>
      </c>
      <c r="G31" s="104">
        <f>SUM('Draw #12'!G31)+F31</f>
        <v>0</v>
      </c>
      <c r="H31" s="109">
        <f t="shared" si="0"/>
        <v>0</v>
      </c>
      <c r="I31" s="110">
        <v>0</v>
      </c>
      <c r="J31" s="109">
        <f>SUM(I31+'Draw #12'!J31)</f>
        <v>0</v>
      </c>
      <c r="K31" s="101" t="str">
        <f t="shared" si="1"/>
        <v/>
      </c>
      <c r="L31" s="9"/>
      <c r="M31" s="9"/>
    </row>
    <row r="32" spans="1:13" ht="14.1" customHeight="1">
      <c r="A32" s="4">
        <f>'SCHEDULE OF VALUE WORKSHEET'!A29</f>
        <v>23</v>
      </c>
      <c r="B32" s="142" t="str">
        <f>'SCHEDULE OF VALUE WORKSHEET'!B29</f>
        <v>Environmental Phase I</v>
      </c>
      <c r="C32" s="143"/>
      <c r="D32" s="104">
        <f>SUM('SCHEDULE OF VALUE WORKSHEET'!E29)</f>
        <v>0</v>
      </c>
      <c r="E32" s="104">
        <f>SUM('Draw #12'!E32:F32)</f>
        <v>0</v>
      </c>
      <c r="F32" s="105">
        <v>0</v>
      </c>
      <c r="G32" s="104">
        <f>SUM('Draw #12'!G32)+F32</f>
        <v>0</v>
      </c>
      <c r="H32" s="109">
        <f t="shared" si="0"/>
        <v>0</v>
      </c>
      <c r="I32" s="110">
        <v>0</v>
      </c>
      <c r="J32" s="109">
        <f>SUM(I32+'Draw #12'!J32)</f>
        <v>0</v>
      </c>
      <c r="K32" s="101" t="str">
        <f t="shared" si="1"/>
        <v/>
      </c>
      <c r="L32" s="9"/>
      <c r="M32" s="9"/>
    </row>
    <row r="33" spans="1:13" ht="14.1" customHeight="1">
      <c r="A33" s="4">
        <f>'SCHEDULE OF VALUE WORKSHEET'!A30</f>
        <v>24</v>
      </c>
      <c r="B33" s="142" t="str">
        <f>'SCHEDULE OF VALUE WORKSHEET'!B30</f>
        <v>Dry Utility Consultant</v>
      </c>
      <c r="C33" s="143"/>
      <c r="D33" s="104">
        <f>SUM('SCHEDULE OF VALUE WORKSHEET'!E30)</f>
        <v>0</v>
      </c>
      <c r="E33" s="104">
        <f>SUM('Draw #12'!E33:F33)</f>
        <v>0</v>
      </c>
      <c r="F33" s="105">
        <v>0</v>
      </c>
      <c r="G33" s="104">
        <f>SUM('Draw #12'!G33)+F33</f>
        <v>0</v>
      </c>
      <c r="H33" s="109">
        <f t="shared" si="0"/>
        <v>0</v>
      </c>
      <c r="I33" s="110">
        <v>0</v>
      </c>
      <c r="J33" s="109">
        <f>SUM(I33+'Draw #12'!J33)</f>
        <v>0</v>
      </c>
      <c r="K33" s="101" t="str">
        <f t="shared" si="1"/>
        <v/>
      </c>
      <c r="L33" s="9"/>
      <c r="M33" s="9"/>
    </row>
    <row r="34" spans="1:13" ht="14.1" customHeight="1">
      <c r="A34" s="4">
        <f>'SCHEDULE OF VALUE WORKSHEET'!A31</f>
        <v>25</v>
      </c>
      <c r="B34" s="142" t="str">
        <f>'SCHEDULE OF VALUE WORKSHEET'!B31</f>
        <v>Dry Utility Survey</v>
      </c>
      <c r="C34" s="143"/>
      <c r="D34" s="104">
        <f>SUM('SCHEDULE OF VALUE WORKSHEET'!E31)</f>
        <v>5000</v>
      </c>
      <c r="E34" s="104">
        <f>SUM('Draw #12'!E34:F34)</f>
        <v>0</v>
      </c>
      <c r="F34" s="105">
        <v>0</v>
      </c>
      <c r="G34" s="104">
        <f>SUM('Draw #12'!G34)+F34</f>
        <v>5000</v>
      </c>
      <c r="H34" s="109">
        <f t="shared" si="0"/>
        <v>5000</v>
      </c>
      <c r="I34" s="110">
        <v>0</v>
      </c>
      <c r="J34" s="109">
        <f>SUM(I34+'Draw #12'!J34)</f>
        <v>0</v>
      </c>
      <c r="K34" s="101" t="str">
        <f t="shared" si="1"/>
        <v/>
      </c>
      <c r="L34" s="9"/>
      <c r="M34" s="9"/>
    </row>
    <row r="35" spans="1:13" ht="14.1" customHeight="1">
      <c r="A35" s="4">
        <f>'SCHEDULE OF VALUE WORKSHEET'!A32</f>
        <v>26</v>
      </c>
      <c r="B35" s="142" t="str">
        <f>'SCHEDULE OF VALUE WORKSHEET'!B32</f>
        <v>MEP</v>
      </c>
      <c r="C35" s="143"/>
      <c r="D35" s="104">
        <f>SUM('SCHEDULE OF VALUE WORKSHEET'!E32)</f>
        <v>0</v>
      </c>
      <c r="E35" s="104">
        <f>SUM('Draw #12'!E35:F35)</f>
        <v>0</v>
      </c>
      <c r="F35" s="105">
        <v>0</v>
      </c>
      <c r="G35" s="104">
        <f>SUM('Draw #12'!G35)+F35</f>
        <v>0</v>
      </c>
      <c r="H35" s="109">
        <f t="shared" si="0"/>
        <v>0</v>
      </c>
      <c r="I35" s="110">
        <v>0</v>
      </c>
      <c r="J35" s="109">
        <f>SUM(I35+'Draw #12'!J35)</f>
        <v>0</v>
      </c>
      <c r="K35" s="101" t="str">
        <f t="shared" si="1"/>
        <v/>
      </c>
      <c r="L35" s="9"/>
      <c r="M35" s="9"/>
    </row>
    <row r="36" spans="1:13" ht="14.1" customHeight="1">
      <c r="A36" s="4">
        <f>'SCHEDULE OF VALUE WORKSHEET'!A33</f>
        <v>27</v>
      </c>
      <c r="B36" s="142" t="str">
        <f>'SCHEDULE OF VALUE WORKSHEET'!B33</f>
        <v>Civil Construction Administration</v>
      </c>
      <c r="C36" s="143"/>
      <c r="D36" s="104">
        <f>SUM('SCHEDULE OF VALUE WORKSHEET'!E33)</f>
        <v>5000</v>
      </c>
      <c r="E36" s="104">
        <f>SUM('Draw #12'!E36:F36)</f>
        <v>0</v>
      </c>
      <c r="F36" s="105">
        <v>0</v>
      </c>
      <c r="G36" s="104">
        <f>SUM('Draw #12'!G36)+F36</f>
        <v>5000</v>
      </c>
      <c r="H36" s="109">
        <f t="shared" si="0"/>
        <v>5000</v>
      </c>
      <c r="I36" s="110">
        <v>0</v>
      </c>
      <c r="J36" s="109">
        <f>SUM(I36+'Draw #12'!J36)</f>
        <v>0</v>
      </c>
      <c r="K36" s="101" t="str">
        <f t="shared" si="1"/>
        <v/>
      </c>
      <c r="L36" s="9"/>
      <c r="M36" s="9"/>
    </row>
    <row r="37" spans="1:13" ht="14.1" customHeight="1">
      <c r="A37" s="4">
        <f>'SCHEDULE OF VALUE WORKSHEET'!A34</f>
        <v>28</v>
      </c>
      <c r="B37" s="142" t="str">
        <f>'SCHEDULE OF VALUE WORKSHEET'!B34</f>
        <v>Permit Clearances &amp; Agency Reviews</v>
      </c>
      <c r="C37" s="143"/>
      <c r="D37" s="104">
        <f>SUM('SCHEDULE OF VALUE WORKSHEET'!E34)</f>
        <v>0</v>
      </c>
      <c r="E37" s="104">
        <f>SUM('Draw #12'!E37:F37)</f>
        <v>0</v>
      </c>
      <c r="F37" s="105">
        <v>0</v>
      </c>
      <c r="G37" s="104">
        <f>SUM('Draw #12'!G37)+F37</f>
        <v>0</v>
      </c>
      <c r="H37" s="109">
        <f t="shared" si="0"/>
        <v>0</v>
      </c>
      <c r="I37" s="110">
        <v>0</v>
      </c>
      <c r="J37" s="109">
        <f>SUM(I37+'Draw #12'!J37)</f>
        <v>0</v>
      </c>
      <c r="K37" s="101" t="str">
        <f t="shared" si="1"/>
        <v/>
      </c>
      <c r="L37" s="9"/>
      <c r="M37" s="9"/>
    </row>
    <row r="38" spans="1:13" ht="14.1" customHeight="1">
      <c r="A38" s="4">
        <f>'SCHEDULE OF VALUE WORKSHEET'!A35</f>
        <v>29</v>
      </c>
      <c r="B38" s="142" t="str">
        <f>'SCHEDULE OF VALUE WORKSHEET'!B35</f>
        <v>Demo Permit Fees</v>
      </c>
      <c r="C38" s="143"/>
      <c r="D38" s="104">
        <f>SUM('SCHEDULE OF VALUE WORKSHEET'!E35)</f>
        <v>500</v>
      </c>
      <c r="E38" s="104">
        <f>SUM('Draw #12'!E38:F38)</f>
        <v>0</v>
      </c>
      <c r="F38" s="105">
        <v>0</v>
      </c>
      <c r="G38" s="104">
        <f>SUM('Draw #12'!G38)+F38</f>
        <v>500</v>
      </c>
      <c r="H38" s="109">
        <f t="shared" si="0"/>
        <v>500</v>
      </c>
      <c r="I38" s="110">
        <v>0</v>
      </c>
      <c r="J38" s="109">
        <f>SUM(I38+'Draw #12'!J38)</f>
        <v>0</v>
      </c>
      <c r="K38" s="101" t="str">
        <f t="shared" si="1"/>
        <v/>
      </c>
      <c r="L38" s="9"/>
      <c r="M38" s="9"/>
    </row>
    <row r="39" spans="1:13" ht="14.1" customHeight="1">
      <c r="A39" s="4">
        <f>'SCHEDULE OF VALUE WORKSHEET'!A36</f>
        <v>30</v>
      </c>
      <c r="B39" s="142" t="str">
        <f>'SCHEDULE OF VALUE WORKSHEET'!B36</f>
        <v>MEP Fees</v>
      </c>
      <c r="C39" s="143"/>
      <c r="D39" s="104">
        <f>SUM('SCHEDULE OF VALUE WORKSHEET'!E36)</f>
        <v>0</v>
      </c>
      <c r="E39" s="104">
        <f>SUM('Draw #12'!E39:F39)</f>
        <v>0</v>
      </c>
      <c r="F39" s="105">
        <v>0</v>
      </c>
      <c r="G39" s="104">
        <f>SUM('Draw #12'!G39)+F39</f>
        <v>0</v>
      </c>
      <c r="H39" s="109">
        <f t="shared" si="0"/>
        <v>0</v>
      </c>
      <c r="I39" s="110">
        <v>0</v>
      </c>
      <c r="J39" s="109">
        <f>SUM(I39+'Draw #12'!J39)</f>
        <v>0</v>
      </c>
      <c r="K39" s="101" t="str">
        <f t="shared" si="1"/>
        <v/>
      </c>
      <c r="L39" s="9"/>
      <c r="M39" s="9"/>
    </row>
    <row r="40" spans="1:13" ht="14.1" customHeight="1">
      <c r="A40" s="4">
        <f>'SCHEDULE OF VALUE WORKSHEET'!A37</f>
        <v>31</v>
      </c>
      <c r="B40" s="142" t="str">
        <f>'SCHEDULE OF VALUE WORKSHEET'!B37</f>
        <v>Agency Signoffs</v>
      </c>
      <c r="C40" s="143"/>
      <c r="D40" s="104">
        <f>SUM('SCHEDULE OF VALUE WORKSHEET'!E37)</f>
        <v>0</v>
      </c>
      <c r="E40" s="104">
        <f>SUM('Draw #12'!E40:F40)</f>
        <v>0</v>
      </c>
      <c r="F40" s="105">
        <v>0</v>
      </c>
      <c r="G40" s="104">
        <f>SUM('Draw #12'!G40)+F40</f>
        <v>0</v>
      </c>
      <c r="H40" s="109">
        <f t="shared" si="0"/>
        <v>0</v>
      </c>
      <c r="I40" s="110">
        <v>0</v>
      </c>
      <c r="J40" s="109">
        <f>SUM(I40+'Draw #12'!J40)</f>
        <v>0</v>
      </c>
      <c r="K40" s="101" t="str">
        <f t="shared" si="1"/>
        <v/>
      </c>
      <c r="L40" s="9"/>
      <c r="M40" s="9"/>
    </row>
    <row r="41" spans="1:13" ht="14.1" customHeight="1">
      <c r="A41" s="4">
        <f>'SCHEDULE OF VALUE WORKSHEET'!A38</f>
        <v>32</v>
      </c>
      <c r="B41" s="142" t="str">
        <f>'SCHEDULE OF VALUE WORKSHEET'!B38</f>
        <v>Specifications Writer Consultant</v>
      </c>
      <c r="C41" s="143"/>
      <c r="D41" s="104">
        <f>SUM('SCHEDULE OF VALUE WORKSHEET'!E38)</f>
        <v>2000</v>
      </c>
      <c r="E41" s="104">
        <f>SUM('Draw #12'!E41:F41)</f>
        <v>0</v>
      </c>
      <c r="F41" s="105">
        <v>0</v>
      </c>
      <c r="G41" s="104">
        <f>SUM('Draw #12'!G41)+F41</f>
        <v>2000</v>
      </c>
      <c r="H41" s="109">
        <f t="shared" si="0"/>
        <v>2000</v>
      </c>
      <c r="I41" s="110">
        <v>0</v>
      </c>
      <c r="J41" s="109">
        <f>SUM(I41+'Draw #12'!J41)</f>
        <v>0</v>
      </c>
      <c r="K41" s="101" t="str">
        <f t="shared" si="1"/>
        <v/>
      </c>
      <c r="L41" s="9"/>
      <c r="M41" s="9"/>
    </row>
    <row r="42" spans="1:13" ht="14.1" customHeight="1">
      <c r="A42" s="4">
        <f>'SCHEDULE OF VALUE WORKSHEET'!A39</f>
        <v>33</v>
      </c>
      <c r="B42" s="142" t="str">
        <f>'SCHEDULE OF VALUE WORKSHEET'!B39</f>
        <v>Construction Consultant</v>
      </c>
      <c r="C42" s="143"/>
      <c r="D42" s="104">
        <f>SUM('SCHEDULE OF VALUE WORKSHEET'!E39)</f>
        <v>0</v>
      </c>
      <c r="E42" s="104">
        <f>SUM('Draw #12'!E42:F42)</f>
        <v>0</v>
      </c>
      <c r="F42" s="105">
        <v>0</v>
      </c>
      <c r="G42" s="104">
        <f>SUM('Draw #12'!G42)+F42</f>
        <v>0</v>
      </c>
      <c r="H42" s="109">
        <f t="shared" si="0"/>
        <v>0</v>
      </c>
      <c r="I42" s="110">
        <v>0</v>
      </c>
      <c r="J42" s="109">
        <f>SUM(I42+'Draw #12'!J42)</f>
        <v>0</v>
      </c>
      <c r="K42" s="101" t="str">
        <f t="shared" si="1"/>
        <v/>
      </c>
      <c r="L42" s="9"/>
      <c r="M42" s="9"/>
    </row>
    <row r="43" spans="1:13" ht="14.1" customHeight="1">
      <c r="A43" s="4">
        <f>'SCHEDULE OF VALUE WORKSHEET'!A40</f>
        <v>34</v>
      </c>
      <c r="B43" s="142" t="str">
        <f>'SCHEDULE OF VALUE WORKSHEET'!B40</f>
        <v>Low Voltage Consultant</v>
      </c>
      <c r="C43" s="143"/>
      <c r="D43" s="104">
        <f>SUM('SCHEDULE OF VALUE WORKSHEET'!E40)</f>
        <v>15524</v>
      </c>
      <c r="E43" s="104">
        <f>SUM('Draw #12'!E43:F43)</f>
        <v>0</v>
      </c>
      <c r="F43" s="105">
        <v>0</v>
      </c>
      <c r="G43" s="104">
        <f>SUM('Draw #12'!G43)+F43</f>
        <v>15524</v>
      </c>
      <c r="H43" s="109">
        <f t="shared" si="0"/>
        <v>15524</v>
      </c>
      <c r="I43" s="110">
        <v>0</v>
      </c>
      <c r="J43" s="109">
        <f>SUM(I43+'Draw #12'!J43)</f>
        <v>0</v>
      </c>
      <c r="K43" s="101" t="str">
        <f t="shared" si="1"/>
        <v/>
      </c>
      <c r="L43" s="9"/>
      <c r="M43" s="9"/>
    </row>
    <row r="44" spans="1:13" ht="14.1" customHeight="1">
      <c r="A44" s="4">
        <f>'SCHEDULE OF VALUE WORKSHEET'!A41</f>
        <v>35</v>
      </c>
      <c r="B44" s="142" t="str">
        <f>'SCHEDULE OF VALUE WORKSHEET'!B41</f>
        <v>Photovoltaic Consultant</v>
      </c>
      <c r="C44" s="143"/>
      <c r="D44" s="104">
        <f>SUM('SCHEDULE OF VALUE WORKSHEET'!E41)</f>
        <v>5000</v>
      </c>
      <c r="E44" s="104">
        <f>SUM('Draw #12'!E44:F44)</f>
        <v>0</v>
      </c>
      <c r="F44" s="105">
        <v>0</v>
      </c>
      <c r="G44" s="104">
        <f>SUM('Draw #12'!G44)+F44</f>
        <v>5000</v>
      </c>
      <c r="H44" s="109">
        <f t="shared" si="0"/>
        <v>5000</v>
      </c>
      <c r="I44" s="110">
        <v>0</v>
      </c>
      <c r="J44" s="109">
        <f>SUM(I44+'Draw #12'!J44)</f>
        <v>0</v>
      </c>
      <c r="K44" s="101" t="str">
        <f t="shared" si="1"/>
        <v/>
      </c>
      <c r="L44" s="9"/>
      <c r="M44" s="9"/>
    </row>
    <row r="45" spans="1:13" ht="14.1" customHeight="1">
      <c r="A45" s="4">
        <f>'SCHEDULE OF VALUE WORKSHEET'!A42</f>
        <v>36</v>
      </c>
      <c r="B45" s="142" t="str">
        <f>'SCHEDULE OF VALUE WORKSHEET'!B42</f>
        <v>Construction Management / Observation (OO)</v>
      </c>
      <c r="C45" s="143"/>
      <c r="D45" s="104">
        <f>SUM('SCHEDULE OF VALUE WORKSHEET'!E42)</f>
        <v>49427.9</v>
      </c>
      <c r="E45" s="104">
        <f>SUM('Draw #12'!E45:F45)</f>
        <v>0</v>
      </c>
      <c r="F45" s="105">
        <v>0</v>
      </c>
      <c r="G45" s="104">
        <f>SUM('Draw #12'!G45)+F45</f>
        <v>49427.9</v>
      </c>
      <c r="H45" s="109">
        <f t="shared" si="0"/>
        <v>49427.9</v>
      </c>
      <c r="I45" s="110">
        <v>0</v>
      </c>
      <c r="J45" s="109">
        <f>SUM(I45+'Draw #12'!J45)</f>
        <v>0</v>
      </c>
      <c r="K45" s="101" t="str">
        <f t="shared" si="1"/>
        <v/>
      </c>
      <c r="L45" s="9"/>
      <c r="M45" s="9"/>
    </row>
    <row r="46" spans="1:13" ht="14.1" customHeight="1">
      <c r="A46" s="4" t="e">
        <f>'SCHEDULE OF VALUE WORKSHEET'!#REF!</f>
        <v>#REF!</v>
      </c>
      <c r="B46" s="142" t="e">
        <f>'SCHEDULE OF VALUE WORKSHEET'!#REF!</f>
        <v>#REF!</v>
      </c>
      <c r="C46" s="143"/>
      <c r="D46" s="104" t="e">
        <f>SUM('SCHEDULE OF VALUE WORKSHEET'!#REF!)</f>
        <v>#REF!</v>
      </c>
      <c r="E46" s="104">
        <f>SUM('Draw #12'!E46:F46)</f>
        <v>0</v>
      </c>
      <c r="F46" s="105">
        <v>0</v>
      </c>
      <c r="G46" s="104" t="e">
        <f>SUM('Draw #12'!G46)+F46</f>
        <v>#REF!</v>
      </c>
      <c r="H46" s="109" t="e">
        <f t="shared" si="0"/>
        <v>#REF!</v>
      </c>
      <c r="I46" s="110">
        <v>0</v>
      </c>
      <c r="J46" s="109">
        <f>SUM(I46+'Draw #12'!J46)</f>
        <v>0</v>
      </c>
      <c r="K46" s="101" t="str">
        <f t="shared" si="1"/>
        <v/>
      </c>
      <c r="L46" s="9"/>
      <c r="M46" s="9"/>
    </row>
    <row r="47" spans="1:13" ht="14.1" customHeight="1">
      <c r="A47" s="4">
        <f>'SCHEDULE OF VALUE WORKSHEET'!A43</f>
        <v>37</v>
      </c>
      <c r="B47" s="142" t="str">
        <f>'SCHEDULE OF VALUE WORKSHEET'!B43</f>
        <v>CMFA Startup Fee</v>
      </c>
      <c r="C47" s="143"/>
      <c r="D47" s="104">
        <f>SUM('SCHEDULE OF VALUE WORKSHEET'!E43)</f>
        <v>22800</v>
      </c>
      <c r="E47" s="104">
        <f>SUM('Draw #12'!E47:F47)</f>
        <v>0</v>
      </c>
      <c r="F47" s="105">
        <v>0</v>
      </c>
      <c r="G47" s="104">
        <f>SUM('Draw #12'!G47)+F47</f>
        <v>22800</v>
      </c>
      <c r="H47" s="109">
        <f t="shared" si="0"/>
        <v>22800</v>
      </c>
      <c r="I47" s="110">
        <v>0</v>
      </c>
      <c r="J47" s="109">
        <f>SUM(I47+'Draw #12'!J47)</f>
        <v>0</v>
      </c>
      <c r="K47" s="101" t="str">
        <f t="shared" si="1"/>
        <v/>
      </c>
      <c r="L47" s="9"/>
      <c r="M47" s="9"/>
    </row>
    <row r="48" spans="1:13" ht="14.1" customHeight="1">
      <c r="A48" s="4">
        <f>'SCHEDULE OF VALUE WORKSHEET'!A44</f>
        <v>38</v>
      </c>
      <c r="B48" s="142" t="str">
        <f>'SCHEDULE OF VALUE WORKSHEET'!B44</f>
        <v>Non-Profit Start Up Fee</v>
      </c>
      <c r="C48" s="143"/>
      <c r="D48" s="104">
        <f>SUM('SCHEDULE OF VALUE WORKSHEET'!E44)</f>
        <v>25000</v>
      </c>
      <c r="E48" s="104">
        <f>SUM('Draw #12'!E48:F48)</f>
        <v>0</v>
      </c>
      <c r="F48" s="105">
        <v>0</v>
      </c>
      <c r="G48" s="104">
        <f>SUM('Draw #12'!G48)+F48</f>
        <v>25000</v>
      </c>
      <c r="H48" s="109">
        <f t="shared" si="0"/>
        <v>25000</v>
      </c>
      <c r="I48" s="110">
        <v>0</v>
      </c>
      <c r="J48" s="109">
        <f>SUM(I48+'Draw #12'!J48)</f>
        <v>0</v>
      </c>
      <c r="K48" s="101" t="str">
        <f t="shared" si="1"/>
        <v/>
      </c>
      <c r="L48" s="9"/>
      <c r="M48" s="9"/>
    </row>
    <row r="49" spans="1:13" ht="14.1" customHeight="1">
      <c r="A49" s="4">
        <f>'SCHEDULE OF VALUE WORKSHEET'!A45</f>
        <v>39</v>
      </c>
      <c r="B49" s="142" t="str">
        <f>'SCHEDULE OF VALUE WORKSHEET'!B45</f>
        <v>CMFA Construction Fee</v>
      </c>
      <c r="C49" s="143"/>
      <c r="D49" s="104">
        <f>SUM('SCHEDULE OF VALUE WORKSHEET'!E45)</f>
        <v>12000</v>
      </c>
      <c r="E49" s="104">
        <f>SUM('Draw #12'!E49:F49)</f>
        <v>0</v>
      </c>
      <c r="F49" s="105">
        <v>0</v>
      </c>
      <c r="G49" s="104">
        <f>SUM('Draw #12'!G49)+F49</f>
        <v>12000</v>
      </c>
      <c r="H49" s="109">
        <f t="shared" si="0"/>
        <v>12000</v>
      </c>
      <c r="I49" s="110">
        <v>0</v>
      </c>
      <c r="J49" s="109">
        <f>SUM(I49+'Draw #12'!J49)</f>
        <v>0</v>
      </c>
      <c r="K49" s="101" t="str">
        <f t="shared" si="1"/>
        <v/>
      </c>
      <c r="L49" s="9"/>
      <c r="M49" s="9"/>
    </row>
    <row r="50" spans="1:13" ht="14.1" customHeight="1">
      <c r="A50" s="4">
        <f>'SCHEDULE OF VALUE WORKSHEET'!A46</f>
        <v>40</v>
      </c>
      <c r="B50" s="142" t="str">
        <f>'SCHEDULE OF VALUE WORKSHEET'!B46</f>
        <v>Non-Profit Construction Fee</v>
      </c>
      <c r="C50" s="143"/>
      <c r="D50" s="104">
        <f>SUM('SCHEDULE OF VALUE WORKSHEET'!E46)</f>
        <v>10000</v>
      </c>
      <c r="E50" s="104">
        <f>SUM('Draw #12'!E50:F50)</f>
        <v>0</v>
      </c>
      <c r="F50" s="105">
        <v>0</v>
      </c>
      <c r="G50" s="104">
        <f>SUM('Draw #12'!G50)+F50</f>
        <v>10000</v>
      </c>
      <c r="H50" s="109">
        <f t="shared" si="0"/>
        <v>10000</v>
      </c>
      <c r="I50" s="110">
        <v>0</v>
      </c>
      <c r="J50" s="109">
        <f>SUM(I50+'Draw #12'!J50)</f>
        <v>0</v>
      </c>
      <c r="K50" s="101" t="str">
        <f t="shared" si="1"/>
        <v/>
      </c>
      <c r="L50" s="9"/>
      <c r="M50" s="9"/>
    </row>
    <row r="51" spans="1:13" ht="14.1" customHeight="1">
      <c r="A51" s="4">
        <f>'SCHEDULE OF VALUE WORKSHEET'!A47</f>
        <v>41</v>
      </c>
      <c r="B51" s="142" t="str">
        <f>'SCHEDULE OF VALUE WORKSHEET'!B47</f>
        <v>WTE Legal Costs for CMFA &amp; Non-Profit Partner</v>
      </c>
      <c r="C51" s="143"/>
      <c r="D51" s="104">
        <f>SUM('SCHEDULE OF VALUE WORKSHEET'!E47)</f>
        <v>20000</v>
      </c>
      <c r="E51" s="104">
        <f>SUM('Draw #12'!E51:F51)</f>
        <v>0</v>
      </c>
      <c r="F51" s="105">
        <v>0</v>
      </c>
      <c r="G51" s="104">
        <f>SUM('Draw #12'!G51)+F51</f>
        <v>20000</v>
      </c>
      <c r="H51" s="109">
        <f t="shared" si="0"/>
        <v>20000</v>
      </c>
      <c r="I51" s="110">
        <v>0</v>
      </c>
      <c r="J51" s="109">
        <f>SUM(I51+'Draw #12'!J51)</f>
        <v>0</v>
      </c>
      <c r="K51" s="101" t="str">
        <f t="shared" si="1"/>
        <v/>
      </c>
      <c r="L51" s="9"/>
      <c r="M51" s="9"/>
    </row>
    <row r="52" spans="1:13" ht="14.1" customHeight="1">
      <c r="A52" s="4" t="e">
        <f>'SCHEDULE OF VALUE WORKSHEET'!#REF!</f>
        <v>#REF!</v>
      </c>
      <c r="B52" s="142" t="e">
        <f>'SCHEDULE OF VALUE WORKSHEET'!#REF!</f>
        <v>#REF!</v>
      </c>
      <c r="C52" s="143"/>
      <c r="D52" s="104" t="e">
        <f>SUM('SCHEDULE OF VALUE WORKSHEET'!#REF!)</f>
        <v>#REF!</v>
      </c>
      <c r="E52" s="104">
        <f>SUM('Draw #12'!E52:F52)</f>
        <v>0</v>
      </c>
      <c r="F52" s="105">
        <v>0</v>
      </c>
      <c r="G52" s="104" t="e">
        <f>SUM('Draw #12'!G52)+F52</f>
        <v>#REF!</v>
      </c>
      <c r="H52" s="109" t="e">
        <f t="shared" si="0"/>
        <v>#REF!</v>
      </c>
      <c r="I52" s="110">
        <v>0</v>
      </c>
      <c r="J52" s="109">
        <f>SUM(I52+'Draw #12'!J52)</f>
        <v>0</v>
      </c>
      <c r="K52" s="101" t="str">
        <f t="shared" si="1"/>
        <v/>
      </c>
      <c r="L52" s="9"/>
      <c r="M52" s="9"/>
    </row>
    <row r="53" spans="1:13" ht="14.1" customHeight="1">
      <c r="A53" s="4">
        <f>'SCHEDULE OF VALUE WORKSHEET'!A49</f>
        <v>43</v>
      </c>
      <c r="B53" s="142" t="str">
        <f>'SCHEDULE OF VALUE WORKSHEET'!B49</f>
        <v>GENERAL CONDITIONS</v>
      </c>
      <c r="C53" s="143"/>
      <c r="D53" s="104">
        <f>SUM('SCHEDULE OF VALUE WORKSHEET'!E49)</f>
        <v>362115.24</v>
      </c>
      <c r="E53" s="104">
        <f>SUM('Draw #12'!E53:F53)</f>
        <v>0</v>
      </c>
      <c r="F53" s="105">
        <v>0</v>
      </c>
      <c r="G53" s="104">
        <f>SUM('Draw #12'!G53)+F53</f>
        <v>362115.24</v>
      </c>
      <c r="H53" s="109">
        <f t="shared" si="0"/>
        <v>362115.24</v>
      </c>
      <c r="I53" s="110">
        <v>0</v>
      </c>
      <c r="J53" s="109">
        <f>SUM(I53+'Draw #12'!J53)</f>
        <v>0</v>
      </c>
      <c r="K53" s="101" t="str">
        <f t="shared" si="1"/>
        <v/>
      </c>
      <c r="L53" s="9"/>
      <c r="M53" s="9"/>
    </row>
    <row r="54" spans="1:13" ht="14.1" customHeight="1">
      <c r="A54" s="4">
        <f>'SCHEDULE OF VALUE WORKSHEET'!A50</f>
        <v>44</v>
      </c>
      <c r="B54" s="142" t="str">
        <f>'SCHEDULE OF VALUE WORKSHEET'!B50</f>
        <v>GENERAL REQUIREMENT</v>
      </c>
      <c r="C54" s="143"/>
      <c r="D54" s="104">
        <f>SUM('SCHEDULE OF VALUE WORKSHEET'!E50)</f>
        <v>124657.88</v>
      </c>
      <c r="E54" s="104">
        <f>SUM('Draw #12'!E54:F54)</f>
        <v>0</v>
      </c>
      <c r="F54" s="105">
        <v>0</v>
      </c>
      <c r="G54" s="104">
        <f>SUM('Draw #12'!G54)+F54</f>
        <v>124657.88</v>
      </c>
      <c r="H54" s="109">
        <f t="shared" si="0"/>
        <v>124657.88</v>
      </c>
      <c r="I54" s="110">
        <v>0</v>
      </c>
      <c r="J54" s="109">
        <f>SUM(I54+'Draw #12'!J54)</f>
        <v>0</v>
      </c>
      <c r="K54" s="101" t="str">
        <f t="shared" si="1"/>
        <v/>
      </c>
      <c r="L54" s="9"/>
      <c r="M54" s="9"/>
    </row>
    <row r="55" spans="1:13" ht="14.1" customHeight="1">
      <c r="A55" s="4">
        <f>'SCHEDULE OF VALUE WORKSHEET'!A51</f>
        <v>45</v>
      </c>
      <c r="B55" s="142" t="str">
        <f>'SCHEDULE OF VALUE WORKSHEET'!B51</f>
        <v>SITE WORK</v>
      </c>
      <c r="C55" s="143"/>
      <c r="D55" s="104">
        <f>SUM('SCHEDULE OF VALUE WORKSHEET'!E51)</f>
        <v>139049.51</v>
      </c>
      <c r="E55" s="104">
        <f>SUM('Draw #12'!E55:F55)</f>
        <v>0</v>
      </c>
      <c r="F55" s="105">
        <v>0</v>
      </c>
      <c r="G55" s="104">
        <f>SUM('Draw #12'!G55)+F55</f>
        <v>139049.51</v>
      </c>
      <c r="H55" s="109">
        <f t="shared" si="0"/>
        <v>139049.51</v>
      </c>
      <c r="I55" s="110">
        <v>0</v>
      </c>
      <c r="J55" s="109">
        <f>SUM(I55+'Draw #12'!J55)</f>
        <v>0</v>
      </c>
      <c r="K55" s="101" t="str">
        <f t="shared" si="1"/>
        <v/>
      </c>
      <c r="L55" s="9"/>
      <c r="M55" s="9"/>
    </row>
    <row r="56" spans="1:13" ht="14.1" customHeight="1">
      <c r="A56" s="4">
        <f>'SCHEDULE OF VALUE WORKSHEET'!A52</f>
        <v>46</v>
      </c>
      <c r="B56" s="142" t="str">
        <f>'SCHEDULE OF VALUE WORKSHEET'!B52</f>
        <v>CONCRETE</v>
      </c>
      <c r="C56" s="143"/>
      <c r="D56" s="104">
        <f>SUM('SCHEDULE OF VALUE WORKSHEET'!E52)</f>
        <v>253182</v>
      </c>
      <c r="E56" s="104">
        <f>SUM('Draw #12'!E56:F56)</f>
        <v>0</v>
      </c>
      <c r="F56" s="105">
        <v>0</v>
      </c>
      <c r="G56" s="104">
        <f>SUM('Draw #12'!G56)+F56</f>
        <v>253182</v>
      </c>
      <c r="H56" s="109">
        <f t="shared" si="0"/>
        <v>253182</v>
      </c>
      <c r="I56" s="110">
        <v>0</v>
      </c>
      <c r="J56" s="109">
        <f>SUM(I56+'Draw #12'!J56)</f>
        <v>0</v>
      </c>
      <c r="K56" s="101" t="str">
        <f t="shared" si="1"/>
        <v/>
      </c>
      <c r="L56" s="9"/>
      <c r="M56" s="9"/>
    </row>
    <row r="57" spans="1:13" ht="14.1" customHeight="1">
      <c r="A57" s="4">
        <f>'SCHEDULE OF VALUE WORKSHEET'!A53</f>
        <v>47</v>
      </c>
      <c r="B57" s="142" t="str">
        <f>'SCHEDULE OF VALUE WORKSHEET'!B53</f>
        <v>MASONRY</v>
      </c>
      <c r="C57" s="143"/>
      <c r="D57" s="104">
        <f>SUM('SCHEDULE OF VALUE WORKSHEET'!E53)</f>
        <v>3562.64</v>
      </c>
      <c r="E57" s="104">
        <f>SUM('Draw #12'!E57:F57)</f>
        <v>0</v>
      </c>
      <c r="F57" s="105">
        <v>0</v>
      </c>
      <c r="G57" s="104">
        <f>SUM('Draw #12'!G57)+F57</f>
        <v>3562.64</v>
      </c>
      <c r="H57" s="109">
        <f t="shared" si="0"/>
        <v>3562.64</v>
      </c>
      <c r="I57" s="110">
        <v>0</v>
      </c>
      <c r="J57" s="109">
        <f>SUM(I57+'Draw #12'!J57)</f>
        <v>0</v>
      </c>
      <c r="K57" s="101" t="str">
        <f t="shared" si="1"/>
        <v/>
      </c>
      <c r="L57" s="9"/>
      <c r="M57" s="9"/>
    </row>
    <row r="58" spans="1:13" ht="14.1" customHeight="1">
      <c r="A58" s="4">
        <f>'SCHEDULE OF VALUE WORKSHEET'!A54</f>
        <v>48</v>
      </c>
      <c r="B58" s="142" t="str">
        <f>'SCHEDULE OF VALUE WORKSHEET'!B54</f>
        <v>METALS</v>
      </c>
      <c r="C58" s="143"/>
      <c r="D58" s="104">
        <f>SUM('SCHEDULE OF VALUE WORKSHEET'!E54)</f>
        <v>324100</v>
      </c>
      <c r="E58" s="104">
        <f>SUM('Draw #12'!E58:F58)</f>
        <v>0</v>
      </c>
      <c r="F58" s="105">
        <v>0</v>
      </c>
      <c r="G58" s="104">
        <f>SUM('Draw #12'!G58)+F58</f>
        <v>324100</v>
      </c>
      <c r="H58" s="109">
        <f t="shared" si="0"/>
        <v>324100</v>
      </c>
      <c r="I58" s="110">
        <v>0</v>
      </c>
      <c r="J58" s="109">
        <f>SUM(I58+'Draw #12'!J58)</f>
        <v>0</v>
      </c>
      <c r="K58" s="101" t="str">
        <f t="shared" si="1"/>
        <v/>
      </c>
      <c r="L58" s="9"/>
      <c r="M58" s="9"/>
    </row>
    <row r="59" spans="1:13" ht="14.1" customHeight="1">
      <c r="A59" s="4">
        <f>'SCHEDULE OF VALUE WORKSHEET'!A55</f>
        <v>49</v>
      </c>
      <c r="B59" s="142" t="str">
        <f>'SCHEDULE OF VALUE WORKSHEET'!B55</f>
        <v>FRAMING</v>
      </c>
      <c r="C59" s="143"/>
      <c r="D59" s="104">
        <f>SUM('SCHEDULE OF VALUE WORKSHEET'!E55)</f>
        <v>818554</v>
      </c>
      <c r="E59" s="104">
        <f>SUM('Draw #12'!E59:F59)</f>
        <v>0</v>
      </c>
      <c r="F59" s="105">
        <v>0</v>
      </c>
      <c r="G59" s="104">
        <f>SUM('Draw #12'!G59)+F59</f>
        <v>818554</v>
      </c>
      <c r="H59" s="109">
        <f t="shared" si="0"/>
        <v>818554</v>
      </c>
      <c r="I59" s="110">
        <v>0</v>
      </c>
      <c r="J59" s="109">
        <f>SUM(I59+'Draw #12'!J59)</f>
        <v>0</v>
      </c>
      <c r="K59" s="101" t="str">
        <f t="shared" si="1"/>
        <v/>
      </c>
      <c r="L59" s="9"/>
      <c r="M59" s="9"/>
    </row>
    <row r="60" spans="1:13" ht="14.1" customHeight="1">
      <c r="A60" s="4">
        <f>'SCHEDULE OF VALUE WORKSHEET'!A56</f>
        <v>50</v>
      </c>
      <c r="B60" s="142" t="str">
        <f>'SCHEDULE OF VALUE WORKSHEET'!B56</f>
        <v>COUNTERTOPS</v>
      </c>
      <c r="C60" s="143"/>
      <c r="D60" s="104">
        <f>SUM('SCHEDULE OF VALUE WORKSHEET'!E56)</f>
        <v>56930</v>
      </c>
      <c r="E60" s="104">
        <f>SUM('Draw #12'!E60:F60)</f>
        <v>0</v>
      </c>
      <c r="F60" s="105">
        <v>0</v>
      </c>
      <c r="G60" s="104">
        <f>SUM('Draw #12'!G60)+F60</f>
        <v>56930</v>
      </c>
      <c r="H60" s="109">
        <f t="shared" si="0"/>
        <v>56930</v>
      </c>
      <c r="I60" s="110">
        <v>0</v>
      </c>
      <c r="J60" s="109">
        <f>SUM(I60+'Draw #12'!J60)</f>
        <v>0</v>
      </c>
      <c r="K60" s="101" t="str">
        <f t="shared" si="1"/>
        <v/>
      </c>
      <c r="L60" s="9"/>
      <c r="M60" s="9"/>
    </row>
    <row r="61" spans="1:13" ht="14.1" customHeight="1">
      <c r="A61" s="4">
        <f>'SCHEDULE OF VALUE WORKSHEET'!A57</f>
        <v>51</v>
      </c>
      <c r="B61" s="142" t="str">
        <f>'SCHEDULE OF VALUE WORKSHEET'!B57</f>
        <v>CABINETS</v>
      </c>
      <c r="C61" s="143"/>
      <c r="D61" s="104">
        <f>SUM('SCHEDULE OF VALUE WORKSHEET'!E57)</f>
        <v>56930</v>
      </c>
      <c r="E61" s="104">
        <f>SUM('Draw #12'!E61:F61)</f>
        <v>0</v>
      </c>
      <c r="F61" s="105">
        <v>0</v>
      </c>
      <c r="G61" s="104">
        <f>SUM('Draw #12'!G61)+F61</f>
        <v>56930</v>
      </c>
      <c r="H61" s="109">
        <f t="shared" si="0"/>
        <v>56930</v>
      </c>
      <c r="I61" s="110">
        <v>0</v>
      </c>
      <c r="J61" s="109">
        <f>SUM(I61+'Draw #12'!J61)</f>
        <v>0</v>
      </c>
      <c r="K61" s="101" t="str">
        <f t="shared" si="1"/>
        <v/>
      </c>
      <c r="L61" s="9"/>
      <c r="M61" s="9"/>
    </row>
    <row r="62" spans="1:13" ht="14.1" customHeight="1">
      <c r="A62" s="4">
        <f>'SCHEDULE OF VALUE WORKSHEET'!A58</f>
        <v>52</v>
      </c>
      <c r="B62" s="142" t="str">
        <f>'SCHEDULE OF VALUE WORKSHEET'!B58</f>
        <v>THERMAL MOISTURE PROTECTION</v>
      </c>
      <c r="C62" s="143"/>
      <c r="D62" s="104">
        <f>SUM('SCHEDULE OF VALUE WORKSHEET'!E58)</f>
        <v>173148</v>
      </c>
      <c r="E62" s="104">
        <f>SUM('Draw #12'!E62:F62)</f>
        <v>0</v>
      </c>
      <c r="F62" s="105">
        <v>0</v>
      </c>
      <c r="G62" s="104">
        <f>SUM('Draw #12'!G62)+F62</f>
        <v>173148</v>
      </c>
      <c r="H62" s="109">
        <f t="shared" si="0"/>
        <v>173148</v>
      </c>
      <c r="I62" s="110">
        <v>0</v>
      </c>
      <c r="J62" s="109">
        <f>SUM(I62+'Draw #12'!J62)</f>
        <v>0</v>
      </c>
      <c r="K62" s="101" t="str">
        <f t="shared" si="1"/>
        <v/>
      </c>
      <c r="L62" s="9"/>
      <c r="M62" s="9"/>
    </row>
    <row r="63" spans="1:13" ht="14.1" customHeight="1">
      <c r="A63" s="4">
        <f>'SCHEDULE OF VALUE WORKSHEET'!A59</f>
        <v>53</v>
      </c>
      <c r="B63" s="142" t="str">
        <f>'SCHEDULE OF VALUE WORKSHEET'!B59</f>
        <v>DOORS</v>
      </c>
      <c r="C63" s="143"/>
      <c r="D63" s="104">
        <f>SUM('SCHEDULE OF VALUE WORKSHEET'!E59)</f>
        <v>204087.33</v>
      </c>
      <c r="E63" s="104">
        <f>SUM('Draw #12'!E63:F63)</f>
        <v>0</v>
      </c>
      <c r="F63" s="105">
        <v>0</v>
      </c>
      <c r="G63" s="104">
        <f>SUM('Draw #12'!G63)+F63</f>
        <v>204087.33</v>
      </c>
      <c r="H63" s="109">
        <f t="shared" si="0"/>
        <v>204087.33</v>
      </c>
      <c r="I63" s="110">
        <v>0</v>
      </c>
      <c r="J63" s="109">
        <f>SUM(I63+'Draw #12'!J63)</f>
        <v>0</v>
      </c>
      <c r="K63" s="101" t="str">
        <f t="shared" si="1"/>
        <v/>
      </c>
      <c r="L63" s="9"/>
      <c r="M63" s="9"/>
    </row>
    <row r="64" spans="1:13" ht="14.1" customHeight="1">
      <c r="A64" s="4">
        <f>'SCHEDULE OF VALUE WORKSHEET'!A60</f>
        <v>54</v>
      </c>
      <c r="B64" s="142" t="str">
        <f>'SCHEDULE OF VALUE WORKSHEET'!B60</f>
        <v>WINDOWS</v>
      </c>
      <c r="C64" s="143"/>
      <c r="D64" s="104">
        <f>SUM('SCHEDULE OF VALUE WORKSHEET'!E60)</f>
        <v>106274.25</v>
      </c>
      <c r="E64" s="104">
        <f>SUM('Draw #12'!E64:F64)</f>
        <v>0</v>
      </c>
      <c r="F64" s="105">
        <v>0</v>
      </c>
      <c r="G64" s="104">
        <f>SUM('Draw #12'!G64)+F64</f>
        <v>106274.25</v>
      </c>
      <c r="H64" s="109">
        <f t="shared" si="0"/>
        <v>106274.25</v>
      </c>
      <c r="I64" s="110">
        <v>0</v>
      </c>
      <c r="J64" s="109">
        <f>SUM(I64+'Draw #12'!J64)</f>
        <v>0</v>
      </c>
      <c r="K64" s="101" t="str">
        <f t="shared" si="1"/>
        <v/>
      </c>
      <c r="L64" s="9"/>
      <c r="M64" s="9"/>
    </row>
    <row r="65" spans="1:13" ht="14.1" customHeight="1">
      <c r="A65" s="4">
        <f>'SCHEDULE OF VALUE WORKSHEET'!A61</f>
        <v>55</v>
      </c>
      <c r="B65" s="142" t="str">
        <f>'SCHEDULE OF VALUE WORKSHEET'!B61</f>
        <v>STUCCO</v>
      </c>
      <c r="C65" s="143"/>
      <c r="D65" s="104">
        <f>SUM('SCHEDULE OF VALUE WORKSHEET'!E61)</f>
        <v>208002</v>
      </c>
      <c r="E65" s="104">
        <f>SUM('Draw #12'!E65:F65)</f>
        <v>0</v>
      </c>
      <c r="F65" s="105">
        <v>0</v>
      </c>
      <c r="G65" s="104">
        <f>SUM('Draw #12'!G65)+F65</f>
        <v>208002</v>
      </c>
      <c r="H65" s="109">
        <f t="shared" si="0"/>
        <v>208002</v>
      </c>
      <c r="I65" s="110">
        <v>0</v>
      </c>
      <c r="J65" s="109">
        <f>SUM(I65+'Draw #12'!J65)</f>
        <v>0</v>
      </c>
      <c r="K65" s="101" t="str">
        <f t="shared" si="1"/>
        <v/>
      </c>
      <c r="L65" s="9"/>
      <c r="M65" s="9"/>
    </row>
    <row r="66" spans="1:13" ht="14.1" customHeight="1">
      <c r="A66" s="4">
        <f>'SCHEDULE OF VALUE WORKSHEET'!A62</f>
        <v>56</v>
      </c>
      <c r="B66" s="142" t="str">
        <f>'SCHEDULE OF VALUE WORKSHEET'!B62</f>
        <v>DRYWALL</v>
      </c>
      <c r="C66" s="143"/>
      <c r="D66" s="104">
        <f>SUM('SCHEDULE OF VALUE WORKSHEET'!E62)</f>
        <v>416355</v>
      </c>
      <c r="E66" s="104">
        <f>SUM('Draw #12'!E66:F66)</f>
        <v>0</v>
      </c>
      <c r="F66" s="105">
        <v>0</v>
      </c>
      <c r="G66" s="104">
        <f>SUM('Draw #12'!G66)+F66</f>
        <v>416355</v>
      </c>
      <c r="H66" s="109">
        <f t="shared" si="0"/>
        <v>416355</v>
      </c>
      <c r="I66" s="110">
        <v>0</v>
      </c>
      <c r="J66" s="109">
        <f>SUM(I66+'Draw #12'!J66)</f>
        <v>0</v>
      </c>
      <c r="K66" s="101" t="str">
        <f t="shared" si="1"/>
        <v/>
      </c>
      <c r="L66" s="9"/>
      <c r="M66" s="9"/>
    </row>
    <row r="67" spans="1:13" ht="14.1" customHeight="1">
      <c r="A67" s="4">
        <f>'SCHEDULE OF VALUE WORKSHEET'!A63</f>
        <v>57</v>
      </c>
      <c r="B67" s="142" t="str">
        <f>'SCHEDULE OF VALUE WORKSHEET'!B63</f>
        <v>PAINTING</v>
      </c>
      <c r="C67" s="143"/>
      <c r="D67" s="104">
        <f>SUM('SCHEDULE OF VALUE WORKSHEET'!E63)</f>
        <v>120700</v>
      </c>
      <c r="E67" s="104">
        <f>SUM('Draw #12'!E67:F67)</f>
        <v>0</v>
      </c>
      <c r="F67" s="105">
        <v>0</v>
      </c>
      <c r="G67" s="104">
        <f>SUM('Draw #12'!G67)+F67</f>
        <v>120700</v>
      </c>
      <c r="H67" s="109">
        <f t="shared" si="0"/>
        <v>120700</v>
      </c>
      <c r="I67" s="110">
        <v>0</v>
      </c>
      <c r="J67" s="109">
        <f>SUM(I67+'Draw #12'!J67)</f>
        <v>0</v>
      </c>
      <c r="K67" s="101" t="str">
        <f t="shared" si="1"/>
        <v/>
      </c>
      <c r="L67" s="9"/>
      <c r="M67" s="9"/>
    </row>
    <row r="68" spans="1:13" ht="14.1" customHeight="1">
      <c r="A68" s="4">
        <f>'SCHEDULE OF VALUE WORKSHEET'!A64</f>
        <v>58</v>
      </c>
      <c r="B68" s="142" t="str">
        <f>'SCHEDULE OF VALUE WORKSHEET'!B64</f>
        <v>FLOORING - common areas</v>
      </c>
      <c r="C68" s="143"/>
      <c r="D68" s="104">
        <f>SUM('SCHEDULE OF VALUE WORKSHEET'!E64)</f>
        <v>45150</v>
      </c>
      <c r="E68" s="104">
        <f>SUM('Draw #12'!E68:F68)</f>
        <v>0</v>
      </c>
      <c r="F68" s="105">
        <v>0</v>
      </c>
      <c r="G68" s="104">
        <f>SUM('Draw #12'!G68)+F68</f>
        <v>45150</v>
      </c>
      <c r="H68" s="109">
        <f t="shared" si="0"/>
        <v>45150</v>
      </c>
      <c r="I68" s="110">
        <v>0</v>
      </c>
      <c r="J68" s="109">
        <f>SUM(I68+'Draw #12'!J68)</f>
        <v>0</v>
      </c>
      <c r="K68" s="101" t="str">
        <f t="shared" si="1"/>
        <v/>
      </c>
      <c r="L68" s="9"/>
      <c r="M68" s="9"/>
    </row>
    <row r="69" spans="1:13" ht="14.1" customHeight="1">
      <c r="A69" s="4">
        <f>'SCHEDULE OF VALUE WORKSHEET'!A65</f>
        <v>59</v>
      </c>
      <c r="B69" s="142" t="str">
        <f>'SCHEDULE OF VALUE WORKSHEET'!B65</f>
        <v>FLOORING - Units with baseboards</v>
      </c>
      <c r="C69" s="143"/>
      <c r="D69" s="104">
        <f>SUM('SCHEDULE OF VALUE WORKSHEET'!E65)</f>
        <v>93335</v>
      </c>
      <c r="E69" s="104">
        <f>SUM('Draw #12'!E69:F69)</f>
        <v>0</v>
      </c>
      <c r="F69" s="105">
        <v>0</v>
      </c>
      <c r="G69" s="104">
        <f>SUM('Draw #12'!G69)+F69</f>
        <v>93335</v>
      </c>
      <c r="H69" s="109">
        <f t="shared" si="0"/>
        <v>93335</v>
      </c>
      <c r="I69" s="110">
        <v>0</v>
      </c>
      <c r="J69" s="109">
        <f>SUM(I69+'Draw #12'!J69)</f>
        <v>0</v>
      </c>
      <c r="K69" s="101" t="str">
        <f t="shared" si="1"/>
        <v/>
      </c>
      <c r="L69" s="9"/>
      <c r="M69" s="9"/>
    </row>
    <row r="70" spans="1:13" ht="14.1" customHeight="1">
      <c r="A70" s="4">
        <f>'SCHEDULE OF VALUE WORKSHEET'!A66</f>
        <v>60</v>
      </c>
      <c r="B70" s="142" t="str">
        <f>'SCHEDULE OF VALUE WORKSHEET'!B66</f>
        <v>SPECIALTIES</v>
      </c>
      <c r="C70" s="143"/>
      <c r="D70" s="104">
        <f>SUM('SCHEDULE OF VALUE WORKSHEET'!E66)</f>
        <v>25109.21</v>
      </c>
      <c r="E70" s="104">
        <f>SUM('Draw #12'!E70:F70)</f>
        <v>0</v>
      </c>
      <c r="F70" s="105">
        <v>0</v>
      </c>
      <c r="G70" s="104">
        <f>SUM('Draw #12'!G70)+F70</f>
        <v>25109.21</v>
      </c>
      <c r="H70" s="109">
        <f t="shared" si="0"/>
        <v>25109.21</v>
      </c>
      <c r="I70" s="110">
        <v>0</v>
      </c>
      <c r="J70" s="109">
        <f>SUM(I70+'Draw #12'!J70)</f>
        <v>0</v>
      </c>
      <c r="K70" s="101" t="str">
        <f t="shared" si="1"/>
        <v/>
      </c>
      <c r="L70" s="9"/>
      <c r="M70" s="9"/>
    </row>
    <row r="71" spans="1:13" ht="14.1" customHeight="1">
      <c r="A71" s="4">
        <f>'SCHEDULE OF VALUE WORKSHEET'!A67</f>
        <v>61</v>
      </c>
      <c r="B71" s="142" t="str">
        <f>'SCHEDULE OF VALUE WORKSHEET'!B67</f>
        <v>EQUIPMENT</v>
      </c>
      <c r="C71" s="143"/>
      <c r="D71" s="104">
        <f>SUM('SCHEDULE OF VALUE WORKSHEET'!E67)</f>
        <v>153636</v>
      </c>
      <c r="E71" s="104">
        <f>SUM('Draw #12'!E71:F71)</f>
        <v>0</v>
      </c>
      <c r="F71" s="105">
        <v>0</v>
      </c>
      <c r="G71" s="104">
        <f>SUM('Draw #12'!G71)+F71</f>
        <v>153636</v>
      </c>
      <c r="H71" s="109">
        <f t="shared" si="0"/>
        <v>153636</v>
      </c>
      <c r="I71" s="110">
        <v>0</v>
      </c>
      <c r="J71" s="109">
        <f>SUM(I71+'Draw #12'!J71)</f>
        <v>0</v>
      </c>
      <c r="K71" s="101" t="str">
        <f t="shared" si="1"/>
        <v/>
      </c>
      <c r="L71" s="9"/>
      <c r="M71" s="9"/>
    </row>
    <row r="72" spans="1:13" ht="14.1" customHeight="1">
      <c r="A72" s="4">
        <f>'SCHEDULE OF VALUE WORKSHEET'!A68</f>
        <v>62</v>
      </c>
      <c r="B72" s="142" t="str">
        <f>'SCHEDULE OF VALUE WORKSHEET'!B68</f>
        <v>FURNISHING</v>
      </c>
      <c r="C72" s="143"/>
      <c r="D72" s="104">
        <f>SUM('SCHEDULE OF VALUE WORKSHEET'!E68)</f>
        <v>0</v>
      </c>
      <c r="E72" s="104">
        <f>SUM('Draw #12'!E72:F72)</f>
        <v>0</v>
      </c>
      <c r="F72" s="105">
        <v>0</v>
      </c>
      <c r="G72" s="104">
        <f>SUM('Draw #12'!G72)+F72</f>
        <v>0</v>
      </c>
      <c r="H72" s="109">
        <f t="shared" si="0"/>
        <v>0</v>
      </c>
      <c r="I72" s="110">
        <v>0</v>
      </c>
      <c r="J72" s="109">
        <f>SUM(I72+'Draw #12'!J72)</f>
        <v>0</v>
      </c>
      <c r="K72" s="101" t="str">
        <f t="shared" si="1"/>
        <v/>
      </c>
      <c r="L72" s="9"/>
      <c r="M72" s="9"/>
    </row>
    <row r="73" spans="1:13" ht="14.1" customHeight="1">
      <c r="A73" s="4">
        <f>'SCHEDULE OF VALUE WORKSHEET'!A69</f>
        <v>63</v>
      </c>
      <c r="B73" s="142" t="str">
        <f>'SCHEDULE OF VALUE WORKSHEET'!B69</f>
        <v>FIRE SPRINKLERS</v>
      </c>
      <c r="C73" s="143"/>
      <c r="D73" s="104">
        <f>SUM('SCHEDULE OF VALUE WORKSHEET'!E69)</f>
        <v>108500</v>
      </c>
      <c r="E73" s="104">
        <f>SUM('Draw #12'!E73:F73)</f>
        <v>0</v>
      </c>
      <c r="F73" s="105">
        <v>0</v>
      </c>
      <c r="G73" s="104">
        <f>SUM('Draw #12'!G73)+F73</f>
        <v>108500</v>
      </c>
      <c r="H73" s="109">
        <f t="shared" si="0"/>
        <v>108500</v>
      </c>
      <c r="I73" s="110">
        <v>0</v>
      </c>
      <c r="J73" s="109">
        <f>SUM(I73+'Draw #12'!J73)</f>
        <v>0</v>
      </c>
      <c r="K73" s="101" t="str">
        <f t="shared" si="1"/>
        <v/>
      </c>
      <c r="L73" s="9"/>
      <c r="M73" s="9"/>
    </row>
    <row r="74" spans="1:13" ht="14.1" customHeight="1">
      <c r="A74" s="4">
        <f>'SCHEDULE OF VALUE WORKSHEET'!A70</f>
        <v>64</v>
      </c>
      <c r="B74" s="142" t="str">
        <f>'SCHEDULE OF VALUE WORKSHEET'!B70</f>
        <v>FIRE ALARM</v>
      </c>
      <c r="C74" s="143"/>
      <c r="D74" s="104">
        <f>SUM('SCHEDULE OF VALUE WORKSHEET'!E70)</f>
        <v>68401</v>
      </c>
      <c r="E74" s="104">
        <f>SUM('Draw #12'!E74:F74)</f>
        <v>0</v>
      </c>
      <c r="F74" s="105">
        <v>0</v>
      </c>
      <c r="G74" s="104">
        <f>SUM('Draw #12'!G74)+F74</f>
        <v>68401</v>
      </c>
      <c r="H74" s="109">
        <f t="shared" si="0"/>
        <v>68401</v>
      </c>
      <c r="I74" s="110">
        <v>0</v>
      </c>
      <c r="J74" s="109">
        <f>SUM(I74+'Draw #12'!J74)</f>
        <v>0</v>
      </c>
      <c r="K74" s="101" t="str">
        <f t="shared" si="1"/>
        <v/>
      </c>
      <c r="L74" s="9"/>
      <c r="M74" s="9"/>
    </row>
    <row r="75" spans="1:13" ht="14.1" customHeight="1">
      <c r="A75" s="4">
        <f>'SCHEDULE OF VALUE WORKSHEET'!A71</f>
        <v>65</v>
      </c>
      <c r="B75" s="142" t="str">
        <f>'SCHEDULE OF VALUE WORKSHEET'!B71</f>
        <v>SOLAR PANELS</v>
      </c>
      <c r="C75" s="143"/>
      <c r="D75" s="104">
        <f>SUM('SCHEDULE OF VALUE WORKSHEET'!E71)</f>
        <v>97000</v>
      </c>
      <c r="E75" s="104">
        <f>SUM('Draw #12'!E75:F75)</f>
        <v>0</v>
      </c>
      <c r="F75" s="105">
        <v>0</v>
      </c>
      <c r="G75" s="104">
        <f>SUM('Draw #12'!G75)+F75</f>
        <v>97000</v>
      </c>
      <c r="H75" s="109">
        <f t="shared" ref="H75:H135" si="2">SUM(G75-J75)</f>
        <v>97000</v>
      </c>
      <c r="I75" s="110">
        <v>0</v>
      </c>
      <c r="J75" s="109">
        <f>SUM(I75+'Draw #12'!J75)</f>
        <v>0</v>
      </c>
      <c r="K75" s="101" t="str">
        <f t="shared" ref="K75:K135" si="3">IF(J75=0,"",J75/G75)</f>
        <v/>
      </c>
      <c r="L75" s="9"/>
      <c r="M75" s="9"/>
    </row>
    <row r="76" spans="1:13" ht="14.1" customHeight="1">
      <c r="A76" s="4">
        <f>'SCHEDULE OF VALUE WORKSHEET'!A72</f>
        <v>66</v>
      </c>
      <c r="B76" s="142" t="str">
        <f>'SCHEDULE OF VALUE WORKSHEET'!B72</f>
        <v>SECURITY ACCESS &amp; SURVEILLANCE</v>
      </c>
      <c r="C76" s="143"/>
      <c r="D76" s="104">
        <f>SUM('SCHEDULE OF VALUE WORKSHEET'!E72)</f>
        <v>136430</v>
      </c>
      <c r="E76" s="104">
        <f>SUM('Draw #12'!E76:F76)</f>
        <v>0</v>
      </c>
      <c r="F76" s="105">
        <v>0</v>
      </c>
      <c r="G76" s="104">
        <f>SUM('Draw #12'!G76)+F76</f>
        <v>136430</v>
      </c>
      <c r="H76" s="109">
        <f t="shared" si="2"/>
        <v>136430</v>
      </c>
      <c r="I76" s="110">
        <v>0</v>
      </c>
      <c r="J76" s="109">
        <f>SUM(I76+'Draw #12'!J76)</f>
        <v>0</v>
      </c>
      <c r="K76" s="101" t="str">
        <f t="shared" si="3"/>
        <v/>
      </c>
      <c r="L76" s="9"/>
      <c r="M76" s="9"/>
    </row>
    <row r="77" spans="1:13" ht="14.1" customHeight="1">
      <c r="A77" s="4">
        <f>'SCHEDULE OF VALUE WORKSHEET'!A73</f>
        <v>67</v>
      </c>
      <c r="B77" s="142" t="str">
        <f>'SCHEDULE OF VALUE WORKSHEET'!B73</f>
        <v>ELEVATORS &amp; LIFT</v>
      </c>
      <c r="C77" s="143"/>
      <c r="D77" s="104">
        <f>SUM('SCHEDULE OF VALUE WORKSHEET'!E73)</f>
        <v>174882</v>
      </c>
      <c r="E77" s="104">
        <f>SUM('Draw #12'!E77:F77)</f>
        <v>0</v>
      </c>
      <c r="F77" s="105">
        <v>0</v>
      </c>
      <c r="G77" s="104">
        <f>SUM('Draw #12'!G77)+F77</f>
        <v>174882</v>
      </c>
      <c r="H77" s="109">
        <f t="shared" si="2"/>
        <v>174882</v>
      </c>
      <c r="I77" s="110">
        <v>0</v>
      </c>
      <c r="J77" s="109">
        <f>SUM(I77+'Draw #12'!J77)</f>
        <v>0</v>
      </c>
      <c r="K77" s="101" t="str">
        <f t="shared" si="3"/>
        <v/>
      </c>
      <c r="L77" s="9"/>
      <c r="M77" s="9"/>
    </row>
    <row r="78" spans="1:13" ht="14.1" customHeight="1">
      <c r="A78" s="4">
        <f>'SCHEDULE OF VALUE WORKSHEET'!A74</f>
        <v>68</v>
      </c>
      <c r="B78" s="142" t="str">
        <f>'SCHEDULE OF VALUE WORKSHEET'!B74</f>
        <v>WATER SUBMETER (material)</v>
      </c>
      <c r="C78" s="143"/>
      <c r="D78" s="104">
        <f>SUM('SCHEDULE OF VALUE WORKSHEET'!E74)</f>
        <v>12273</v>
      </c>
      <c r="E78" s="104">
        <f>SUM('Draw #12'!E78:F78)</f>
        <v>0</v>
      </c>
      <c r="F78" s="105">
        <v>0</v>
      </c>
      <c r="G78" s="104">
        <f>SUM('Draw #12'!G78)+F78</f>
        <v>12273</v>
      </c>
      <c r="H78" s="109">
        <f t="shared" si="2"/>
        <v>12273</v>
      </c>
      <c r="I78" s="110">
        <v>0</v>
      </c>
      <c r="J78" s="109">
        <f>SUM(I78+'Draw #12'!J78)</f>
        <v>0</v>
      </c>
      <c r="K78" s="101" t="str">
        <f t="shared" si="3"/>
        <v/>
      </c>
      <c r="L78" s="9"/>
      <c r="M78" s="9"/>
    </row>
    <row r="79" spans="1:13" ht="14.1" customHeight="1">
      <c r="A79" s="4">
        <f>'SCHEDULE OF VALUE WORKSHEET'!A75</f>
        <v>69</v>
      </c>
      <c r="B79" s="142" t="str">
        <f>'SCHEDULE OF VALUE WORKSHEET'!B75</f>
        <v>WATER SUBMETER (labor)</v>
      </c>
      <c r="C79" s="143"/>
      <c r="D79" s="104">
        <f>SUM('SCHEDULE OF VALUE WORKSHEET'!E75)</f>
        <v>0</v>
      </c>
      <c r="E79" s="104">
        <f>SUM('Draw #12'!E79:F79)</f>
        <v>0</v>
      </c>
      <c r="F79" s="105">
        <v>0</v>
      </c>
      <c r="G79" s="104">
        <f>SUM('Draw #12'!G79)+F79</f>
        <v>0</v>
      </c>
      <c r="H79" s="109">
        <f t="shared" si="2"/>
        <v>0</v>
      </c>
      <c r="I79" s="110">
        <v>0</v>
      </c>
      <c r="J79" s="109">
        <f>SUM(I79+'Draw #12'!J79)</f>
        <v>0</v>
      </c>
      <c r="K79" s="101" t="str">
        <f t="shared" si="3"/>
        <v/>
      </c>
      <c r="L79" s="9"/>
      <c r="M79" s="9"/>
    </row>
    <row r="80" spans="1:13" ht="14.1" customHeight="1">
      <c r="A80" s="4">
        <f>'SCHEDULE OF VALUE WORKSHEET'!A76</f>
        <v>70</v>
      </c>
      <c r="B80" s="142" t="str">
        <f>'SCHEDULE OF VALUE WORKSHEET'!B76</f>
        <v>ROUGH PLUMBING</v>
      </c>
      <c r="C80" s="143"/>
      <c r="D80" s="104">
        <f>SUM('SCHEDULE OF VALUE WORKSHEET'!E76)</f>
        <v>751927</v>
      </c>
      <c r="E80" s="104">
        <f>SUM('Draw #12'!E80:F80)</f>
        <v>0</v>
      </c>
      <c r="F80" s="105">
        <v>0</v>
      </c>
      <c r="G80" s="104">
        <f>SUM('Draw #12'!G80)+F80</f>
        <v>751927</v>
      </c>
      <c r="H80" s="109">
        <f t="shared" si="2"/>
        <v>751927</v>
      </c>
      <c r="I80" s="110">
        <v>0</v>
      </c>
      <c r="J80" s="109">
        <f>SUM(I80+'Draw #12'!J80)</f>
        <v>0</v>
      </c>
      <c r="K80" s="101" t="str">
        <f t="shared" si="3"/>
        <v/>
      </c>
      <c r="L80" s="9"/>
      <c r="M80" s="9"/>
    </row>
    <row r="81" spans="1:13" ht="14.1" customHeight="1">
      <c r="A81" s="4">
        <f>'SCHEDULE OF VALUE WORKSHEET'!A77</f>
        <v>71</v>
      </c>
      <c r="B81" s="142" t="str">
        <f>'SCHEDULE OF VALUE WORKSHEET'!B77</f>
        <v>FINISH PLUMBING</v>
      </c>
      <c r="C81" s="143"/>
      <c r="D81" s="104">
        <f>SUM('SCHEDULE OF VALUE WORKSHEET'!E77)</f>
        <v>90000</v>
      </c>
      <c r="E81" s="104">
        <f>SUM('Draw #12'!E81:F81)</f>
        <v>0</v>
      </c>
      <c r="F81" s="105">
        <v>0</v>
      </c>
      <c r="G81" s="104">
        <f>SUM('Draw #12'!G81)+F81</f>
        <v>90000</v>
      </c>
      <c r="H81" s="109">
        <f t="shared" si="2"/>
        <v>90000</v>
      </c>
      <c r="I81" s="110">
        <v>0</v>
      </c>
      <c r="J81" s="109">
        <f>SUM(I81+'Draw #12'!J81)</f>
        <v>0</v>
      </c>
      <c r="K81" s="101" t="str">
        <f t="shared" si="3"/>
        <v/>
      </c>
      <c r="L81" s="9"/>
      <c r="M81" s="9"/>
    </row>
    <row r="82" spans="1:13" ht="14.1" customHeight="1">
      <c r="A82" s="4">
        <f>'SCHEDULE OF VALUE WORKSHEET'!A78</f>
        <v>72</v>
      </c>
      <c r="B82" s="142" t="str">
        <f>'SCHEDULE OF VALUE WORKSHEET'!B78</f>
        <v>HVAC</v>
      </c>
      <c r="C82" s="143"/>
      <c r="D82" s="104">
        <f>SUM('SCHEDULE OF VALUE WORKSHEET'!E78)</f>
        <v>259000</v>
      </c>
      <c r="E82" s="104">
        <f>SUM('Draw #12'!E82:F82)</f>
        <v>0</v>
      </c>
      <c r="F82" s="105">
        <v>0</v>
      </c>
      <c r="G82" s="104">
        <f>SUM('Draw #12'!G82)+F82</f>
        <v>259000</v>
      </c>
      <c r="H82" s="109">
        <f t="shared" si="2"/>
        <v>259000</v>
      </c>
      <c r="I82" s="110">
        <v>0</v>
      </c>
      <c r="J82" s="109">
        <f>SUM(I82+'Draw #12'!J82)</f>
        <v>0</v>
      </c>
      <c r="K82" s="101" t="str">
        <f t="shared" si="3"/>
        <v/>
      </c>
      <c r="L82" s="9"/>
      <c r="M82" s="9"/>
    </row>
    <row r="83" spans="1:13" ht="14.1" customHeight="1">
      <c r="A83" s="4">
        <f>'SCHEDULE OF VALUE WORKSHEET'!A79</f>
        <v>73</v>
      </c>
      <c r="B83" s="142" t="str">
        <f>'SCHEDULE OF VALUE WORKSHEET'!B79</f>
        <v>ELECTRICAL</v>
      </c>
      <c r="C83" s="143"/>
      <c r="D83" s="104">
        <f>SUM('SCHEDULE OF VALUE WORKSHEET'!E79)</f>
        <v>880486.32</v>
      </c>
      <c r="E83" s="104">
        <f>SUM('Draw #12'!E83:F83)</f>
        <v>0</v>
      </c>
      <c r="F83" s="105">
        <v>0</v>
      </c>
      <c r="G83" s="104">
        <f>SUM('Draw #12'!G83)+F83</f>
        <v>880486.32</v>
      </c>
      <c r="H83" s="109">
        <f t="shared" si="2"/>
        <v>880486.32</v>
      </c>
      <c r="I83" s="110">
        <v>0</v>
      </c>
      <c r="J83" s="109">
        <f>SUM(I83+'Draw #12'!J83)</f>
        <v>0</v>
      </c>
      <c r="K83" s="101" t="str">
        <f t="shared" si="3"/>
        <v/>
      </c>
      <c r="L83" s="9"/>
      <c r="M83" s="9"/>
    </row>
    <row r="84" spans="1:13" ht="14.1" customHeight="1">
      <c r="A84" s="4">
        <f>'SCHEDULE OF VALUE WORKSHEET'!A80</f>
        <v>74</v>
      </c>
      <c r="B84" s="142" t="str">
        <f>'SCHEDULE OF VALUE WORKSHEET'!B80</f>
        <v xml:space="preserve">CONTINGENCY </v>
      </c>
      <c r="C84" s="143"/>
      <c r="D84" s="104">
        <f>SUM('SCHEDULE OF VALUE WORKSHEET'!E80)</f>
        <v>529215.20000000007</v>
      </c>
      <c r="E84" s="104">
        <f>SUM('Draw #12'!E84:F84)</f>
        <v>0</v>
      </c>
      <c r="F84" s="105">
        <v>0</v>
      </c>
      <c r="G84" s="104">
        <f>SUM('Draw #12'!G84)+F84</f>
        <v>529215.20000000007</v>
      </c>
      <c r="H84" s="109">
        <f t="shared" si="2"/>
        <v>529215.20000000007</v>
      </c>
      <c r="I84" s="110">
        <v>0</v>
      </c>
      <c r="J84" s="109">
        <f>SUM(I84+'Draw #12'!J84)</f>
        <v>0</v>
      </c>
      <c r="K84" s="101" t="str">
        <f t="shared" si="3"/>
        <v/>
      </c>
      <c r="L84" s="9"/>
      <c r="M84" s="9"/>
    </row>
    <row r="85" spans="1:13" ht="14.1" customHeight="1">
      <c r="A85" s="4">
        <f>'SCHEDULE OF VALUE WORKSHEET'!A81</f>
        <v>75</v>
      </c>
      <c r="B85" s="142" t="str">
        <f>'SCHEDULE OF VALUE WORKSHEET'!B81</f>
        <v>INSURANCE (GL w/auto, workers compl)</v>
      </c>
      <c r="C85" s="143"/>
      <c r="D85" s="104">
        <f>SUM('SCHEDULE OF VALUE WORKSHEET'!E81)</f>
        <v>97177.07</v>
      </c>
      <c r="E85" s="104">
        <f>SUM('Draw #12'!E85:F85)</f>
        <v>0</v>
      </c>
      <c r="F85" s="105">
        <v>0</v>
      </c>
      <c r="G85" s="104">
        <f>SUM('Draw #12'!G85)+F85</f>
        <v>97177.07</v>
      </c>
      <c r="H85" s="109">
        <f t="shared" si="2"/>
        <v>97177.07</v>
      </c>
      <c r="I85" s="110">
        <v>0</v>
      </c>
      <c r="J85" s="109">
        <f>SUM(I85+'Draw #12'!J85)</f>
        <v>0</v>
      </c>
      <c r="K85" s="101" t="str">
        <f t="shared" si="3"/>
        <v/>
      </c>
      <c r="L85" s="9"/>
      <c r="M85" s="9"/>
    </row>
    <row r="86" spans="1:13" ht="14.1" customHeight="1">
      <c r="A86" s="4">
        <f>'SCHEDULE OF VALUE WORKSHEET'!A82</f>
        <v>76</v>
      </c>
      <c r="B86" s="142" t="str">
        <f>'SCHEDULE OF VALUE WORKSHEET'!B82</f>
        <v>GROSS RECEIPT TAX</v>
      </c>
      <c r="C86" s="143"/>
      <c r="D86" s="104">
        <f>SUM('SCHEDULE OF VALUE WORKSHEET'!E82)</f>
        <v>6543.26</v>
      </c>
      <c r="E86" s="104">
        <f>SUM('Draw #12'!E86:F86)</f>
        <v>0</v>
      </c>
      <c r="F86" s="105">
        <v>0</v>
      </c>
      <c r="G86" s="104">
        <f>SUM('Draw #12'!G86)+F86</f>
        <v>6543.26</v>
      </c>
      <c r="H86" s="109">
        <f t="shared" si="2"/>
        <v>6543.26</v>
      </c>
      <c r="I86" s="110">
        <v>0</v>
      </c>
      <c r="J86" s="109">
        <f>SUM(I86+'Draw #12'!J86)</f>
        <v>0</v>
      </c>
      <c r="K86" s="101" t="str">
        <f t="shared" si="3"/>
        <v/>
      </c>
      <c r="L86" s="9"/>
      <c r="M86" s="9"/>
    </row>
    <row r="87" spans="1:13" ht="14.1" customHeight="1">
      <c r="A87" s="4">
        <f>'SCHEDULE OF VALUE WORKSHEET'!A83</f>
        <v>77</v>
      </c>
      <c r="B87" s="142" t="str">
        <f>'SCHEDULE OF VALUE WORKSHEET'!B83</f>
        <v>GC FEE</v>
      </c>
      <c r="C87" s="143"/>
      <c r="D87" s="104">
        <f>SUM('SCHEDULE OF VALUE WORKSHEET'!E83)</f>
        <v>388708.28</v>
      </c>
      <c r="E87" s="104">
        <f>SUM('Draw #12'!E87:F87)</f>
        <v>0</v>
      </c>
      <c r="F87" s="105">
        <v>0</v>
      </c>
      <c r="G87" s="104">
        <f>SUM('Draw #12'!G87)+F87</f>
        <v>388708.28</v>
      </c>
      <c r="H87" s="109">
        <f t="shared" si="2"/>
        <v>388708.28</v>
      </c>
      <c r="I87" s="110">
        <v>0</v>
      </c>
      <c r="J87" s="109">
        <f>SUM(I87+'Draw #12'!J87)</f>
        <v>0</v>
      </c>
      <c r="K87" s="101" t="str">
        <f t="shared" si="3"/>
        <v/>
      </c>
      <c r="L87" s="9"/>
      <c r="M87" s="9"/>
    </row>
    <row r="88" spans="1:13" ht="14.1" customHeight="1">
      <c r="A88" s="4">
        <f>'SCHEDULE OF VALUE WORKSHEET'!A84</f>
        <v>78</v>
      </c>
      <c r="B88" s="142" t="str">
        <f>'SCHEDULE OF VALUE WORKSHEET'!B84</f>
        <v>DEVELOPMENT FEE</v>
      </c>
      <c r="C88" s="143"/>
      <c r="D88" s="104">
        <f>SUM('SCHEDULE OF VALUE WORKSHEET'!E84)</f>
        <v>180523.5</v>
      </c>
      <c r="E88" s="104">
        <f>SUM('Draw #12'!E88:F88)</f>
        <v>0</v>
      </c>
      <c r="F88" s="105">
        <v>0</v>
      </c>
      <c r="G88" s="104">
        <f>SUM('Draw #12'!G88)+F88</f>
        <v>180523.5</v>
      </c>
      <c r="H88" s="109">
        <f t="shared" si="2"/>
        <v>180523.5</v>
      </c>
      <c r="I88" s="110">
        <v>0</v>
      </c>
      <c r="J88" s="109">
        <f>SUM(I88+'Draw #12'!J88)</f>
        <v>0</v>
      </c>
      <c r="K88" s="101" t="str">
        <f t="shared" si="3"/>
        <v/>
      </c>
      <c r="L88" s="9"/>
      <c r="M88" s="9"/>
    </row>
    <row r="89" spans="1:13" ht="14.1" customHeight="1">
      <c r="A89" s="4">
        <f>'SCHEDULE OF VALUE WORKSHEET'!A85</f>
        <v>79</v>
      </c>
      <c r="B89" s="142" t="str">
        <f>'SCHEDULE OF VALUE WORKSHEET'!B85</f>
        <v>CARRYING COSTS</v>
      </c>
      <c r="C89" s="143"/>
      <c r="D89" s="104">
        <f>SUM('SCHEDULE OF VALUE WORKSHEET'!E85)</f>
        <v>92885.53</v>
      </c>
      <c r="E89" s="104">
        <f>SUM('Draw #12'!E89:F89)</f>
        <v>0</v>
      </c>
      <c r="F89" s="105">
        <v>0</v>
      </c>
      <c r="G89" s="104">
        <f>SUM('Draw #12'!G89)+F89</f>
        <v>92885.53</v>
      </c>
      <c r="H89" s="109">
        <f t="shared" si="2"/>
        <v>92885.53</v>
      </c>
      <c r="I89" s="110">
        <v>0</v>
      </c>
      <c r="J89" s="109">
        <f>SUM(I89+'Draw #12'!J89)</f>
        <v>0</v>
      </c>
      <c r="K89" s="101" t="str">
        <f t="shared" si="3"/>
        <v/>
      </c>
      <c r="L89" s="9"/>
      <c r="M89" s="9"/>
    </row>
    <row r="90" spans="1:13" ht="14.1" customHeight="1">
      <c r="A90" s="4">
        <f>'SCHEDULE OF VALUE WORKSHEET'!A86</f>
        <v>80</v>
      </c>
      <c r="B90" s="142" t="str">
        <f>'SCHEDULE OF VALUE WORKSHEET'!B86</f>
        <v>FINANCING COSTS</v>
      </c>
      <c r="C90" s="143"/>
      <c r="D90" s="104">
        <f>SUM('SCHEDULE OF VALUE WORKSHEET'!E86)</f>
        <v>0</v>
      </c>
      <c r="E90" s="104">
        <f>SUM('Draw #12'!E90:F90)</f>
        <v>0</v>
      </c>
      <c r="F90" s="105">
        <v>0</v>
      </c>
      <c r="G90" s="104">
        <f>SUM('Draw #12'!G90)+F90</f>
        <v>0</v>
      </c>
      <c r="H90" s="109">
        <f t="shared" si="2"/>
        <v>0</v>
      </c>
      <c r="I90" s="110">
        <v>0</v>
      </c>
      <c r="J90" s="109">
        <f>SUM(I90+'Draw #12'!J90)</f>
        <v>0</v>
      </c>
      <c r="K90" s="101" t="str">
        <f t="shared" si="3"/>
        <v/>
      </c>
      <c r="L90" s="9"/>
      <c r="M90" s="9"/>
    </row>
    <row r="91" spans="1:13" ht="14.1" customHeight="1">
      <c r="A91" s="4" t="e">
        <f>'SCHEDULE OF VALUE WORKSHEET'!#REF!</f>
        <v>#REF!</v>
      </c>
      <c r="B91" s="142" t="e">
        <f>'SCHEDULE OF VALUE WORKSHEET'!#REF!</f>
        <v>#REF!</v>
      </c>
      <c r="C91" s="143"/>
      <c r="D91" s="104" t="e">
        <f>SUM('SCHEDULE OF VALUE WORKSHEET'!#REF!)</f>
        <v>#REF!</v>
      </c>
      <c r="E91" s="104">
        <f>SUM('Draw #12'!E91:F91)</f>
        <v>0</v>
      </c>
      <c r="F91" s="105">
        <v>0</v>
      </c>
      <c r="G91" s="104" t="e">
        <f>SUM('Draw #12'!G91)+F91</f>
        <v>#REF!</v>
      </c>
      <c r="H91" s="109" t="e">
        <f t="shared" si="2"/>
        <v>#REF!</v>
      </c>
      <c r="I91" s="110">
        <v>0</v>
      </c>
      <c r="J91" s="109">
        <f>SUM(I91+'Draw #12'!J91)</f>
        <v>0</v>
      </c>
      <c r="K91" s="101" t="str">
        <f t="shared" si="3"/>
        <v/>
      </c>
      <c r="L91" s="9"/>
      <c r="M91" s="9"/>
    </row>
    <row r="92" spans="1:13" ht="14.1" customHeight="1">
      <c r="A92" s="4" t="e">
        <f>'SCHEDULE OF VALUE WORKSHEET'!#REF!</f>
        <v>#REF!</v>
      </c>
      <c r="B92" s="142" t="e">
        <f>'SCHEDULE OF VALUE WORKSHEET'!#REF!</f>
        <v>#REF!</v>
      </c>
      <c r="C92" s="143"/>
      <c r="D92" s="104" t="e">
        <f>SUM('SCHEDULE OF VALUE WORKSHEET'!#REF!)</f>
        <v>#REF!</v>
      </c>
      <c r="E92" s="104">
        <f>SUM('Draw #12'!E92:F92)</f>
        <v>0</v>
      </c>
      <c r="F92" s="105">
        <v>0</v>
      </c>
      <c r="G92" s="104" t="e">
        <f>SUM('Draw #12'!G92)+F92</f>
        <v>#REF!</v>
      </c>
      <c r="H92" s="109" t="e">
        <f t="shared" si="2"/>
        <v>#REF!</v>
      </c>
      <c r="I92" s="110">
        <v>0</v>
      </c>
      <c r="J92" s="109">
        <f>SUM(I92+'Draw #12'!J92)</f>
        <v>0</v>
      </c>
      <c r="K92" s="101" t="str">
        <f t="shared" si="3"/>
        <v/>
      </c>
      <c r="L92" s="9"/>
      <c r="M92" s="9"/>
    </row>
    <row r="93" spans="1:13" ht="14.1" customHeight="1">
      <c r="A93" s="4" t="e">
        <f>'SCHEDULE OF VALUE WORKSHEET'!#REF!</f>
        <v>#REF!</v>
      </c>
      <c r="B93" s="142" t="e">
        <f>'SCHEDULE OF VALUE WORKSHEET'!#REF!</f>
        <v>#REF!</v>
      </c>
      <c r="C93" s="143"/>
      <c r="D93" s="104" t="e">
        <f>SUM('SCHEDULE OF VALUE WORKSHEET'!#REF!)</f>
        <v>#REF!</v>
      </c>
      <c r="E93" s="104">
        <f>SUM('Draw #12'!E93:F93)</f>
        <v>0</v>
      </c>
      <c r="F93" s="105">
        <v>0</v>
      </c>
      <c r="G93" s="104" t="e">
        <f>SUM('Draw #12'!G93)+F93</f>
        <v>#REF!</v>
      </c>
      <c r="H93" s="109" t="e">
        <f t="shared" si="2"/>
        <v>#REF!</v>
      </c>
      <c r="I93" s="110">
        <v>0</v>
      </c>
      <c r="J93" s="109">
        <f>SUM(I93+'Draw #12'!J93)</f>
        <v>0</v>
      </c>
      <c r="K93" s="101" t="str">
        <f t="shared" si="3"/>
        <v/>
      </c>
      <c r="L93" s="9"/>
      <c r="M93" s="9"/>
    </row>
    <row r="94" spans="1:13" ht="14.1" customHeight="1">
      <c r="A94" s="4" t="e">
        <f>'SCHEDULE OF VALUE WORKSHEET'!#REF!</f>
        <v>#REF!</v>
      </c>
      <c r="B94" s="142" t="e">
        <f>'SCHEDULE OF VALUE WORKSHEET'!#REF!</f>
        <v>#REF!</v>
      </c>
      <c r="C94" s="143"/>
      <c r="D94" s="104" t="e">
        <f>SUM('SCHEDULE OF VALUE WORKSHEET'!#REF!)</f>
        <v>#REF!</v>
      </c>
      <c r="E94" s="104">
        <f>SUM('Draw #12'!E94:F94)</f>
        <v>0</v>
      </c>
      <c r="F94" s="105">
        <v>0</v>
      </c>
      <c r="G94" s="104" t="e">
        <f>SUM('Draw #12'!G94)+F94</f>
        <v>#REF!</v>
      </c>
      <c r="H94" s="109" t="e">
        <f t="shared" si="2"/>
        <v>#REF!</v>
      </c>
      <c r="I94" s="110">
        <v>0</v>
      </c>
      <c r="J94" s="109">
        <f>SUM(I94+'Draw #12'!J94)</f>
        <v>0</v>
      </c>
      <c r="K94" s="101" t="str">
        <f t="shared" si="3"/>
        <v/>
      </c>
      <c r="L94" s="9"/>
      <c r="M94" s="9"/>
    </row>
    <row r="95" spans="1:13" ht="14.1" customHeight="1">
      <c r="A95" s="4" t="e">
        <f>'SCHEDULE OF VALUE WORKSHEET'!#REF!</f>
        <v>#REF!</v>
      </c>
      <c r="B95" s="142" t="e">
        <f>'SCHEDULE OF VALUE WORKSHEET'!#REF!</f>
        <v>#REF!</v>
      </c>
      <c r="C95" s="143"/>
      <c r="D95" s="104" t="e">
        <f>SUM('SCHEDULE OF VALUE WORKSHEET'!#REF!)</f>
        <v>#REF!</v>
      </c>
      <c r="E95" s="104">
        <f>SUM('Draw #12'!E95:F95)</f>
        <v>0</v>
      </c>
      <c r="F95" s="105">
        <v>0</v>
      </c>
      <c r="G95" s="104" t="e">
        <f>SUM('Draw #12'!G95)+F95</f>
        <v>#REF!</v>
      </c>
      <c r="H95" s="109" t="e">
        <f t="shared" si="2"/>
        <v>#REF!</v>
      </c>
      <c r="I95" s="110">
        <v>0</v>
      </c>
      <c r="J95" s="109">
        <f>SUM(I95+'Draw #12'!J95)</f>
        <v>0</v>
      </c>
      <c r="K95" s="101" t="str">
        <f t="shared" si="3"/>
        <v/>
      </c>
      <c r="L95" s="9"/>
      <c r="M95" s="9"/>
    </row>
    <row r="96" spans="1:13" ht="14.1" customHeight="1">
      <c r="A96" s="4" t="e">
        <f>'SCHEDULE OF VALUE WORKSHEET'!#REF!</f>
        <v>#REF!</v>
      </c>
      <c r="B96" s="142" t="e">
        <f>'SCHEDULE OF VALUE WORKSHEET'!#REF!</f>
        <v>#REF!</v>
      </c>
      <c r="C96" s="143"/>
      <c r="D96" s="104" t="e">
        <f>SUM('SCHEDULE OF VALUE WORKSHEET'!#REF!)</f>
        <v>#REF!</v>
      </c>
      <c r="E96" s="104">
        <f>SUM('Draw #12'!E96:F96)</f>
        <v>0</v>
      </c>
      <c r="F96" s="105">
        <v>0</v>
      </c>
      <c r="G96" s="104" t="e">
        <f>SUM('Draw #12'!G96)+F96</f>
        <v>#REF!</v>
      </c>
      <c r="H96" s="109" t="e">
        <f t="shared" si="2"/>
        <v>#REF!</v>
      </c>
      <c r="I96" s="110">
        <v>0</v>
      </c>
      <c r="J96" s="109">
        <f>SUM(I96+'Draw #12'!J96)</f>
        <v>0</v>
      </c>
      <c r="K96" s="101" t="str">
        <f t="shared" si="3"/>
        <v/>
      </c>
      <c r="L96" s="9"/>
      <c r="M96" s="9"/>
    </row>
    <row r="97" spans="1:13" ht="14.1" customHeight="1">
      <c r="A97" s="4" t="e">
        <f>'SCHEDULE OF VALUE WORKSHEET'!#REF!</f>
        <v>#REF!</v>
      </c>
      <c r="B97" s="142" t="e">
        <f>'SCHEDULE OF VALUE WORKSHEET'!#REF!</f>
        <v>#REF!</v>
      </c>
      <c r="C97" s="143"/>
      <c r="D97" s="104" t="e">
        <f>SUM('SCHEDULE OF VALUE WORKSHEET'!#REF!)</f>
        <v>#REF!</v>
      </c>
      <c r="E97" s="104">
        <f>SUM('Draw #12'!E97:F97)</f>
        <v>0</v>
      </c>
      <c r="F97" s="105">
        <v>0</v>
      </c>
      <c r="G97" s="104" t="e">
        <f>SUM('Draw #12'!G97)+F97</f>
        <v>#REF!</v>
      </c>
      <c r="H97" s="109" t="e">
        <f t="shared" si="2"/>
        <v>#REF!</v>
      </c>
      <c r="I97" s="110">
        <v>0</v>
      </c>
      <c r="J97" s="109">
        <f>SUM(I97+'Draw #12'!J97)</f>
        <v>0</v>
      </c>
      <c r="K97" s="101" t="str">
        <f t="shared" si="3"/>
        <v/>
      </c>
      <c r="L97" s="9"/>
      <c r="M97" s="9"/>
    </row>
    <row r="98" spans="1:13" ht="14.1" customHeight="1">
      <c r="A98" s="4" t="e">
        <f>'SCHEDULE OF VALUE WORKSHEET'!#REF!</f>
        <v>#REF!</v>
      </c>
      <c r="B98" s="142" t="e">
        <f>'SCHEDULE OF VALUE WORKSHEET'!#REF!</f>
        <v>#REF!</v>
      </c>
      <c r="C98" s="143"/>
      <c r="D98" s="104" t="e">
        <f>SUM('SCHEDULE OF VALUE WORKSHEET'!#REF!)</f>
        <v>#REF!</v>
      </c>
      <c r="E98" s="104">
        <f>SUM('Draw #12'!E98:F98)</f>
        <v>0</v>
      </c>
      <c r="F98" s="105">
        <v>0</v>
      </c>
      <c r="G98" s="104" t="e">
        <f>SUM('Draw #12'!G98)+F98</f>
        <v>#REF!</v>
      </c>
      <c r="H98" s="109" t="e">
        <f t="shared" si="2"/>
        <v>#REF!</v>
      </c>
      <c r="I98" s="110">
        <v>0</v>
      </c>
      <c r="J98" s="109">
        <f>SUM(I98+'Draw #12'!J98)</f>
        <v>0</v>
      </c>
      <c r="K98" s="101" t="str">
        <f t="shared" si="3"/>
        <v/>
      </c>
      <c r="L98" s="9"/>
      <c r="M98" s="9"/>
    </row>
    <row r="99" spans="1:13" ht="14.1" customHeight="1">
      <c r="A99" s="4" t="e">
        <f>'SCHEDULE OF VALUE WORKSHEET'!#REF!</f>
        <v>#REF!</v>
      </c>
      <c r="B99" s="142" t="e">
        <f>'SCHEDULE OF VALUE WORKSHEET'!#REF!</f>
        <v>#REF!</v>
      </c>
      <c r="C99" s="143"/>
      <c r="D99" s="104" t="e">
        <f>SUM('SCHEDULE OF VALUE WORKSHEET'!#REF!)</f>
        <v>#REF!</v>
      </c>
      <c r="E99" s="104">
        <f>SUM('Draw #12'!E99:F99)</f>
        <v>0</v>
      </c>
      <c r="F99" s="105">
        <v>0</v>
      </c>
      <c r="G99" s="104" t="e">
        <f>SUM('Draw #12'!G99)+F99</f>
        <v>#REF!</v>
      </c>
      <c r="H99" s="109" t="e">
        <f t="shared" si="2"/>
        <v>#REF!</v>
      </c>
      <c r="I99" s="110">
        <v>0</v>
      </c>
      <c r="J99" s="109">
        <f>SUM(I99+'Draw #12'!J99)</f>
        <v>0</v>
      </c>
      <c r="K99" s="101" t="str">
        <f t="shared" si="3"/>
        <v/>
      </c>
      <c r="L99" s="9"/>
      <c r="M99" s="9"/>
    </row>
    <row r="100" spans="1:13" ht="14.1" customHeight="1">
      <c r="A100" s="4" t="e">
        <f>'SCHEDULE OF VALUE WORKSHEET'!#REF!</f>
        <v>#REF!</v>
      </c>
      <c r="B100" s="142" t="e">
        <f>'SCHEDULE OF VALUE WORKSHEET'!#REF!</f>
        <v>#REF!</v>
      </c>
      <c r="C100" s="143"/>
      <c r="D100" s="104" t="e">
        <f>SUM('SCHEDULE OF VALUE WORKSHEET'!#REF!)</f>
        <v>#REF!</v>
      </c>
      <c r="E100" s="104">
        <f>SUM('Draw #12'!E100:F100)</f>
        <v>0</v>
      </c>
      <c r="F100" s="105">
        <v>0</v>
      </c>
      <c r="G100" s="104" t="e">
        <f>SUM('Draw #12'!G100)+F100</f>
        <v>#REF!</v>
      </c>
      <c r="H100" s="109" t="e">
        <f t="shared" si="2"/>
        <v>#REF!</v>
      </c>
      <c r="I100" s="110">
        <v>0</v>
      </c>
      <c r="J100" s="109">
        <f>SUM(I100+'Draw #12'!J100)</f>
        <v>0</v>
      </c>
      <c r="K100" s="101" t="str">
        <f t="shared" si="3"/>
        <v/>
      </c>
      <c r="L100" s="9"/>
      <c r="M100" s="9"/>
    </row>
    <row r="101" spans="1:13" ht="14.1" customHeight="1">
      <c r="A101" s="4" t="e">
        <f>'SCHEDULE OF VALUE WORKSHEET'!#REF!</f>
        <v>#REF!</v>
      </c>
      <c r="B101" s="142" t="e">
        <f>'SCHEDULE OF VALUE WORKSHEET'!#REF!</f>
        <v>#REF!</v>
      </c>
      <c r="C101" s="143"/>
      <c r="D101" s="104" t="e">
        <f>SUM('SCHEDULE OF VALUE WORKSHEET'!#REF!)</f>
        <v>#REF!</v>
      </c>
      <c r="E101" s="104">
        <f>SUM('Draw #12'!E101:F101)</f>
        <v>0</v>
      </c>
      <c r="F101" s="105">
        <v>0</v>
      </c>
      <c r="G101" s="104" t="e">
        <f>SUM('Draw #12'!G101)+F101</f>
        <v>#REF!</v>
      </c>
      <c r="H101" s="109" t="e">
        <f t="shared" si="2"/>
        <v>#REF!</v>
      </c>
      <c r="I101" s="110">
        <v>0</v>
      </c>
      <c r="J101" s="109">
        <f>SUM(I101+'Draw #12'!J101)</f>
        <v>0</v>
      </c>
      <c r="K101" s="101" t="str">
        <f t="shared" si="3"/>
        <v/>
      </c>
      <c r="L101" s="9"/>
      <c r="M101" s="9"/>
    </row>
    <row r="102" spans="1:13" ht="14.1" customHeight="1">
      <c r="A102" s="4" t="e">
        <f>'SCHEDULE OF VALUE WORKSHEET'!#REF!</f>
        <v>#REF!</v>
      </c>
      <c r="B102" s="142" t="e">
        <f>'SCHEDULE OF VALUE WORKSHEET'!#REF!</f>
        <v>#REF!</v>
      </c>
      <c r="C102" s="143"/>
      <c r="D102" s="104" t="e">
        <f>SUM('SCHEDULE OF VALUE WORKSHEET'!#REF!)</f>
        <v>#REF!</v>
      </c>
      <c r="E102" s="104">
        <f>SUM('Draw #12'!E102:F102)</f>
        <v>0</v>
      </c>
      <c r="F102" s="105">
        <v>0</v>
      </c>
      <c r="G102" s="104" t="e">
        <f>SUM('Draw #12'!G102)+F102</f>
        <v>#REF!</v>
      </c>
      <c r="H102" s="109" t="e">
        <f t="shared" si="2"/>
        <v>#REF!</v>
      </c>
      <c r="I102" s="110">
        <v>0</v>
      </c>
      <c r="J102" s="109">
        <f>SUM(I102+'Draw #12'!J102)</f>
        <v>0</v>
      </c>
      <c r="K102" s="101" t="str">
        <f t="shared" si="3"/>
        <v/>
      </c>
      <c r="L102" s="9"/>
      <c r="M102" s="9"/>
    </row>
    <row r="103" spans="1:13" ht="14.1" customHeight="1">
      <c r="A103" s="4" t="e">
        <f>'SCHEDULE OF VALUE WORKSHEET'!#REF!</f>
        <v>#REF!</v>
      </c>
      <c r="B103" s="142" t="e">
        <f>'SCHEDULE OF VALUE WORKSHEET'!#REF!</f>
        <v>#REF!</v>
      </c>
      <c r="C103" s="143"/>
      <c r="D103" s="104" t="e">
        <f>SUM('SCHEDULE OF VALUE WORKSHEET'!#REF!)</f>
        <v>#REF!</v>
      </c>
      <c r="E103" s="104">
        <f>SUM('Draw #12'!E103:F103)</f>
        <v>0</v>
      </c>
      <c r="F103" s="105">
        <v>0</v>
      </c>
      <c r="G103" s="104" t="e">
        <f>SUM('Draw #12'!G103)+F103</f>
        <v>#REF!</v>
      </c>
      <c r="H103" s="109" t="e">
        <f t="shared" si="2"/>
        <v>#REF!</v>
      </c>
      <c r="I103" s="110">
        <v>0</v>
      </c>
      <c r="J103" s="109">
        <f>SUM(I103+'Draw #12'!J103)</f>
        <v>0</v>
      </c>
      <c r="K103" s="101" t="str">
        <f t="shared" si="3"/>
        <v/>
      </c>
      <c r="L103" s="9"/>
      <c r="M103" s="9"/>
    </row>
    <row r="104" spans="1:13" ht="14.1" customHeight="1">
      <c r="A104" s="4" t="e">
        <f>'SCHEDULE OF VALUE WORKSHEET'!#REF!</f>
        <v>#REF!</v>
      </c>
      <c r="B104" s="142" t="e">
        <f>'SCHEDULE OF VALUE WORKSHEET'!#REF!</f>
        <v>#REF!</v>
      </c>
      <c r="C104" s="143"/>
      <c r="D104" s="104" t="e">
        <f>SUM('SCHEDULE OF VALUE WORKSHEET'!#REF!)</f>
        <v>#REF!</v>
      </c>
      <c r="E104" s="104">
        <f>SUM('Draw #12'!E104:F104)</f>
        <v>0</v>
      </c>
      <c r="F104" s="105">
        <v>0</v>
      </c>
      <c r="G104" s="104" t="e">
        <f>SUM('Draw #12'!G104)+F104</f>
        <v>#REF!</v>
      </c>
      <c r="H104" s="109" t="e">
        <f t="shared" si="2"/>
        <v>#REF!</v>
      </c>
      <c r="I104" s="110">
        <v>0</v>
      </c>
      <c r="J104" s="109">
        <f>SUM(I104+'Draw #12'!J104)</f>
        <v>0</v>
      </c>
      <c r="K104" s="101" t="str">
        <f t="shared" si="3"/>
        <v/>
      </c>
      <c r="L104" s="9"/>
      <c r="M104" s="9"/>
    </row>
    <row r="105" spans="1:13" ht="14.1" customHeight="1">
      <c r="A105" s="4" t="e">
        <f>'SCHEDULE OF VALUE WORKSHEET'!#REF!</f>
        <v>#REF!</v>
      </c>
      <c r="B105" s="142" t="e">
        <f>'SCHEDULE OF VALUE WORKSHEET'!#REF!</f>
        <v>#REF!</v>
      </c>
      <c r="C105" s="143"/>
      <c r="D105" s="104" t="e">
        <f>SUM('SCHEDULE OF VALUE WORKSHEET'!#REF!)</f>
        <v>#REF!</v>
      </c>
      <c r="E105" s="104">
        <f>SUM('Draw #12'!E105:F105)</f>
        <v>0</v>
      </c>
      <c r="F105" s="105">
        <v>0</v>
      </c>
      <c r="G105" s="104" t="e">
        <f>SUM('Draw #12'!G105)+F105</f>
        <v>#REF!</v>
      </c>
      <c r="H105" s="109" t="e">
        <f t="shared" si="2"/>
        <v>#REF!</v>
      </c>
      <c r="I105" s="110">
        <v>0</v>
      </c>
      <c r="J105" s="109">
        <f>SUM(I105+'Draw #12'!J105)</f>
        <v>0</v>
      </c>
      <c r="K105" s="101" t="str">
        <f t="shared" si="3"/>
        <v/>
      </c>
      <c r="L105" s="9"/>
      <c r="M105" s="9"/>
    </row>
    <row r="106" spans="1:13" ht="14.1" customHeight="1">
      <c r="A106" s="4" t="e">
        <f>'SCHEDULE OF VALUE WORKSHEET'!#REF!</f>
        <v>#REF!</v>
      </c>
      <c r="B106" s="142" t="e">
        <f>'SCHEDULE OF VALUE WORKSHEET'!#REF!</f>
        <v>#REF!</v>
      </c>
      <c r="C106" s="143"/>
      <c r="D106" s="104" t="e">
        <f>SUM('SCHEDULE OF VALUE WORKSHEET'!#REF!)</f>
        <v>#REF!</v>
      </c>
      <c r="E106" s="104">
        <f>SUM('Draw #12'!E106:F106)</f>
        <v>0</v>
      </c>
      <c r="F106" s="105">
        <v>0</v>
      </c>
      <c r="G106" s="104" t="e">
        <f>SUM('Draw #12'!G106)+F106</f>
        <v>#REF!</v>
      </c>
      <c r="H106" s="109" t="e">
        <f t="shared" si="2"/>
        <v>#REF!</v>
      </c>
      <c r="I106" s="110">
        <v>0</v>
      </c>
      <c r="J106" s="109">
        <f>SUM(I106+'Draw #12'!J106)</f>
        <v>0</v>
      </c>
      <c r="K106" s="101" t="str">
        <f t="shared" si="3"/>
        <v/>
      </c>
      <c r="L106" s="9"/>
      <c r="M106" s="9"/>
    </row>
    <row r="107" spans="1:13" ht="14.1" customHeight="1">
      <c r="A107" s="4" t="e">
        <f>'SCHEDULE OF VALUE WORKSHEET'!#REF!</f>
        <v>#REF!</v>
      </c>
      <c r="B107" s="142" t="e">
        <f>'SCHEDULE OF VALUE WORKSHEET'!#REF!</f>
        <v>#REF!</v>
      </c>
      <c r="C107" s="143"/>
      <c r="D107" s="104" t="e">
        <f>SUM('SCHEDULE OF VALUE WORKSHEET'!#REF!)</f>
        <v>#REF!</v>
      </c>
      <c r="E107" s="104">
        <f>SUM('Draw #12'!E107:F107)</f>
        <v>0</v>
      </c>
      <c r="F107" s="105">
        <v>0</v>
      </c>
      <c r="G107" s="104" t="e">
        <f>SUM('Draw #12'!G107)+F107</f>
        <v>#REF!</v>
      </c>
      <c r="H107" s="109" t="e">
        <f t="shared" si="2"/>
        <v>#REF!</v>
      </c>
      <c r="I107" s="110">
        <v>0</v>
      </c>
      <c r="J107" s="109">
        <f>SUM(I107+'Draw #12'!J107)</f>
        <v>0</v>
      </c>
      <c r="K107" s="101" t="str">
        <f t="shared" si="3"/>
        <v/>
      </c>
      <c r="L107" s="9"/>
      <c r="M107" s="9"/>
    </row>
    <row r="108" spans="1:13" ht="14.1" customHeight="1">
      <c r="A108" s="4" t="e">
        <f>'SCHEDULE OF VALUE WORKSHEET'!#REF!</f>
        <v>#REF!</v>
      </c>
      <c r="B108" s="142" t="e">
        <f>'SCHEDULE OF VALUE WORKSHEET'!#REF!</f>
        <v>#REF!</v>
      </c>
      <c r="C108" s="143"/>
      <c r="D108" s="104" t="e">
        <f>SUM('SCHEDULE OF VALUE WORKSHEET'!#REF!)</f>
        <v>#REF!</v>
      </c>
      <c r="E108" s="104">
        <f>SUM('Draw #12'!E108:F108)</f>
        <v>0</v>
      </c>
      <c r="F108" s="105">
        <v>0</v>
      </c>
      <c r="G108" s="104" t="e">
        <f>SUM('Draw #12'!G108)+F108</f>
        <v>#REF!</v>
      </c>
      <c r="H108" s="109" t="e">
        <f t="shared" si="2"/>
        <v>#REF!</v>
      </c>
      <c r="I108" s="110">
        <v>0</v>
      </c>
      <c r="J108" s="109">
        <f>SUM(I108+'Draw #12'!J108)</f>
        <v>0</v>
      </c>
      <c r="K108" s="101" t="str">
        <f t="shared" si="3"/>
        <v/>
      </c>
      <c r="L108" s="9"/>
      <c r="M108" s="9"/>
    </row>
    <row r="109" spans="1:13" ht="14.1" customHeight="1">
      <c r="A109" s="4" t="e">
        <f>'SCHEDULE OF VALUE WORKSHEET'!#REF!</f>
        <v>#REF!</v>
      </c>
      <c r="B109" s="142" t="e">
        <f>'SCHEDULE OF VALUE WORKSHEET'!#REF!</f>
        <v>#REF!</v>
      </c>
      <c r="C109" s="143"/>
      <c r="D109" s="104" t="e">
        <f>SUM('SCHEDULE OF VALUE WORKSHEET'!#REF!)</f>
        <v>#REF!</v>
      </c>
      <c r="E109" s="104">
        <f>SUM('Draw #12'!E109:F109)</f>
        <v>0</v>
      </c>
      <c r="F109" s="105">
        <v>0</v>
      </c>
      <c r="G109" s="104" t="e">
        <f>SUM('Draw #12'!G109)+F109</f>
        <v>#REF!</v>
      </c>
      <c r="H109" s="109" t="e">
        <f t="shared" si="2"/>
        <v>#REF!</v>
      </c>
      <c r="I109" s="110">
        <v>0</v>
      </c>
      <c r="J109" s="109">
        <f>SUM(I109+'Draw #12'!J109)</f>
        <v>0</v>
      </c>
      <c r="K109" s="101" t="str">
        <f t="shared" si="3"/>
        <v/>
      </c>
      <c r="L109" s="9"/>
      <c r="M109" s="9"/>
    </row>
    <row r="110" spans="1:13" ht="14.1" customHeight="1">
      <c r="A110" s="4" t="e">
        <f>'SCHEDULE OF VALUE WORKSHEET'!#REF!</f>
        <v>#REF!</v>
      </c>
      <c r="B110" s="142" t="e">
        <f>'SCHEDULE OF VALUE WORKSHEET'!#REF!</f>
        <v>#REF!</v>
      </c>
      <c r="C110" s="143"/>
      <c r="D110" s="104" t="e">
        <f>SUM('SCHEDULE OF VALUE WORKSHEET'!#REF!)</f>
        <v>#REF!</v>
      </c>
      <c r="E110" s="104">
        <f>SUM('Draw #12'!E110:F110)</f>
        <v>0</v>
      </c>
      <c r="F110" s="105">
        <v>0</v>
      </c>
      <c r="G110" s="104" t="e">
        <f>SUM('Draw #12'!G110)+F110</f>
        <v>#REF!</v>
      </c>
      <c r="H110" s="109" t="e">
        <f t="shared" si="2"/>
        <v>#REF!</v>
      </c>
      <c r="I110" s="110">
        <v>0</v>
      </c>
      <c r="J110" s="109">
        <f>SUM(I110+'Draw #12'!J110)</f>
        <v>0</v>
      </c>
      <c r="K110" s="101" t="str">
        <f t="shared" si="3"/>
        <v/>
      </c>
      <c r="L110" s="9"/>
      <c r="M110" s="9"/>
    </row>
    <row r="111" spans="1:13" ht="14.1" customHeight="1">
      <c r="A111" s="4" t="e">
        <f>'SCHEDULE OF VALUE WORKSHEET'!#REF!</f>
        <v>#REF!</v>
      </c>
      <c r="B111" s="142" t="e">
        <f>'SCHEDULE OF VALUE WORKSHEET'!#REF!</f>
        <v>#REF!</v>
      </c>
      <c r="C111" s="143"/>
      <c r="D111" s="104" t="e">
        <f>SUM('SCHEDULE OF VALUE WORKSHEET'!#REF!)</f>
        <v>#REF!</v>
      </c>
      <c r="E111" s="104">
        <f>SUM('Draw #12'!E111:F111)</f>
        <v>0</v>
      </c>
      <c r="F111" s="105">
        <v>0</v>
      </c>
      <c r="G111" s="104" t="e">
        <f>SUM('Draw #12'!G111)+F111</f>
        <v>#REF!</v>
      </c>
      <c r="H111" s="109" t="e">
        <f t="shared" si="2"/>
        <v>#REF!</v>
      </c>
      <c r="I111" s="110">
        <v>0</v>
      </c>
      <c r="J111" s="109">
        <f>SUM(I111+'Draw #12'!J111)</f>
        <v>0</v>
      </c>
      <c r="K111" s="101" t="str">
        <f t="shared" si="3"/>
        <v/>
      </c>
      <c r="L111" s="9"/>
      <c r="M111" s="9"/>
    </row>
    <row r="112" spans="1:13" ht="14.1" customHeight="1">
      <c r="A112" s="4" t="e">
        <f>'SCHEDULE OF VALUE WORKSHEET'!#REF!</f>
        <v>#REF!</v>
      </c>
      <c r="B112" s="142" t="e">
        <f>'SCHEDULE OF VALUE WORKSHEET'!#REF!</f>
        <v>#REF!</v>
      </c>
      <c r="C112" s="143"/>
      <c r="D112" s="104" t="e">
        <f>SUM('SCHEDULE OF VALUE WORKSHEET'!#REF!)</f>
        <v>#REF!</v>
      </c>
      <c r="E112" s="104">
        <f>SUM('Draw #12'!E112:F112)</f>
        <v>0</v>
      </c>
      <c r="F112" s="105">
        <v>0</v>
      </c>
      <c r="G112" s="104" t="e">
        <f>SUM('Draw #12'!G112)+F112</f>
        <v>#REF!</v>
      </c>
      <c r="H112" s="109" t="e">
        <f t="shared" si="2"/>
        <v>#REF!</v>
      </c>
      <c r="I112" s="110">
        <v>0</v>
      </c>
      <c r="J112" s="109">
        <f>SUM(I112+'Draw #12'!J112)</f>
        <v>0</v>
      </c>
      <c r="K112" s="101" t="str">
        <f t="shared" si="3"/>
        <v/>
      </c>
      <c r="L112" s="9"/>
      <c r="M112" s="9"/>
    </row>
    <row r="113" spans="1:13" ht="14.1" customHeight="1">
      <c r="A113" s="4" t="e">
        <f>'SCHEDULE OF VALUE WORKSHEET'!#REF!</f>
        <v>#REF!</v>
      </c>
      <c r="B113" s="142" t="e">
        <f>'SCHEDULE OF VALUE WORKSHEET'!#REF!</f>
        <v>#REF!</v>
      </c>
      <c r="C113" s="143"/>
      <c r="D113" s="104" t="e">
        <f>SUM('SCHEDULE OF VALUE WORKSHEET'!#REF!)</f>
        <v>#REF!</v>
      </c>
      <c r="E113" s="104">
        <f>SUM('Draw #12'!E113:F113)</f>
        <v>0</v>
      </c>
      <c r="F113" s="105">
        <v>0</v>
      </c>
      <c r="G113" s="104" t="e">
        <f>SUM('Draw #12'!G113)+F113</f>
        <v>#REF!</v>
      </c>
      <c r="H113" s="109" t="e">
        <f t="shared" si="2"/>
        <v>#REF!</v>
      </c>
      <c r="I113" s="110">
        <v>0</v>
      </c>
      <c r="J113" s="109">
        <f>SUM(I113+'Draw #12'!J113)</f>
        <v>0</v>
      </c>
      <c r="K113" s="101" t="str">
        <f t="shared" si="3"/>
        <v/>
      </c>
      <c r="L113" s="9"/>
      <c r="M113" s="9"/>
    </row>
    <row r="114" spans="1:13" ht="14.1" customHeight="1">
      <c r="A114" s="4" t="e">
        <f>'SCHEDULE OF VALUE WORKSHEET'!#REF!</f>
        <v>#REF!</v>
      </c>
      <c r="B114" s="142" t="e">
        <f>'SCHEDULE OF VALUE WORKSHEET'!#REF!</f>
        <v>#REF!</v>
      </c>
      <c r="C114" s="143"/>
      <c r="D114" s="104" t="e">
        <f>SUM('SCHEDULE OF VALUE WORKSHEET'!#REF!)</f>
        <v>#REF!</v>
      </c>
      <c r="E114" s="104">
        <f>SUM('Draw #12'!E114:F114)</f>
        <v>0</v>
      </c>
      <c r="F114" s="105">
        <v>0</v>
      </c>
      <c r="G114" s="104" t="e">
        <f>SUM('Draw #12'!G114)+F114</f>
        <v>#REF!</v>
      </c>
      <c r="H114" s="109" t="e">
        <f t="shared" si="2"/>
        <v>#REF!</v>
      </c>
      <c r="I114" s="110">
        <v>0</v>
      </c>
      <c r="J114" s="109">
        <f>SUM(I114+'Draw #12'!J114)</f>
        <v>0</v>
      </c>
      <c r="K114" s="101" t="str">
        <f t="shared" si="3"/>
        <v/>
      </c>
      <c r="L114" s="9"/>
      <c r="M114" s="9"/>
    </row>
    <row r="115" spans="1:13" ht="14.1" customHeight="1">
      <c r="A115" s="4" t="e">
        <f>'SCHEDULE OF VALUE WORKSHEET'!#REF!</f>
        <v>#REF!</v>
      </c>
      <c r="B115" s="142" t="e">
        <f>'SCHEDULE OF VALUE WORKSHEET'!#REF!</f>
        <v>#REF!</v>
      </c>
      <c r="C115" s="143"/>
      <c r="D115" s="104" t="e">
        <f>SUM('SCHEDULE OF VALUE WORKSHEET'!#REF!)</f>
        <v>#REF!</v>
      </c>
      <c r="E115" s="104">
        <f>SUM('Draw #12'!E115:F115)</f>
        <v>0</v>
      </c>
      <c r="F115" s="105">
        <v>0</v>
      </c>
      <c r="G115" s="104" t="e">
        <f>SUM('Draw #12'!G115)+F115</f>
        <v>#REF!</v>
      </c>
      <c r="H115" s="109" t="e">
        <f t="shared" si="2"/>
        <v>#REF!</v>
      </c>
      <c r="I115" s="110">
        <v>0</v>
      </c>
      <c r="J115" s="109">
        <f>SUM(I115+'Draw #12'!J115)</f>
        <v>0</v>
      </c>
      <c r="K115" s="101" t="str">
        <f t="shared" si="3"/>
        <v/>
      </c>
      <c r="L115" s="9"/>
      <c r="M115" s="9"/>
    </row>
    <row r="116" spans="1:13" ht="14.1" customHeight="1">
      <c r="A116" s="4" t="e">
        <f>'SCHEDULE OF VALUE WORKSHEET'!#REF!</f>
        <v>#REF!</v>
      </c>
      <c r="B116" s="142" t="e">
        <f>'SCHEDULE OF VALUE WORKSHEET'!#REF!</f>
        <v>#REF!</v>
      </c>
      <c r="C116" s="143"/>
      <c r="D116" s="104" t="e">
        <f>SUM('SCHEDULE OF VALUE WORKSHEET'!#REF!)</f>
        <v>#REF!</v>
      </c>
      <c r="E116" s="104">
        <f>SUM('Draw #12'!E116:F116)</f>
        <v>0</v>
      </c>
      <c r="F116" s="105">
        <v>0</v>
      </c>
      <c r="G116" s="104" t="e">
        <f>SUM('Draw #12'!G116)+F116</f>
        <v>#REF!</v>
      </c>
      <c r="H116" s="109" t="e">
        <f t="shared" si="2"/>
        <v>#REF!</v>
      </c>
      <c r="I116" s="110">
        <v>0</v>
      </c>
      <c r="J116" s="109">
        <f>SUM(I116+'Draw #12'!J116)</f>
        <v>0</v>
      </c>
      <c r="K116" s="101" t="str">
        <f t="shared" si="3"/>
        <v/>
      </c>
      <c r="L116" s="9"/>
      <c r="M116" s="9"/>
    </row>
    <row r="117" spans="1:13" ht="14.1" customHeight="1">
      <c r="A117" s="4">
        <f>'SCHEDULE OF VALUE WORKSHEET'!A87</f>
        <v>82</v>
      </c>
      <c r="B117" s="142" t="str">
        <f>'SCHEDULE OF VALUE WORKSHEET'!B87</f>
        <v xml:space="preserve">Open Item </v>
      </c>
      <c r="C117" s="143"/>
      <c r="D117" s="104">
        <f>SUM('SCHEDULE OF VALUE WORKSHEET'!E87)</f>
        <v>0</v>
      </c>
      <c r="E117" s="104">
        <f>SUM('Draw #12'!E117:F117)</f>
        <v>0</v>
      </c>
      <c r="F117" s="105">
        <v>0</v>
      </c>
      <c r="G117" s="104">
        <f>SUM('Draw #12'!G117)+F117</f>
        <v>0</v>
      </c>
      <c r="H117" s="109">
        <f t="shared" si="2"/>
        <v>0</v>
      </c>
      <c r="I117" s="110">
        <v>0</v>
      </c>
      <c r="J117" s="109">
        <f>SUM(I117+'Draw #12'!J117)</f>
        <v>0</v>
      </c>
      <c r="K117" s="101" t="str">
        <f t="shared" si="3"/>
        <v/>
      </c>
      <c r="L117" s="9"/>
      <c r="M117" s="9"/>
    </row>
    <row r="118" spans="1:13" ht="14.1" customHeight="1">
      <c r="A118" s="4">
        <f>'SCHEDULE OF VALUE WORKSHEET'!A88</f>
        <v>83</v>
      </c>
      <c r="B118" s="142" t="str">
        <f>'SCHEDULE OF VALUE WORKSHEET'!B88</f>
        <v xml:space="preserve">Open Item </v>
      </c>
      <c r="C118" s="143"/>
      <c r="D118" s="104">
        <f>SUM('SCHEDULE OF VALUE WORKSHEET'!E88)</f>
        <v>0</v>
      </c>
      <c r="E118" s="104">
        <f>SUM('Draw #12'!E118:F118)</f>
        <v>0</v>
      </c>
      <c r="F118" s="105">
        <v>0</v>
      </c>
      <c r="G118" s="104">
        <f>SUM('Draw #12'!G118)+F118</f>
        <v>0</v>
      </c>
      <c r="H118" s="109">
        <f t="shared" si="2"/>
        <v>0</v>
      </c>
      <c r="I118" s="110">
        <v>0</v>
      </c>
      <c r="J118" s="109">
        <f>SUM(I118+'Draw #12'!J118)</f>
        <v>0</v>
      </c>
      <c r="K118" s="101" t="str">
        <f t="shared" si="3"/>
        <v/>
      </c>
      <c r="L118" s="9"/>
      <c r="M118" s="9"/>
    </row>
    <row r="119" spans="1:13" ht="14.1" customHeight="1">
      <c r="A119" s="4">
        <f>'SCHEDULE OF VALUE WORKSHEET'!A89</f>
        <v>84</v>
      </c>
      <c r="B119" s="142" t="str">
        <f>'SCHEDULE OF VALUE WORKSHEET'!B89</f>
        <v xml:space="preserve">Open Item </v>
      </c>
      <c r="C119" s="143"/>
      <c r="D119" s="104">
        <f>SUM('SCHEDULE OF VALUE WORKSHEET'!E89)</f>
        <v>0</v>
      </c>
      <c r="E119" s="104">
        <f>SUM('Draw #12'!E119:F119)</f>
        <v>0</v>
      </c>
      <c r="F119" s="105">
        <v>0</v>
      </c>
      <c r="G119" s="104">
        <f>SUM('Draw #12'!G119)+F119</f>
        <v>0</v>
      </c>
      <c r="H119" s="109">
        <f t="shared" si="2"/>
        <v>0</v>
      </c>
      <c r="I119" s="110">
        <v>0</v>
      </c>
      <c r="J119" s="109">
        <f>SUM(I119+'Draw #12'!J119)</f>
        <v>0</v>
      </c>
      <c r="K119" s="101" t="str">
        <f t="shared" si="3"/>
        <v/>
      </c>
      <c r="L119" s="9"/>
      <c r="M119" s="9"/>
    </row>
    <row r="120" spans="1:13" ht="14.1" customHeight="1">
      <c r="A120" s="4">
        <f>'SCHEDULE OF VALUE WORKSHEET'!A90</f>
        <v>85</v>
      </c>
      <c r="B120" s="142" t="str">
        <f>'SCHEDULE OF VALUE WORKSHEET'!B90</f>
        <v xml:space="preserve">Open Item </v>
      </c>
      <c r="C120" s="143"/>
      <c r="D120" s="104">
        <f>SUM('SCHEDULE OF VALUE WORKSHEET'!E90)</f>
        <v>0</v>
      </c>
      <c r="E120" s="104">
        <f>SUM('Draw #12'!E120:F120)</f>
        <v>0</v>
      </c>
      <c r="F120" s="105">
        <v>0</v>
      </c>
      <c r="G120" s="104">
        <f>SUM('Draw #12'!G120)+F120</f>
        <v>0</v>
      </c>
      <c r="H120" s="109">
        <f t="shared" si="2"/>
        <v>0</v>
      </c>
      <c r="I120" s="110">
        <v>0</v>
      </c>
      <c r="J120" s="109">
        <f>SUM(I120+'Draw #12'!J120)</f>
        <v>0</v>
      </c>
      <c r="K120" s="101" t="str">
        <f t="shared" si="3"/>
        <v/>
      </c>
      <c r="L120" s="9"/>
      <c r="M120" s="9"/>
    </row>
    <row r="121" spans="1:13" ht="14.1" customHeight="1">
      <c r="A121" s="4">
        <f>'SCHEDULE OF VALUE WORKSHEET'!A91</f>
        <v>86</v>
      </c>
      <c r="B121" s="142" t="str">
        <f>'SCHEDULE OF VALUE WORKSHEET'!B91</f>
        <v xml:space="preserve">Open Item </v>
      </c>
      <c r="C121" s="143"/>
      <c r="D121" s="104">
        <f>SUM('SCHEDULE OF VALUE WORKSHEET'!E91)</f>
        <v>0</v>
      </c>
      <c r="E121" s="104">
        <f>SUM('Draw #12'!E121:F121)</f>
        <v>0</v>
      </c>
      <c r="F121" s="105">
        <v>0</v>
      </c>
      <c r="G121" s="104">
        <f>SUM('Draw #12'!G121)+F121</f>
        <v>0</v>
      </c>
      <c r="H121" s="109">
        <f t="shared" si="2"/>
        <v>0</v>
      </c>
      <c r="I121" s="110">
        <v>0</v>
      </c>
      <c r="J121" s="109">
        <f>SUM(I121+'Draw #12'!J121)</f>
        <v>0</v>
      </c>
      <c r="K121" s="101" t="str">
        <f t="shared" si="3"/>
        <v/>
      </c>
      <c r="L121" s="9"/>
      <c r="M121" s="9"/>
    </row>
    <row r="122" spans="1:13" ht="14.1" customHeight="1">
      <c r="A122" s="4">
        <f>'SCHEDULE OF VALUE WORKSHEET'!A92</f>
        <v>87</v>
      </c>
      <c r="B122" s="142" t="str">
        <f>'SCHEDULE OF VALUE WORKSHEET'!B92</f>
        <v xml:space="preserve">Open Item </v>
      </c>
      <c r="C122" s="143"/>
      <c r="D122" s="104">
        <f>SUM('SCHEDULE OF VALUE WORKSHEET'!E92)</f>
        <v>0</v>
      </c>
      <c r="E122" s="104">
        <f>SUM('Draw #12'!E122:F122)</f>
        <v>0</v>
      </c>
      <c r="F122" s="105">
        <v>0</v>
      </c>
      <c r="G122" s="104">
        <f>SUM('Draw #12'!G122)+F122</f>
        <v>0</v>
      </c>
      <c r="H122" s="109">
        <f t="shared" si="2"/>
        <v>0</v>
      </c>
      <c r="I122" s="110">
        <v>0</v>
      </c>
      <c r="J122" s="109">
        <f>SUM(I122+'Draw #12'!J122)</f>
        <v>0</v>
      </c>
      <c r="K122" s="101" t="str">
        <f t="shared" si="3"/>
        <v/>
      </c>
      <c r="L122" s="9"/>
      <c r="M122" s="9"/>
    </row>
    <row r="123" spans="1:13" ht="14.1" customHeight="1">
      <c r="A123" s="4">
        <f>'SCHEDULE OF VALUE WORKSHEET'!A93</f>
        <v>88</v>
      </c>
      <c r="B123" s="142" t="str">
        <f>'SCHEDULE OF VALUE WORKSHEET'!B93</f>
        <v xml:space="preserve">Open Item </v>
      </c>
      <c r="C123" s="143"/>
      <c r="D123" s="104">
        <f>SUM('SCHEDULE OF VALUE WORKSHEET'!E93)</f>
        <v>0</v>
      </c>
      <c r="E123" s="104">
        <f>SUM('Draw #12'!E123:F123)</f>
        <v>0</v>
      </c>
      <c r="F123" s="105">
        <v>0</v>
      </c>
      <c r="G123" s="104">
        <f>SUM('Draw #12'!G123)+F123</f>
        <v>0</v>
      </c>
      <c r="H123" s="109">
        <f t="shared" si="2"/>
        <v>0</v>
      </c>
      <c r="I123" s="110">
        <v>0</v>
      </c>
      <c r="J123" s="109">
        <f>SUM(I123+'Draw #12'!J123)</f>
        <v>0</v>
      </c>
      <c r="K123" s="101" t="str">
        <f t="shared" si="3"/>
        <v/>
      </c>
      <c r="L123" s="9"/>
      <c r="M123" s="9"/>
    </row>
    <row r="124" spans="1:13" ht="14.1" customHeight="1">
      <c r="A124" s="4">
        <f>'SCHEDULE OF VALUE WORKSHEET'!A94</f>
        <v>89</v>
      </c>
      <c r="B124" s="142" t="str">
        <f>'SCHEDULE OF VALUE WORKSHEET'!B94</f>
        <v xml:space="preserve">Open Item </v>
      </c>
      <c r="C124" s="143"/>
      <c r="D124" s="104">
        <f>SUM('SCHEDULE OF VALUE WORKSHEET'!E94)</f>
        <v>0</v>
      </c>
      <c r="E124" s="104">
        <f>SUM('Draw #12'!E124:F124)</f>
        <v>0</v>
      </c>
      <c r="F124" s="105">
        <v>0</v>
      </c>
      <c r="G124" s="104">
        <f>SUM('Draw #12'!G124)+F124</f>
        <v>0</v>
      </c>
      <c r="H124" s="109">
        <f t="shared" si="2"/>
        <v>0</v>
      </c>
      <c r="I124" s="110">
        <v>0</v>
      </c>
      <c r="J124" s="109">
        <f>SUM(I124+'Draw #12'!J124)</f>
        <v>0</v>
      </c>
      <c r="K124" s="101" t="str">
        <f t="shared" si="3"/>
        <v/>
      </c>
      <c r="L124" s="9"/>
      <c r="M124" s="9"/>
    </row>
    <row r="125" spans="1:13" ht="14.1" customHeight="1">
      <c r="A125" s="4">
        <f>'SCHEDULE OF VALUE WORKSHEET'!A95</f>
        <v>90</v>
      </c>
      <c r="B125" s="142" t="str">
        <f>'SCHEDULE OF VALUE WORKSHEET'!B95</f>
        <v xml:space="preserve">Open Item </v>
      </c>
      <c r="C125" s="143"/>
      <c r="D125" s="104">
        <f>SUM('SCHEDULE OF VALUE WORKSHEET'!E95)</f>
        <v>0</v>
      </c>
      <c r="E125" s="104">
        <f>SUM('Draw #12'!E125:F125)</f>
        <v>0</v>
      </c>
      <c r="F125" s="105">
        <v>0</v>
      </c>
      <c r="G125" s="104">
        <f>SUM('Draw #12'!G125)+F125</f>
        <v>0</v>
      </c>
      <c r="H125" s="109">
        <f t="shared" si="2"/>
        <v>0</v>
      </c>
      <c r="I125" s="110">
        <v>0</v>
      </c>
      <c r="J125" s="109">
        <f>SUM(I125+'Draw #12'!J125)</f>
        <v>0</v>
      </c>
      <c r="K125" s="101" t="str">
        <f t="shared" si="3"/>
        <v/>
      </c>
      <c r="L125" s="9"/>
      <c r="M125" s="9"/>
    </row>
    <row r="126" spans="1:13" ht="14.1" customHeight="1">
      <c r="A126" s="4">
        <f>'SCHEDULE OF VALUE WORKSHEET'!A96</f>
        <v>91</v>
      </c>
      <c r="B126" s="142" t="str">
        <f>'SCHEDULE OF VALUE WORKSHEET'!B96</f>
        <v xml:space="preserve">Open Item </v>
      </c>
      <c r="C126" s="143"/>
      <c r="D126" s="104">
        <f>SUM('SCHEDULE OF VALUE WORKSHEET'!E96)</f>
        <v>0</v>
      </c>
      <c r="E126" s="104">
        <f>SUM('Draw #12'!E126:F126)</f>
        <v>0</v>
      </c>
      <c r="F126" s="105">
        <v>0</v>
      </c>
      <c r="G126" s="104">
        <f>SUM('Draw #12'!G126)+F126</f>
        <v>0</v>
      </c>
      <c r="H126" s="109">
        <f t="shared" si="2"/>
        <v>0</v>
      </c>
      <c r="I126" s="110">
        <v>0</v>
      </c>
      <c r="J126" s="109">
        <f>SUM(I126+'Draw #12'!J126)</f>
        <v>0</v>
      </c>
      <c r="K126" s="101" t="str">
        <f t="shared" si="3"/>
        <v/>
      </c>
      <c r="L126" s="9"/>
      <c r="M126" s="9"/>
    </row>
    <row r="127" spans="1:13" ht="14.1" customHeight="1">
      <c r="A127" s="4">
        <f>'SCHEDULE OF VALUE WORKSHEET'!A97</f>
        <v>92</v>
      </c>
      <c r="B127" s="142" t="str">
        <f>'SCHEDULE OF VALUE WORKSHEET'!B97</f>
        <v xml:space="preserve">Open Item </v>
      </c>
      <c r="C127" s="143"/>
      <c r="D127" s="104">
        <f>SUM('SCHEDULE OF VALUE WORKSHEET'!E97)</f>
        <v>0</v>
      </c>
      <c r="E127" s="104">
        <f>SUM('Draw #12'!E127:F127)</f>
        <v>0</v>
      </c>
      <c r="F127" s="105">
        <v>0</v>
      </c>
      <c r="G127" s="104">
        <f>SUM('Draw #12'!G127)+F127</f>
        <v>0</v>
      </c>
      <c r="H127" s="109">
        <f t="shared" si="2"/>
        <v>0</v>
      </c>
      <c r="I127" s="110">
        <v>0</v>
      </c>
      <c r="J127" s="109">
        <f>SUM(I127+'Draw #12'!J127)</f>
        <v>0</v>
      </c>
      <c r="K127" s="101" t="str">
        <f t="shared" si="3"/>
        <v/>
      </c>
      <c r="L127" s="9"/>
      <c r="M127" s="9"/>
    </row>
    <row r="128" spans="1:13" ht="14.1" customHeight="1">
      <c r="A128" s="4">
        <f>'SCHEDULE OF VALUE WORKSHEET'!A98</f>
        <v>93</v>
      </c>
      <c r="B128" s="142" t="str">
        <f>'SCHEDULE OF VALUE WORKSHEET'!B98</f>
        <v xml:space="preserve">Open Item </v>
      </c>
      <c r="C128" s="143"/>
      <c r="D128" s="104">
        <f>SUM('SCHEDULE OF VALUE WORKSHEET'!E98)</f>
        <v>0</v>
      </c>
      <c r="E128" s="104">
        <f>SUM('Draw #12'!E128:F128)</f>
        <v>0</v>
      </c>
      <c r="F128" s="105">
        <v>0</v>
      </c>
      <c r="G128" s="104">
        <f>SUM('Draw #12'!G128)+F128</f>
        <v>0</v>
      </c>
      <c r="H128" s="109">
        <f t="shared" si="2"/>
        <v>0</v>
      </c>
      <c r="I128" s="110">
        <v>0</v>
      </c>
      <c r="J128" s="109">
        <f>SUM(I128+'Draw #12'!J128)</f>
        <v>0</v>
      </c>
      <c r="K128" s="101" t="str">
        <f t="shared" si="3"/>
        <v/>
      </c>
      <c r="L128" s="9"/>
      <c r="M128" s="9"/>
    </row>
    <row r="129" spans="1:13" ht="14.1" customHeight="1">
      <c r="A129" s="4">
        <f>'SCHEDULE OF VALUE WORKSHEET'!A99</f>
        <v>94</v>
      </c>
      <c r="B129" s="142" t="str">
        <f>'SCHEDULE OF VALUE WORKSHEET'!B99</f>
        <v xml:space="preserve">Open Item </v>
      </c>
      <c r="C129" s="143"/>
      <c r="D129" s="104">
        <f>SUM('SCHEDULE OF VALUE WORKSHEET'!E99)</f>
        <v>0</v>
      </c>
      <c r="E129" s="104">
        <f>SUM('Draw #12'!E129:F129)</f>
        <v>0</v>
      </c>
      <c r="F129" s="105">
        <v>0</v>
      </c>
      <c r="G129" s="104">
        <f>SUM('Draw #12'!G129)+F129</f>
        <v>0</v>
      </c>
      <c r="H129" s="109">
        <f t="shared" si="2"/>
        <v>0</v>
      </c>
      <c r="I129" s="110">
        <v>0</v>
      </c>
      <c r="J129" s="109">
        <f>SUM(I129+'Draw #12'!J129)</f>
        <v>0</v>
      </c>
      <c r="K129" s="101" t="str">
        <f t="shared" si="3"/>
        <v/>
      </c>
      <c r="L129" s="9"/>
      <c r="M129" s="9"/>
    </row>
    <row r="130" spans="1:13" ht="14.1" customHeight="1">
      <c r="A130" s="4">
        <f>'SCHEDULE OF VALUE WORKSHEET'!A100</f>
        <v>95</v>
      </c>
      <c r="B130" s="142" t="str">
        <f>'SCHEDULE OF VALUE WORKSHEET'!B100</f>
        <v xml:space="preserve">Open Item </v>
      </c>
      <c r="C130" s="143"/>
      <c r="D130" s="104">
        <f>SUM('SCHEDULE OF VALUE WORKSHEET'!E100)</f>
        <v>0</v>
      </c>
      <c r="E130" s="104">
        <f>SUM('Draw #12'!E130:F130)</f>
        <v>0</v>
      </c>
      <c r="F130" s="105">
        <v>0</v>
      </c>
      <c r="G130" s="104">
        <f>SUM('Draw #12'!G130)+F130</f>
        <v>0</v>
      </c>
      <c r="H130" s="109">
        <f t="shared" si="2"/>
        <v>0</v>
      </c>
      <c r="I130" s="110">
        <v>0</v>
      </c>
      <c r="J130" s="109">
        <f>SUM(I130+'Draw #12'!J130)</f>
        <v>0</v>
      </c>
      <c r="K130" s="101" t="str">
        <f t="shared" si="3"/>
        <v/>
      </c>
      <c r="L130" s="9"/>
      <c r="M130" s="9"/>
    </row>
    <row r="131" spans="1:13" ht="14.1" customHeight="1">
      <c r="A131" s="4">
        <f>'SCHEDULE OF VALUE WORKSHEET'!A101</f>
        <v>96</v>
      </c>
      <c r="B131" s="142" t="str">
        <f>'SCHEDULE OF VALUE WORKSHEET'!B101</f>
        <v xml:space="preserve">Open Item </v>
      </c>
      <c r="C131" s="143"/>
      <c r="D131" s="104">
        <f>SUM('SCHEDULE OF VALUE WORKSHEET'!E101)</f>
        <v>0</v>
      </c>
      <c r="E131" s="104">
        <f>SUM('Draw #12'!E131:F131)</f>
        <v>0</v>
      </c>
      <c r="F131" s="105">
        <v>0</v>
      </c>
      <c r="G131" s="104">
        <f>SUM('Draw #12'!G131)+F131</f>
        <v>0</v>
      </c>
      <c r="H131" s="109">
        <f t="shared" si="2"/>
        <v>0</v>
      </c>
      <c r="I131" s="110">
        <v>0</v>
      </c>
      <c r="J131" s="109">
        <f>SUM(I131+'Draw #12'!J131)</f>
        <v>0</v>
      </c>
      <c r="K131" s="101" t="str">
        <f t="shared" si="3"/>
        <v/>
      </c>
      <c r="L131" s="9"/>
      <c r="M131" s="9"/>
    </row>
    <row r="132" spans="1:13" ht="14.1" customHeight="1">
      <c r="A132" s="4">
        <f>'SCHEDULE OF VALUE WORKSHEET'!A102</f>
        <v>97</v>
      </c>
      <c r="B132" s="142" t="str">
        <f>'SCHEDULE OF VALUE WORKSHEET'!B102</f>
        <v xml:space="preserve">Open Item </v>
      </c>
      <c r="C132" s="143"/>
      <c r="D132" s="104">
        <f>SUM('SCHEDULE OF VALUE WORKSHEET'!E102)</f>
        <v>0</v>
      </c>
      <c r="E132" s="104">
        <f>SUM('Draw #12'!E132:F132)</f>
        <v>0</v>
      </c>
      <c r="F132" s="105">
        <v>0</v>
      </c>
      <c r="G132" s="104">
        <f>SUM('Draw #12'!G132)+F132</f>
        <v>0</v>
      </c>
      <c r="H132" s="109">
        <f t="shared" si="2"/>
        <v>0</v>
      </c>
      <c r="I132" s="110">
        <v>0</v>
      </c>
      <c r="J132" s="109">
        <f>SUM(I132+'Draw #12'!J132)</f>
        <v>0</v>
      </c>
      <c r="K132" s="101" t="str">
        <f t="shared" si="3"/>
        <v/>
      </c>
      <c r="L132" s="9"/>
      <c r="M132" s="9"/>
    </row>
    <row r="133" spans="1:13" ht="14.1" customHeight="1">
      <c r="A133" s="4">
        <f>'SCHEDULE OF VALUE WORKSHEET'!A103</f>
        <v>98</v>
      </c>
      <c r="B133" s="142" t="str">
        <f>'SCHEDULE OF VALUE WORKSHEET'!B103</f>
        <v xml:space="preserve">Open Item </v>
      </c>
      <c r="C133" s="143"/>
      <c r="D133" s="104">
        <f>SUM('SCHEDULE OF VALUE WORKSHEET'!E103)</f>
        <v>0</v>
      </c>
      <c r="E133" s="104">
        <f>SUM('Draw #12'!E133:F133)</f>
        <v>0</v>
      </c>
      <c r="F133" s="105">
        <v>0</v>
      </c>
      <c r="G133" s="104">
        <f>SUM('Draw #12'!G133)+F133</f>
        <v>0</v>
      </c>
      <c r="H133" s="109">
        <f t="shared" si="2"/>
        <v>0</v>
      </c>
      <c r="I133" s="110">
        <v>0</v>
      </c>
      <c r="J133" s="109">
        <f>SUM(I133+'Draw #12'!J133)</f>
        <v>0</v>
      </c>
      <c r="K133" s="101" t="str">
        <f t="shared" si="3"/>
        <v/>
      </c>
      <c r="L133" s="9"/>
      <c r="M133" s="9"/>
    </row>
    <row r="134" spans="1:13" ht="14.1" customHeight="1">
      <c r="A134" s="4">
        <f>'SCHEDULE OF VALUE WORKSHEET'!A104</f>
        <v>99</v>
      </c>
      <c r="B134" s="142" t="str">
        <f>'SCHEDULE OF VALUE WORKSHEET'!B104</f>
        <v xml:space="preserve">Open Item </v>
      </c>
      <c r="C134" s="143"/>
      <c r="D134" s="104">
        <f>SUM('SCHEDULE OF VALUE WORKSHEET'!E104)</f>
        <v>0</v>
      </c>
      <c r="E134" s="104">
        <f>SUM('Draw #12'!E134:F134)</f>
        <v>0</v>
      </c>
      <c r="F134" s="105">
        <v>0</v>
      </c>
      <c r="G134" s="104">
        <f>SUM('Draw #12'!G134)+F134</f>
        <v>0</v>
      </c>
      <c r="H134" s="109">
        <f t="shared" si="2"/>
        <v>0</v>
      </c>
      <c r="I134" s="110">
        <v>0</v>
      </c>
      <c r="J134" s="109">
        <f>SUM(I134+'Draw #12'!J134)</f>
        <v>0</v>
      </c>
      <c r="K134" s="101" t="str">
        <f t="shared" si="3"/>
        <v/>
      </c>
      <c r="L134" s="9"/>
      <c r="M134" s="9"/>
    </row>
    <row r="135" spans="1:13" ht="14.1" customHeight="1">
      <c r="A135" s="4" t="e">
        <f>'SCHEDULE OF VALUE WORKSHEET'!#REF!</f>
        <v>#REF!</v>
      </c>
      <c r="B135" s="142" t="e">
        <f>'SCHEDULE OF VALUE WORKSHEET'!#REF!</f>
        <v>#REF!</v>
      </c>
      <c r="C135" s="143"/>
      <c r="D135" s="104" t="e">
        <f>SUM('SCHEDULE OF VALUE WORKSHEET'!#REF!)</f>
        <v>#REF!</v>
      </c>
      <c r="E135" s="104">
        <f>SUM('Draw #12'!E135:F135)</f>
        <v>0</v>
      </c>
      <c r="F135" s="105">
        <v>0</v>
      </c>
      <c r="G135" s="104" t="e">
        <f>SUM('Draw #12'!G135)+F135</f>
        <v>#REF!</v>
      </c>
      <c r="H135" s="109" t="e">
        <f t="shared" si="2"/>
        <v>#REF!</v>
      </c>
      <c r="I135" s="110">
        <v>0</v>
      </c>
      <c r="J135" s="109">
        <f>SUM(I135+'Draw #12'!J135)</f>
        <v>0</v>
      </c>
      <c r="K135" s="101" t="str">
        <f t="shared" si="3"/>
        <v/>
      </c>
      <c r="L135" s="9"/>
      <c r="M135" s="9"/>
    </row>
    <row r="136" spans="1:13" ht="14.1" customHeight="1">
      <c r="A136" s="165"/>
      <c r="B136" s="166"/>
      <c r="C136" s="166"/>
      <c r="D136" s="166"/>
      <c r="E136" s="166"/>
      <c r="F136" s="166"/>
      <c r="G136" s="166"/>
      <c r="H136" s="166"/>
      <c r="I136" s="166"/>
      <c r="J136" s="166"/>
      <c r="K136" s="167"/>
      <c r="L136" s="10"/>
      <c r="M136" s="10"/>
    </row>
    <row r="137" spans="1:13" ht="18.75" customHeight="1">
      <c r="A137" s="7"/>
      <c r="B137" s="168" t="s">
        <v>2</v>
      </c>
      <c r="C137" s="168"/>
      <c r="D137" s="25" t="e">
        <f t="shared" ref="D137:J137" si="4">SUM(D10:D135)</f>
        <v>#REF!</v>
      </c>
      <c r="E137" s="25">
        <f t="shared" si="4"/>
        <v>0</v>
      </c>
      <c r="F137" s="25">
        <f t="shared" si="4"/>
        <v>0</v>
      </c>
      <c r="G137" s="25" t="e">
        <f t="shared" si="4"/>
        <v>#REF!</v>
      </c>
      <c r="H137" s="25" t="e">
        <f t="shared" si="4"/>
        <v>#REF!</v>
      </c>
      <c r="I137" s="25">
        <f t="shared" si="4"/>
        <v>0</v>
      </c>
      <c r="J137" s="25">
        <f t="shared" si="4"/>
        <v>0</v>
      </c>
      <c r="K137" s="17"/>
      <c r="L137" s="11"/>
      <c r="M137" s="11"/>
    </row>
    <row r="138" spans="1:13" ht="14.1" customHeight="1">
      <c r="A138" s="2"/>
      <c r="B138" s="2"/>
      <c r="C138" s="2"/>
      <c r="D138" s="2"/>
      <c r="E138" s="2"/>
      <c r="F138" s="2"/>
      <c r="G138" s="2"/>
    </row>
    <row r="139" spans="1:13" ht="14.1" customHeight="1">
      <c r="G139" s="2"/>
      <c r="H139" s="140"/>
      <c r="I139" s="140"/>
      <c r="J139" s="140"/>
    </row>
    <row r="140" spans="1:13" ht="14.1" customHeight="1">
      <c r="G140" s="2"/>
    </row>
    <row r="141" spans="1:13" ht="14.1" customHeight="1">
      <c r="G141" s="2"/>
      <c r="H141" s="8"/>
    </row>
    <row r="142" spans="1:13" ht="14.1" customHeight="1">
      <c r="G142" s="2"/>
      <c r="H142" s="8"/>
    </row>
    <row r="143" spans="1:13" ht="14.1" customHeight="1">
      <c r="G143" s="2"/>
    </row>
    <row r="144" spans="1:13" ht="14.1" customHeight="1">
      <c r="G144" s="2"/>
    </row>
    <row r="145" spans="7:7" ht="14.1" customHeight="1">
      <c r="G145" s="2"/>
    </row>
    <row r="146" spans="7:7" ht="14.1" customHeight="1">
      <c r="G146" s="2"/>
    </row>
    <row r="147" spans="7:7" ht="14.1" customHeight="1">
      <c r="G147" s="2"/>
    </row>
    <row r="148" spans="7:7" ht="14.1" customHeight="1">
      <c r="G148" s="3"/>
    </row>
  </sheetData>
  <sheetProtection algorithmName="SHA-512" hashValue="CthnE+zYRXy0M35BMxtTpPZkCtYK5emSK9exLw05TOzbVwVJsYcYgU9bQVzNZjJVHq+G9QPBJvCN1EsRV8a3OA==" saltValue="SBwrRB2om72jJXhL02I+fw==" spinCount="100000" sheet="1" selectLockedCells="1"/>
  <mergeCells count="136">
    <mergeCell ref="A1:K2"/>
    <mergeCell ref="B47:C47"/>
    <mergeCell ref="B48:C48"/>
    <mergeCell ref="B49:C49"/>
    <mergeCell ref="B50:C50"/>
    <mergeCell ref="B8:C9"/>
    <mergeCell ref="D8:D9"/>
    <mergeCell ref="G8:G9"/>
    <mergeCell ref="J8:K8"/>
    <mergeCell ref="J9:K9"/>
    <mergeCell ref="F8:F9"/>
    <mergeCell ref="B10:C10"/>
    <mergeCell ref="B11:C11"/>
    <mergeCell ref="B12:C12"/>
    <mergeCell ref="B13:C13"/>
    <mergeCell ref="B26:C26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4:C34"/>
    <mergeCell ref="B35:C35"/>
    <mergeCell ref="B32:C32"/>
    <mergeCell ref="B33:C33"/>
    <mergeCell ref="B27:C27"/>
    <mergeCell ref="B36:C36"/>
    <mergeCell ref="B37:C37"/>
    <mergeCell ref="B46:C46"/>
    <mergeCell ref="A136:K136"/>
    <mergeCell ref="B38:C38"/>
    <mergeCell ref="B39:C39"/>
    <mergeCell ref="B51:C51"/>
    <mergeCell ref="B52:C52"/>
    <mergeCell ref="B53:C53"/>
    <mergeCell ref="B54:C54"/>
    <mergeCell ref="B130:C130"/>
    <mergeCell ref="B119:C119"/>
    <mergeCell ref="B120:C120"/>
    <mergeCell ref="B121:C121"/>
    <mergeCell ref="B122:C122"/>
    <mergeCell ref="B123:C123"/>
    <mergeCell ref="B124:C124"/>
    <mergeCell ref="B131:C131"/>
    <mergeCell ref="B132:C132"/>
    <mergeCell ref="B133:C133"/>
    <mergeCell ref="B134:C134"/>
    <mergeCell ref="B135:C135"/>
    <mergeCell ref="B125:C125"/>
    <mergeCell ref="B126:C126"/>
    <mergeCell ref="B137:C137"/>
    <mergeCell ref="H139:J139"/>
    <mergeCell ref="B40:C40"/>
    <mergeCell ref="B41:C41"/>
    <mergeCell ref="B42:C42"/>
    <mergeCell ref="B43:C43"/>
    <mergeCell ref="B44:C44"/>
    <mergeCell ref="B45:C45"/>
    <mergeCell ref="B55:C55"/>
    <mergeCell ref="B56:C56"/>
    <mergeCell ref="B127:C127"/>
    <mergeCell ref="B128:C128"/>
    <mergeCell ref="B129:C129"/>
    <mergeCell ref="B63:C63"/>
    <mergeCell ref="B64:C64"/>
    <mergeCell ref="B65:C65"/>
    <mergeCell ref="B66:C66"/>
    <mergeCell ref="B67:C67"/>
    <mergeCell ref="B68:C68"/>
    <mergeCell ref="B57:C57"/>
    <mergeCell ref="B58:C58"/>
    <mergeCell ref="B59:C59"/>
    <mergeCell ref="B60:C60"/>
    <mergeCell ref="B61:C61"/>
    <mergeCell ref="B62:C62"/>
    <mergeCell ref="B75:C75"/>
    <mergeCell ref="B76:C76"/>
    <mergeCell ref="B77:C77"/>
    <mergeCell ref="B78:C78"/>
    <mergeCell ref="B79:C79"/>
    <mergeCell ref="B80:C80"/>
    <mergeCell ref="B69:C69"/>
    <mergeCell ref="B70:C70"/>
    <mergeCell ref="B71:C71"/>
    <mergeCell ref="B72:C72"/>
    <mergeCell ref="B73:C73"/>
    <mergeCell ref="B74:C74"/>
    <mergeCell ref="B87:C87"/>
    <mergeCell ref="B88:C88"/>
    <mergeCell ref="B89:C89"/>
    <mergeCell ref="B90:C90"/>
    <mergeCell ref="B91:C91"/>
    <mergeCell ref="B92:C92"/>
    <mergeCell ref="B81:C81"/>
    <mergeCell ref="B82:C82"/>
    <mergeCell ref="B83:C83"/>
    <mergeCell ref="B84:C84"/>
    <mergeCell ref="B85:C85"/>
    <mergeCell ref="B86:C86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7:C117"/>
    <mergeCell ref="B118:C118"/>
    <mergeCell ref="B111:C111"/>
    <mergeCell ref="B112:C112"/>
    <mergeCell ref="B113:C113"/>
    <mergeCell ref="B114:C114"/>
    <mergeCell ref="B115:C115"/>
    <mergeCell ref="B116:C116"/>
    <mergeCell ref="B105:C105"/>
    <mergeCell ref="B106:C106"/>
    <mergeCell ref="B107:C107"/>
    <mergeCell ref="B108:C108"/>
    <mergeCell ref="B109:C109"/>
    <mergeCell ref="B110:C110"/>
  </mergeCells>
  <conditionalFormatting sqref="B10:K135">
    <cfRule type="expression" dxfId="31" priority="3" stopIfTrue="1">
      <formula>$I10&gt;0</formula>
    </cfRule>
    <cfRule type="expression" dxfId="30" priority="4" stopIfTrue="1">
      <formula>$K10=100%</formula>
    </cfRule>
  </conditionalFormatting>
  <conditionalFormatting sqref="D10:K135">
    <cfRule type="expression" dxfId="29" priority="1" stopIfTrue="1">
      <formula>$K10=""</formula>
    </cfRule>
    <cfRule type="expression" dxfId="28" priority="2" stopIfTrue="1">
      <formula>$K10&gt;100%</formula>
    </cfRule>
  </conditionalFormatting>
  <pageMargins left="0.7" right="0.7" top="0.75" bottom="0.75" header="0.3" footer="0.3"/>
  <pageSetup scale="78" orientation="portrait" verticalDpi="1200" r:id="rId1"/>
  <colBreaks count="1" manualBreakCount="1">
    <brk id="11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48"/>
  <sheetViews>
    <sheetView showGridLines="0" zoomScale="90" zoomScaleNormal="90" workbookViewId="0">
      <selection activeCell="F21" sqref="F21"/>
    </sheetView>
  </sheetViews>
  <sheetFormatPr defaultColWidth="6.59765625" defaultRowHeight="15.75"/>
  <cols>
    <col min="1" max="1" width="4.8984375" style="1" customWidth="1"/>
    <col min="2" max="2" width="5.69921875" style="1" customWidth="1"/>
    <col min="3" max="3" width="15.19921875" style="1" customWidth="1"/>
    <col min="4" max="5" width="10.59765625" style="1" customWidth="1"/>
    <col min="6" max="9" width="10.69921875" style="1" customWidth="1"/>
    <col min="10" max="10" width="10.59765625" style="1" customWidth="1"/>
    <col min="11" max="11" width="5.09765625" style="18" customWidth="1"/>
    <col min="12" max="13" width="4.69921875" style="1" customWidth="1"/>
    <col min="14" max="16384" width="6.59765625" style="1"/>
  </cols>
  <sheetData>
    <row r="1" spans="1:13">
      <c r="A1" s="171" t="s">
        <v>18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</row>
    <row r="2" spans="1:13">
      <c r="A2" s="174"/>
      <c r="B2" s="153"/>
      <c r="C2" s="153"/>
      <c r="D2" s="153"/>
      <c r="E2" s="153"/>
      <c r="F2" s="153"/>
      <c r="G2" s="153"/>
      <c r="H2" s="153"/>
      <c r="I2" s="153"/>
      <c r="J2" s="153"/>
      <c r="K2" s="175"/>
    </row>
    <row r="3" spans="1:13">
      <c r="A3" s="74"/>
      <c r="B3" s="13" t="s">
        <v>7</v>
      </c>
      <c r="C3" s="35" t="str">
        <f>'SCHEDULE OF VALUE WORKSHEET'!$B$3</f>
        <v>Angeleno Investments</v>
      </c>
      <c r="F3" s="6"/>
      <c r="G3" s="28"/>
      <c r="H3" s="55"/>
      <c r="I3" s="41" t="s">
        <v>5</v>
      </c>
      <c r="J3" s="38">
        <f>SUM(J137)</f>
        <v>0</v>
      </c>
      <c r="K3" s="80" t="e">
        <f>SUM(J3)/J7</f>
        <v>#REF!</v>
      </c>
    </row>
    <row r="4" spans="1:13" ht="16.350000000000001" customHeight="1">
      <c r="A4" s="74"/>
      <c r="B4" s="34" t="s">
        <v>0</v>
      </c>
      <c r="C4" s="36">
        <f ca="1">TODAY()</f>
        <v>45978</v>
      </c>
      <c r="D4" s="36"/>
      <c r="E4" s="36"/>
      <c r="F4" s="15"/>
      <c r="G4" s="3"/>
      <c r="H4" s="75"/>
      <c r="I4" s="41" t="s">
        <v>13</v>
      </c>
      <c r="J4" s="38" t="e">
        <f>SUM(H137)</f>
        <v>#REF!</v>
      </c>
      <c r="K4" s="80"/>
    </row>
    <row r="5" spans="1:13">
      <c r="A5" s="74"/>
      <c r="B5" s="34" t="s">
        <v>6</v>
      </c>
      <c r="C5" s="37" t="str">
        <f>'SCHEDULE OF VALUE WORKSHEET'!B5</f>
        <v>10910 Huston Street</v>
      </c>
      <c r="F5" s="56"/>
      <c r="G5" s="57"/>
      <c r="H5" s="75"/>
      <c r="I5" s="41" t="s">
        <v>14</v>
      </c>
      <c r="J5" s="38" t="e">
        <f>SUM(D137)</f>
        <v>#REF!</v>
      </c>
      <c r="K5" s="80"/>
    </row>
    <row r="6" spans="1:13">
      <c r="A6" s="74"/>
      <c r="B6" s="34" t="s">
        <v>20</v>
      </c>
      <c r="C6" s="48">
        <f>SUM(I137)</f>
        <v>0</v>
      </c>
      <c r="D6" s="6"/>
      <c r="E6" s="6"/>
      <c r="F6" s="6"/>
      <c r="G6" s="57"/>
      <c r="H6" s="75"/>
      <c r="I6" s="42" t="s">
        <v>17</v>
      </c>
      <c r="J6" s="38">
        <f>SUM(F137)</f>
        <v>0</v>
      </c>
      <c r="K6" s="80"/>
    </row>
    <row r="7" spans="1:13">
      <c r="A7" s="78"/>
      <c r="G7" s="28"/>
      <c r="H7" s="20"/>
      <c r="I7" s="34" t="s">
        <v>15</v>
      </c>
      <c r="J7" s="29" t="e">
        <f>SUM(G137)</f>
        <v>#REF!</v>
      </c>
      <c r="K7" s="80"/>
    </row>
    <row r="8" spans="1:13">
      <c r="A8" s="19"/>
      <c r="B8" s="169" t="s">
        <v>1</v>
      </c>
      <c r="C8" s="170"/>
      <c r="D8" s="177" t="s">
        <v>8</v>
      </c>
      <c r="E8" s="102" t="s">
        <v>24</v>
      </c>
      <c r="F8" s="176" t="s">
        <v>26</v>
      </c>
      <c r="G8" s="177" t="s">
        <v>9</v>
      </c>
      <c r="H8" s="30" t="s">
        <v>10</v>
      </c>
      <c r="I8" s="31" t="s">
        <v>12</v>
      </c>
      <c r="J8" s="178" t="s">
        <v>3</v>
      </c>
      <c r="K8" s="179"/>
      <c r="L8" s="12"/>
      <c r="M8" s="12"/>
    </row>
    <row r="9" spans="1:13" ht="14.1" customHeight="1">
      <c r="A9" s="19"/>
      <c r="B9" s="146"/>
      <c r="C9" s="147"/>
      <c r="D9" s="162"/>
      <c r="E9" s="103" t="s">
        <v>25</v>
      </c>
      <c r="F9" s="164"/>
      <c r="G9" s="162"/>
      <c r="H9" s="32" t="s">
        <v>22</v>
      </c>
      <c r="I9" s="33">
        <v>14</v>
      </c>
      <c r="J9" s="180" t="s">
        <v>4</v>
      </c>
      <c r="K9" s="181"/>
      <c r="L9" s="12"/>
      <c r="M9" s="12"/>
    </row>
    <row r="10" spans="1:13" ht="14.1" customHeight="1">
      <c r="A10" s="4">
        <f>'SCHEDULE OF VALUE WORKSHEET'!A7</f>
        <v>1</v>
      </c>
      <c r="B10" s="142" t="str">
        <f>'SCHEDULE OF VALUE WORKSHEET'!B7</f>
        <v>SOFT COSTS</v>
      </c>
      <c r="C10" s="143"/>
      <c r="D10" s="104">
        <f>SUM('SCHEDULE OF VALUE WORKSHEET'!E7)</f>
        <v>0</v>
      </c>
      <c r="E10" s="104">
        <f>SUM('Draw #13'!E10:F10)</f>
        <v>0</v>
      </c>
      <c r="F10" s="105">
        <v>0</v>
      </c>
      <c r="G10" s="104">
        <f>SUM('Draw #13'!G10)+F10</f>
        <v>0</v>
      </c>
      <c r="H10" s="109">
        <f>SUM(G10-J10)</f>
        <v>0</v>
      </c>
      <c r="I10" s="110">
        <v>0</v>
      </c>
      <c r="J10" s="109">
        <f>SUM(I10+'Draw #13'!J10)</f>
        <v>0</v>
      </c>
      <c r="K10" s="101" t="str">
        <f>IF(J10=0,"",J10/G10)</f>
        <v/>
      </c>
      <c r="L10" s="9"/>
      <c r="M10" s="9"/>
    </row>
    <row r="11" spans="1:13" ht="14.1" customHeight="1">
      <c r="A11" s="4">
        <f>'SCHEDULE OF VALUE WORKSHEET'!A8</f>
        <v>2</v>
      </c>
      <c r="B11" s="142" t="str">
        <f>'SCHEDULE OF VALUE WORKSHEET'!B8</f>
        <v>Site Security</v>
      </c>
      <c r="C11" s="143"/>
      <c r="D11" s="104">
        <f>SUM('SCHEDULE OF VALUE WORKSHEET'!E8)</f>
        <v>10580.63</v>
      </c>
      <c r="E11" s="104">
        <f>SUM('Draw #13'!E11:F11)</f>
        <v>0</v>
      </c>
      <c r="F11" s="105">
        <v>0</v>
      </c>
      <c r="G11" s="104">
        <f>SUM('Draw #13'!G11)+F11</f>
        <v>10580.63</v>
      </c>
      <c r="H11" s="109">
        <f t="shared" ref="H11:H74" si="0">SUM(G11-J11)</f>
        <v>10580.63</v>
      </c>
      <c r="I11" s="110">
        <v>0</v>
      </c>
      <c r="J11" s="109">
        <f>SUM(I11+'Draw #13'!J11)</f>
        <v>0</v>
      </c>
      <c r="K11" s="101" t="str">
        <f t="shared" ref="K11:K74" si="1">IF(J11=0,"",J11/G11)</f>
        <v/>
      </c>
      <c r="L11" s="9"/>
      <c r="M11" s="9"/>
    </row>
    <row r="12" spans="1:13" ht="14.1" customHeight="1">
      <c r="A12" s="4">
        <f>'SCHEDULE OF VALUE WORKSHEET'!A9</f>
        <v>3</v>
      </c>
      <c r="B12" s="142" t="str">
        <f>'SCHEDULE OF VALUE WORKSHEET'!B9</f>
        <v>Soils Inspection</v>
      </c>
      <c r="C12" s="143"/>
      <c r="D12" s="104">
        <f>SUM('SCHEDULE OF VALUE WORKSHEET'!E9)</f>
        <v>0</v>
      </c>
      <c r="E12" s="104">
        <f>SUM('Draw #13'!E12:F12)</f>
        <v>0</v>
      </c>
      <c r="F12" s="105">
        <v>0</v>
      </c>
      <c r="G12" s="104">
        <f>SUM('Draw #13'!G12)+F12</f>
        <v>0</v>
      </c>
      <c r="H12" s="109">
        <f t="shared" si="0"/>
        <v>0</v>
      </c>
      <c r="I12" s="110">
        <v>0</v>
      </c>
      <c r="J12" s="109">
        <f>SUM(I12+'Draw #13'!J12)</f>
        <v>0</v>
      </c>
      <c r="K12" s="101" t="str">
        <f t="shared" si="1"/>
        <v/>
      </c>
      <c r="L12" s="9"/>
      <c r="M12" s="9"/>
    </row>
    <row r="13" spans="1:13" ht="14.1" customHeight="1">
      <c r="A13" s="4">
        <f>'SCHEDULE OF VALUE WORKSHEET'!A10</f>
        <v>4</v>
      </c>
      <c r="B13" s="142" t="str">
        <f>'SCHEDULE OF VALUE WORKSHEET'!B10</f>
        <v>Offsites (Transformer)</v>
      </c>
      <c r="C13" s="143"/>
      <c r="D13" s="104">
        <f>SUM('SCHEDULE OF VALUE WORKSHEET'!E10)</f>
        <v>20000</v>
      </c>
      <c r="E13" s="104">
        <f>SUM('Draw #13'!E13:F13)</f>
        <v>0</v>
      </c>
      <c r="F13" s="105">
        <v>0</v>
      </c>
      <c r="G13" s="104">
        <f>SUM('Draw #13'!G13)+F13</f>
        <v>20000</v>
      </c>
      <c r="H13" s="109">
        <f t="shared" si="0"/>
        <v>20000</v>
      </c>
      <c r="I13" s="110">
        <v>0</v>
      </c>
      <c r="J13" s="109">
        <f>SUM(I13+'Draw #13'!J13)</f>
        <v>0</v>
      </c>
      <c r="K13" s="101" t="str">
        <f t="shared" si="1"/>
        <v/>
      </c>
      <c r="L13" s="9"/>
      <c r="M13" s="9"/>
    </row>
    <row r="14" spans="1:13" ht="14.1" customHeight="1">
      <c r="A14" s="4">
        <f>'SCHEDULE OF VALUE WORKSHEET'!A11</f>
        <v>5</v>
      </c>
      <c r="B14" s="142" t="str">
        <f>'SCHEDULE OF VALUE WORKSHEET'!B11</f>
        <v>Plan Check Fees</v>
      </c>
      <c r="C14" s="143"/>
      <c r="D14" s="104">
        <f>SUM('SCHEDULE OF VALUE WORKSHEET'!E11)</f>
        <v>0</v>
      </c>
      <c r="E14" s="104">
        <f>SUM('Draw #13'!E14:F14)</f>
        <v>0</v>
      </c>
      <c r="F14" s="105">
        <v>0</v>
      </c>
      <c r="G14" s="104">
        <f>SUM('Draw #13'!G14)+F14</f>
        <v>0</v>
      </c>
      <c r="H14" s="109">
        <f t="shared" si="0"/>
        <v>0</v>
      </c>
      <c r="I14" s="110">
        <v>0</v>
      </c>
      <c r="J14" s="109">
        <f>SUM(I14+'Draw #13'!J14)</f>
        <v>0</v>
      </c>
      <c r="K14" s="101" t="str">
        <f t="shared" si="1"/>
        <v/>
      </c>
      <c r="L14" s="9"/>
      <c r="M14" s="9"/>
    </row>
    <row r="15" spans="1:13" ht="14.1" customHeight="1">
      <c r="A15" s="4">
        <f>'SCHEDULE OF VALUE WORKSHEET'!A12</f>
        <v>6</v>
      </c>
      <c r="B15" s="142" t="str">
        <f>'SCHEDULE OF VALUE WORKSHEET'!B12</f>
        <v>Permits</v>
      </c>
      <c r="C15" s="143"/>
      <c r="D15" s="104">
        <f>SUM('SCHEDULE OF VALUE WORKSHEET'!E12)</f>
        <v>0</v>
      </c>
      <c r="E15" s="104">
        <f>SUM('Draw #13'!E15:F15)</f>
        <v>0</v>
      </c>
      <c r="F15" s="105">
        <v>0</v>
      </c>
      <c r="G15" s="104">
        <f>SUM('Draw #13'!G15)+F15</f>
        <v>0</v>
      </c>
      <c r="H15" s="109">
        <f t="shared" si="0"/>
        <v>0</v>
      </c>
      <c r="I15" s="110">
        <v>0</v>
      </c>
      <c r="J15" s="109">
        <f>SUM(I15+'Draw #13'!J15)</f>
        <v>0</v>
      </c>
      <c r="K15" s="101" t="str">
        <f t="shared" si="1"/>
        <v/>
      </c>
      <c r="L15" s="9"/>
      <c r="M15" s="9"/>
    </row>
    <row r="16" spans="1:13" ht="14.1" customHeight="1">
      <c r="A16" s="4">
        <f>'SCHEDULE OF VALUE WORKSHEET'!A13</f>
        <v>7</v>
      </c>
      <c r="B16" s="142" t="str">
        <f>'SCHEDULE OF VALUE WORKSHEET'!B13</f>
        <v>Survey</v>
      </c>
      <c r="C16" s="143"/>
      <c r="D16" s="104">
        <f>SUM('SCHEDULE OF VALUE WORKSHEET'!E13)</f>
        <v>0</v>
      </c>
      <c r="E16" s="104">
        <f>SUM('Draw #13'!E16:F16)</f>
        <v>0</v>
      </c>
      <c r="F16" s="105">
        <v>0</v>
      </c>
      <c r="G16" s="104">
        <f>SUM('Draw #13'!G16)+F16</f>
        <v>0</v>
      </c>
      <c r="H16" s="109">
        <f t="shared" si="0"/>
        <v>0</v>
      </c>
      <c r="I16" s="110">
        <v>0</v>
      </c>
      <c r="J16" s="109">
        <f>SUM(I16+'Draw #13'!J16)</f>
        <v>0</v>
      </c>
      <c r="K16" s="101" t="str">
        <f t="shared" si="1"/>
        <v/>
      </c>
      <c r="L16" s="9"/>
      <c r="M16" s="9"/>
    </row>
    <row r="17" spans="1:13" ht="14.1" customHeight="1">
      <c r="A17" s="4">
        <f>'SCHEDULE OF VALUE WORKSHEET'!A14</f>
        <v>8</v>
      </c>
      <c r="B17" s="142" t="str">
        <f>'SCHEDULE OF VALUE WORKSHEET'!B14</f>
        <v>Soils Engineer</v>
      </c>
      <c r="C17" s="143"/>
      <c r="D17" s="104">
        <f>SUM('SCHEDULE OF VALUE WORKSHEET'!E14)</f>
        <v>0</v>
      </c>
      <c r="E17" s="104">
        <f>SUM('Draw #13'!E17:F17)</f>
        <v>0</v>
      </c>
      <c r="F17" s="105">
        <v>0</v>
      </c>
      <c r="G17" s="104">
        <f>SUM('Draw #13'!G17)+F17</f>
        <v>0</v>
      </c>
      <c r="H17" s="109">
        <f t="shared" si="0"/>
        <v>0</v>
      </c>
      <c r="I17" s="110">
        <v>0</v>
      </c>
      <c r="J17" s="109">
        <f>SUM(I17+'Draw #13'!J17)</f>
        <v>0</v>
      </c>
      <c r="K17" s="101" t="str">
        <f t="shared" si="1"/>
        <v/>
      </c>
      <c r="L17" s="9"/>
      <c r="M17" s="9"/>
    </row>
    <row r="18" spans="1:13" ht="14.1" customHeight="1">
      <c r="A18" s="4">
        <f>'SCHEDULE OF VALUE WORKSHEET'!A15</f>
        <v>9</v>
      </c>
      <c r="B18" s="142" t="str">
        <f>'SCHEDULE OF VALUE WORKSHEET'!B15</f>
        <v>Soils Permit + T24</v>
      </c>
      <c r="C18" s="143"/>
      <c r="D18" s="104">
        <f>SUM('SCHEDULE OF VALUE WORKSHEET'!E15)</f>
        <v>2500</v>
      </c>
      <c r="E18" s="104">
        <f>SUM('Draw #13'!E18:F18)</f>
        <v>0</v>
      </c>
      <c r="F18" s="105">
        <v>0</v>
      </c>
      <c r="G18" s="104">
        <f>SUM('Draw #13'!G18)+F18</f>
        <v>2500</v>
      </c>
      <c r="H18" s="109">
        <f t="shared" si="0"/>
        <v>2500</v>
      </c>
      <c r="I18" s="110">
        <v>0</v>
      </c>
      <c r="J18" s="109">
        <f>SUM(I18+'Draw #13'!J18)</f>
        <v>0</v>
      </c>
      <c r="K18" s="101" t="str">
        <f t="shared" si="1"/>
        <v/>
      </c>
      <c r="L18" s="9"/>
      <c r="M18" s="9"/>
    </row>
    <row r="19" spans="1:13" ht="14.1" customHeight="1">
      <c r="A19" s="4">
        <f>'SCHEDULE OF VALUE WORKSHEET'!A16</f>
        <v>10</v>
      </c>
      <c r="B19" s="142" t="str">
        <f>'SCHEDULE OF VALUE WORKSHEET'!B16</f>
        <v>Special Inspections - Deputy</v>
      </c>
      <c r="C19" s="143"/>
      <c r="D19" s="104">
        <f>SUM('SCHEDULE OF VALUE WORKSHEET'!E16)</f>
        <v>15000</v>
      </c>
      <c r="E19" s="104">
        <f>SUM('Draw #13'!E19:F19)</f>
        <v>0</v>
      </c>
      <c r="F19" s="105">
        <v>0</v>
      </c>
      <c r="G19" s="104">
        <f>SUM('Draw #13'!G19)+F19</f>
        <v>15000</v>
      </c>
      <c r="H19" s="109">
        <f t="shared" si="0"/>
        <v>15000</v>
      </c>
      <c r="I19" s="110">
        <v>0</v>
      </c>
      <c r="J19" s="109">
        <f>SUM(I19+'Draw #13'!J19)</f>
        <v>0</v>
      </c>
      <c r="K19" s="101" t="str">
        <f t="shared" si="1"/>
        <v/>
      </c>
      <c r="L19" s="9"/>
      <c r="M19" s="9"/>
    </row>
    <row r="20" spans="1:13" ht="14.1" customHeight="1">
      <c r="A20" s="4">
        <f>'SCHEDULE OF VALUE WORKSHEET'!A17</f>
        <v>11</v>
      </c>
      <c r="B20" s="142" t="str">
        <f>'SCHEDULE OF VALUE WORKSHEET'!B17</f>
        <v>Architect</v>
      </c>
      <c r="C20" s="143"/>
      <c r="D20" s="104">
        <f>SUM('SCHEDULE OF VALUE WORKSHEET'!E17)</f>
        <v>0</v>
      </c>
      <c r="E20" s="104">
        <f>SUM('Draw #13'!E20:F20)</f>
        <v>0</v>
      </c>
      <c r="F20" s="105">
        <v>0</v>
      </c>
      <c r="G20" s="104">
        <f>SUM('Draw #13'!G20)+F20</f>
        <v>0</v>
      </c>
      <c r="H20" s="109">
        <f t="shared" si="0"/>
        <v>0</v>
      </c>
      <c r="I20" s="110">
        <v>0</v>
      </c>
      <c r="J20" s="109">
        <f>SUM(I20+'Draw #13'!J20)</f>
        <v>0</v>
      </c>
      <c r="K20" s="101" t="str">
        <f t="shared" si="1"/>
        <v/>
      </c>
      <c r="L20" s="9"/>
      <c r="M20" s="9"/>
    </row>
    <row r="21" spans="1:13" ht="14.1" customHeight="1">
      <c r="A21" s="4">
        <f>'SCHEDULE OF VALUE WORKSHEET'!A18</f>
        <v>12</v>
      </c>
      <c r="B21" s="142" t="str">
        <f>'SCHEDULE OF VALUE WORKSHEET'!B18</f>
        <v>Structural Engineer</v>
      </c>
      <c r="C21" s="143"/>
      <c r="D21" s="104">
        <f>SUM('SCHEDULE OF VALUE WORKSHEET'!E18)</f>
        <v>0</v>
      </c>
      <c r="E21" s="104">
        <f>SUM('Draw #13'!E21:F21)</f>
        <v>0</v>
      </c>
      <c r="F21" s="105">
        <v>0</v>
      </c>
      <c r="G21" s="104">
        <f>SUM('Draw #13'!G21)+F21</f>
        <v>0</v>
      </c>
      <c r="H21" s="109">
        <f t="shared" si="0"/>
        <v>0</v>
      </c>
      <c r="I21" s="110">
        <v>0</v>
      </c>
      <c r="J21" s="109">
        <f>SUM(I21+'Draw #13'!J21)</f>
        <v>0</v>
      </c>
      <c r="K21" s="101" t="str">
        <f t="shared" si="1"/>
        <v/>
      </c>
      <c r="L21" s="9"/>
      <c r="M21" s="9"/>
    </row>
    <row r="22" spans="1:13" ht="14.1" customHeight="1">
      <c r="A22" s="4">
        <f>'SCHEDULE OF VALUE WORKSHEET'!A19</f>
        <v>13</v>
      </c>
      <c r="B22" s="142" t="str">
        <f>'SCHEDULE OF VALUE WORKSHEET'!B19</f>
        <v>Structural Observation</v>
      </c>
      <c r="C22" s="143"/>
      <c r="D22" s="104">
        <f>SUM('SCHEDULE OF VALUE WORKSHEET'!E19)</f>
        <v>8000</v>
      </c>
      <c r="E22" s="104">
        <f>SUM('Draw #13'!E22:F22)</f>
        <v>0</v>
      </c>
      <c r="F22" s="105">
        <v>0</v>
      </c>
      <c r="G22" s="104">
        <f>SUM('Draw #13'!G22)+F22</f>
        <v>8000</v>
      </c>
      <c r="H22" s="109">
        <f t="shared" si="0"/>
        <v>8000</v>
      </c>
      <c r="I22" s="110">
        <v>0</v>
      </c>
      <c r="J22" s="109">
        <f>SUM(I22+'Draw #13'!J22)</f>
        <v>0</v>
      </c>
      <c r="K22" s="101" t="str">
        <f t="shared" si="1"/>
        <v/>
      </c>
      <c r="L22" s="9"/>
      <c r="M22" s="9"/>
    </row>
    <row r="23" spans="1:13" ht="14.1" customHeight="1">
      <c r="A23" s="4">
        <f>'SCHEDULE OF VALUE WORKSHEET'!A20</f>
        <v>14</v>
      </c>
      <c r="B23" s="142" t="str">
        <f>'SCHEDULE OF VALUE WORKSHEET'!B20</f>
        <v>Civil Engineering</v>
      </c>
      <c r="C23" s="143"/>
      <c r="D23" s="104">
        <f>SUM('SCHEDULE OF VALUE WORKSHEET'!E20)</f>
        <v>0</v>
      </c>
      <c r="E23" s="104">
        <f>SUM('Draw #13'!E23:F23)</f>
        <v>0</v>
      </c>
      <c r="F23" s="105">
        <v>0</v>
      </c>
      <c r="G23" s="104">
        <f>SUM('Draw #13'!G23)+F23</f>
        <v>0</v>
      </c>
      <c r="H23" s="109">
        <f t="shared" si="0"/>
        <v>0</v>
      </c>
      <c r="I23" s="110">
        <v>0</v>
      </c>
      <c r="J23" s="109">
        <f>SUM(I23+'Draw #13'!J23)</f>
        <v>0</v>
      </c>
      <c r="K23" s="101" t="str">
        <f t="shared" si="1"/>
        <v/>
      </c>
      <c r="L23" s="9"/>
      <c r="M23" s="9"/>
    </row>
    <row r="24" spans="1:13" ht="14.1" customHeight="1">
      <c r="A24" s="4">
        <f>'SCHEDULE OF VALUE WORKSHEET'!A21</f>
        <v>15</v>
      </c>
      <c r="B24" s="142" t="str">
        <f>'SCHEDULE OF VALUE WORKSHEET'!B21</f>
        <v>Grading Permit</v>
      </c>
      <c r="C24" s="143"/>
      <c r="D24" s="104">
        <f>SUM('SCHEDULE OF VALUE WORKSHEET'!E21)</f>
        <v>0</v>
      </c>
      <c r="E24" s="104">
        <f>SUM('Draw #13'!E24:F24)</f>
        <v>0</v>
      </c>
      <c r="F24" s="105">
        <v>0</v>
      </c>
      <c r="G24" s="104">
        <f>SUM('Draw #13'!G24)+F24</f>
        <v>0</v>
      </c>
      <c r="H24" s="109">
        <f t="shared" si="0"/>
        <v>0</v>
      </c>
      <c r="I24" s="110">
        <v>0</v>
      </c>
      <c r="J24" s="109">
        <f>SUM(I24+'Draw #13'!J24)</f>
        <v>0</v>
      </c>
      <c r="K24" s="101" t="str">
        <f t="shared" si="1"/>
        <v/>
      </c>
      <c r="L24" s="9"/>
      <c r="M24" s="9"/>
    </row>
    <row r="25" spans="1:13" ht="14.1" customHeight="1">
      <c r="A25" s="4">
        <f>'SCHEDULE OF VALUE WORKSHEET'!A22</f>
        <v>16</v>
      </c>
      <c r="B25" s="142" t="str">
        <f>'SCHEDULE OF VALUE WORKSHEET'!B22</f>
        <v>Landscape Architect/Designer</v>
      </c>
      <c r="C25" s="143"/>
      <c r="D25" s="104">
        <f>SUM('SCHEDULE OF VALUE WORKSHEET'!E22)</f>
        <v>0</v>
      </c>
      <c r="E25" s="104">
        <f>SUM('Draw #13'!E25:F25)</f>
        <v>0</v>
      </c>
      <c r="F25" s="105">
        <v>0</v>
      </c>
      <c r="G25" s="104">
        <f>SUM('Draw #13'!G25)+F25</f>
        <v>0</v>
      </c>
      <c r="H25" s="109">
        <f t="shared" si="0"/>
        <v>0</v>
      </c>
      <c r="I25" s="110">
        <v>0</v>
      </c>
      <c r="J25" s="109">
        <f>SUM(I25+'Draw #13'!J25)</f>
        <v>0</v>
      </c>
      <c r="K25" s="101" t="str">
        <f t="shared" si="1"/>
        <v/>
      </c>
      <c r="L25" s="9"/>
      <c r="M25" s="9"/>
    </row>
    <row r="26" spans="1:13" ht="14.1" customHeight="1">
      <c r="A26" s="4">
        <f>'SCHEDULE OF VALUE WORKSHEET'!A23</f>
        <v>17</v>
      </c>
      <c r="B26" s="142" t="str">
        <f>'SCHEDULE OF VALUE WORKSHEET'!B23</f>
        <v>Driveway Apron Permit</v>
      </c>
      <c r="C26" s="143"/>
      <c r="D26" s="104">
        <f>SUM('SCHEDULE OF VALUE WORKSHEET'!E23)</f>
        <v>2500</v>
      </c>
      <c r="E26" s="104">
        <f>SUM('Draw #13'!E26:F26)</f>
        <v>0</v>
      </c>
      <c r="F26" s="105">
        <v>0</v>
      </c>
      <c r="G26" s="104">
        <f>SUM('Draw #13'!G26)+F26</f>
        <v>2500</v>
      </c>
      <c r="H26" s="109">
        <f t="shared" si="0"/>
        <v>2500</v>
      </c>
      <c r="I26" s="110">
        <v>0</v>
      </c>
      <c r="J26" s="109">
        <f>SUM(I26+'Draw #13'!J26)</f>
        <v>0</v>
      </c>
      <c r="K26" s="101" t="str">
        <f t="shared" si="1"/>
        <v/>
      </c>
      <c r="L26" s="9"/>
      <c r="M26" s="9"/>
    </row>
    <row r="27" spans="1:13" ht="14.1" customHeight="1">
      <c r="A27" s="4">
        <f>'SCHEDULE OF VALUE WORKSHEET'!A24</f>
        <v>18</v>
      </c>
      <c r="B27" s="142" t="str">
        <f>'SCHEDULE OF VALUE WORKSHEET'!B24</f>
        <v>Punch List - Misc.</v>
      </c>
      <c r="C27" s="143"/>
      <c r="D27" s="104">
        <f>SUM('SCHEDULE OF VALUE WORKSHEET'!E24)</f>
        <v>21962.77</v>
      </c>
      <c r="E27" s="104">
        <f>SUM('Draw #13'!E27:F27)</f>
        <v>0</v>
      </c>
      <c r="F27" s="105">
        <v>0</v>
      </c>
      <c r="G27" s="104">
        <f>SUM('Draw #13'!G27)+F27</f>
        <v>21962.77</v>
      </c>
      <c r="H27" s="109">
        <f t="shared" si="0"/>
        <v>21962.77</v>
      </c>
      <c r="I27" s="110">
        <v>0</v>
      </c>
      <c r="J27" s="109">
        <f>SUM(I27+'Draw #13'!J27)</f>
        <v>0</v>
      </c>
      <c r="K27" s="101" t="str">
        <f t="shared" si="1"/>
        <v/>
      </c>
      <c r="L27" s="9"/>
      <c r="M27" s="9"/>
    </row>
    <row r="28" spans="1:13" ht="14.1" customHeight="1">
      <c r="A28" s="4">
        <f>'SCHEDULE OF VALUE WORKSHEET'!A25</f>
        <v>19</v>
      </c>
      <c r="B28" s="142" t="str">
        <f>'SCHEDULE OF VALUE WORKSHEET'!B25</f>
        <v>EBM, Low Voltage, Landscape, Waterproofing CA</v>
      </c>
      <c r="C28" s="143"/>
      <c r="D28" s="104">
        <f>SUM('SCHEDULE OF VALUE WORKSHEET'!E25)</f>
        <v>0</v>
      </c>
      <c r="E28" s="104">
        <f>SUM('Draw #13'!E28:F28)</f>
        <v>0</v>
      </c>
      <c r="F28" s="105">
        <v>0</v>
      </c>
      <c r="G28" s="104">
        <f>SUM('Draw #13'!G28)+F28</f>
        <v>0</v>
      </c>
      <c r="H28" s="109">
        <f t="shared" si="0"/>
        <v>0</v>
      </c>
      <c r="I28" s="110">
        <v>0</v>
      </c>
      <c r="J28" s="109">
        <f>SUM(I28+'Draw #13'!J28)</f>
        <v>0</v>
      </c>
      <c r="K28" s="101" t="str">
        <f t="shared" si="1"/>
        <v/>
      </c>
      <c r="L28" s="9"/>
      <c r="M28" s="9"/>
    </row>
    <row r="29" spans="1:13" ht="14.1" customHeight="1">
      <c r="A29" s="4">
        <f>'SCHEDULE OF VALUE WORKSHEET'!A26</f>
        <v>20</v>
      </c>
      <c r="B29" s="142" t="str">
        <f>'SCHEDULE OF VALUE WORKSHEET'!B26</f>
        <v>Project Accounting/Tax Filing</v>
      </c>
      <c r="C29" s="143"/>
      <c r="D29" s="104">
        <f>SUM('SCHEDULE OF VALUE WORKSHEET'!E26)</f>
        <v>12994.01</v>
      </c>
      <c r="E29" s="104">
        <f>SUM('Draw #13'!E29:F29)</f>
        <v>0</v>
      </c>
      <c r="F29" s="105">
        <v>0</v>
      </c>
      <c r="G29" s="104">
        <f>SUM('Draw #13'!G29)+F29</f>
        <v>12994.01</v>
      </c>
      <c r="H29" s="109">
        <f t="shared" si="0"/>
        <v>12994.01</v>
      </c>
      <c r="I29" s="110">
        <v>0</v>
      </c>
      <c r="J29" s="109">
        <f>SUM(I29+'Draw #13'!J29)</f>
        <v>0</v>
      </c>
      <c r="K29" s="101" t="str">
        <f t="shared" si="1"/>
        <v/>
      </c>
      <c r="L29" s="9"/>
      <c r="M29" s="9"/>
    </row>
    <row r="30" spans="1:13" ht="14.1" customHeight="1">
      <c r="A30" s="4">
        <f>'SCHEDULE OF VALUE WORKSHEET'!A27</f>
        <v>21</v>
      </c>
      <c r="B30" s="142" t="str">
        <f>'SCHEDULE OF VALUE WORKSHEET'!B27</f>
        <v>Legal &amp; Professional Fees</v>
      </c>
      <c r="C30" s="143"/>
      <c r="D30" s="104">
        <f>SUM('SCHEDULE OF VALUE WORKSHEET'!E27)</f>
        <v>873.38999999999942</v>
      </c>
      <c r="E30" s="104">
        <f>SUM('Draw #13'!E30:F30)</f>
        <v>0</v>
      </c>
      <c r="F30" s="105">
        <v>0</v>
      </c>
      <c r="G30" s="104">
        <f>SUM('Draw #13'!G30)+F30</f>
        <v>873.38999999999942</v>
      </c>
      <c r="H30" s="109">
        <f t="shared" si="0"/>
        <v>873.38999999999942</v>
      </c>
      <c r="I30" s="110">
        <v>0</v>
      </c>
      <c r="J30" s="109">
        <f>SUM(I30+'Draw #13'!J30)</f>
        <v>0</v>
      </c>
      <c r="K30" s="101" t="str">
        <f t="shared" si="1"/>
        <v/>
      </c>
      <c r="L30" s="9"/>
      <c r="M30" s="9"/>
    </row>
    <row r="31" spans="1:13" ht="14.1" customHeight="1">
      <c r="A31" s="4">
        <f>'SCHEDULE OF VALUE WORKSHEET'!A28</f>
        <v>22</v>
      </c>
      <c r="B31" s="142" t="str">
        <f>'SCHEDULE OF VALUE WORKSHEET'!B28</f>
        <v>Sewer CCTV and inspection</v>
      </c>
      <c r="C31" s="143"/>
      <c r="D31" s="104">
        <f>SUM('SCHEDULE OF VALUE WORKSHEET'!E28)</f>
        <v>0</v>
      </c>
      <c r="E31" s="104">
        <f>SUM('Draw #13'!E31:F31)</f>
        <v>0</v>
      </c>
      <c r="F31" s="105">
        <v>0</v>
      </c>
      <c r="G31" s="104">
        <f>SUM('Draw #13'!G31)+F31</f>
        <v>0</v>
      </c>
      <c r="H31" s="109">
        <f t="shared" si="0"/>
        <v>0</v>
      </c>
      <c r="I31" s="110">
        <v>0</v>
      </c>
      <c r="J31" s="109">
        <f>SUM(I31+'Draw #13'!J31)</f>
        <v>0</v>
      </c>
      <c r="K31" s="101" t="str">
        <f t="shared" si="1"/>
        <v/>
      </c>
      <c r="L31" s="9"/>
      <c r="M31" s="9"/>
    </row>
    <row r="32" spans="1:13" ht="14.1" customHeight="1">
      <c r="A32" s="4">
        <f>'SCHEDULE OF VALUE WORKSHEET'!A29</f>
        <v>23</v>
      </c>
      <c r="B32" s="142" t="str">
        <f>'SCHEDULE OF VALUE WORKSHEET'!B29</f>
        <v>Environmental Phase I</v>
      </c>
      <c r="C32" s="143"/>
      <c r="D32" s="104">
        <f>SUM('SCHEDULE OF VALUE WORKSHEET'!E29)</f>
        <v>0</v>
      </c>
      <c r="E32" s="104">
        <f>SUM('Draw #13'!E32:F32)</f>
        <v>0</v>
      </c>
      <c r="F32" s="105">
        <v>0</v>
      </c>
      <c r="G32" s="104">
        <f>SUM('Draw #13'!G32)+F32</f>
        <v>0</v>
      </c>
      <c r="H32" s="109">
        <f t="shared" si="0"/>
        <v>0</v>
      </c>
      <c r="I32" s="110">
        <v>0</v>
      </c>
      <c r="J32" s="109">
        <f>SUM(I32+'Draw #13'!J32)</f>
        <v>0</v>
      </c>
      <c r="K32" s="101" t="str">
        <f t="shared" si="1"/>
        <v/>
      </c>
      <c r="L32" s="9"/>
      <c r="M32" s="9"/>
    </row>
    <row r="33" spans="1:13" ht="14.1" customHeight="1">
      <c r="A33" s="4">
        <f>'SCHEDULE OF VALUE WORKSHEET'!A30</f>
        <v>24</v>
      </c>
      <c r="B33" s="142" t="str">
        <f>'SCHEDULE OF VALUE WORKSHEET'!B30</f>
        <v>Dry Utility Consultant</v>
      </c>
      <c r="C33" s="143"/>
      <c r="D33" s="104">
        <f>SUM('SCHEDULE OF VALUE WORKSHEET'!E30)</f>
        <v>0</v>
      </c>
      <c r="E33" s="104">
        <f>SUM('Draw #13'!E33:F33)</f>
        <v>0</v>
      </c>
      <c r="F33" s="105">
        <v>0</v>
      </c>
      <c r="G33" s="104">
        <f>SUM('Draw #13'!G33)+F33</f>
        <v>0</v>
      </c>
      <c r="H33" s="109">
        <f t="shared" si="0"/>
        <v>0</v>
      </c>
      <c r="I33" s="110">
        <v>0</v>
      </c>
      <c r="J33" s="109">
        <f>SUM(I33+'Draw #13'!J33)</f>
        <v>0</v>
      </c>
      <c r="K33" s="101" t="str">
        <f t="shared" si="1"/>
        <v/>
      </c>
      <c r="L33" s="9"/>
      <c r="M33" s="9"/>
    </row>
    <row r="34" spans="1:13" ht="14.1" customHeight="1">
      <c r="A34" s="4">
        <f>'SCHEDULE OF VALUE WORKSHEET'!A31</f>
        <v>25</v>
      </c>
      <c r="B34" s="142" t="str">
        <f>'SCHEDULE OF VALUE WORKSHEET'!B31</f>
        <v>Dry Utility Survey</v>
      </c>
      <c r="C34" s="143"/>
      <c r="D34" s="104">
        <f>SUM('SCHEDULE OF VALUE WORKSHEET'!E31)</f>
        <v>5000</v>
      </c>
      <c r="E34" s="104">
        <f>SUM('Draw #13'!E34:F34)</f>
        <v>0</v>
      </c>
      <c r="F34" s="105">
        <v>0</v>
      </c>
      <c r="G34" s="104">
        <f>SUM('Draw #13'!G34)+F34</f>
        <v>5000</v>
      </c>
      <c r="H34" s="109">
        <f t="shared" si="0"/>
        <v>5000</v>
      </c>
      <c r="I34" s="110">
        <v>0</v>
      </c>
      <c r="J34" s="109">
        <f>SUM(I34+'Draw #13'!J34)</f>
        <v>0</v>
      </c>
      <c r="K34" s="101" t="str">
        <f t="shared" si="1"/>
        <v/>
      </c>
      <c r="L34" s="9"/>
      <c r="M34" s="9"/>
    </row>
    <row r="35" spans="1:13" ht="14.1" customHeight="1">
      <c r="A35" s="4">
        <f>'SCHEDULE OF VALUE WORKSHEET'!A32</f>
        <v>26</v>
      </c>
      <c r="B35" s="142" t="str">
        <f>'SCHEDULE OF VALUE WORKSHEET'!B32</f>
        <v>MEP</v>
      </c>
      <c r="C35" s="143"/>
      <c r="D35" s="104">
        <f>SUM('SCHEDULE OF VALUE WORKSHEET'!E32)</f>
        <v>0</v>
      </c>
      <c r="E35" s="104">
        <f>SUM('Draw #13'!E35:F35)</f>
        <v>0</v>
      </c>
      <c r="F35" s="105">
        <v>0</v>
      </c>
      <c r="G35" s="104">
        <f>SUM('Draw #13'!G35)+F35</f>
        <v>0</v>
      </c>
      <c r="H35" s="109">
        <f t="shared" si="0"/>
        <v>0</v>
      </c>
      <c r="I35" s="110">
        <v>0</v>
      </c>
      <c r="J35" s="109">
        <f>SUM(I35+'Draw #13'!J35)</f>
        <v>0</v>
      </c>
      <c r="K35" s="101" t="str">
        <f t="shared" si="1"/>
        <v/>
      </c>
      <c r="L35" s="9"/>
      <c r="M35" s="9"/>
    </row>
    <row r="36" spans="1:13" ht="14.1" customHeight="1">
      <c r="A36" s="4">
        <f>'SCHEDULE OF VALUE WORKSHEET'!A33</f>
        <v>27</v>
      </c>
      <c r="B36" s="142" t="str">
        <f>'SCHEDULE OF VALUE WORKSHEET'!B33</f>
        <v>Civil Construction Administration</v>
      </c>
      <c r="C36" s="143"/>
      <c r="D36" s="104">
        <f>SUM('SCHEDULE OF VALUE WORKSHEET'!E33)</f>
        <v>5000</v>
      </c>
      <c r="E36" s="104">
        <f>SUM('Draw #13'!E36:F36)</f>
        <v>0</v>
      </c>
      <c r="F36" s="105">
        <v>0</v>
      </c>
      <c r="G36" s="104">
        <f>SUM('Draw #13'!G36)+F36</f>
        <v>5000</v>
      </c>
      <c r="H36" s="109">
        <f t="shared" si="0"/>
        <v>5000</v>
      </c>
      <c r="I36" s="110">
        <v>0</v>
      </c>
      <c r="J36" s="109">
        <f>SUM(I36+'Draw #13'!J36)</f>
        <v>0</v>
      </c>
      <c r="K36" s="101" t="str">
        <f t="shared" si="1"/>
        <v/>
      </c>
      <c r="L36" s="9"/>
      <c r="M36" s="9"/>
    </row>
    <row r="37" spans="1:13" ht="14.1" customHeight="1">
      <c r="A37" s="4">
        <f>'SCHEDULE OF VALUE WORKSHEET'!A34</f>
        <v>28</v>
      </c>
      <c r="B37" s="142" t="str">
        <f>'SCHEDULE OF VALUE WORKSHEET'!B34</f>
        <v>Permit Clearances &amp; Agency Reviews</v>
      </c>
      <c r="C37" s="143"/>
      <c r="D37" s="104">
        <f>SUM('SCHEDULE OF VALUE WORKSHEET'!E34)</f>
        <v>0</v>
      </c>
      <c r="E37" s="104">
        <f>SUM('Draw #13'!E37:F37)</f>
        <v>0</v>
      </c>
      <c r="F37" s="105">
        <v>0</v>
      </c>
      <c r="G37" s="104">
        <f>SUM('Draw #13'!G37)+F37</f>
        <v>0</v>
      </c>
      <c r="H37" s="109">
        <f t="shared" si="0"/>
        <v>0</v>
      </c>
      <c r="I37" s="110">
        <v>0</v>
      </c>
      <c r="J37" s="109">
        <f>SUM(I37+'Draw #13'!J37)</f>
        <v>0</v>
      </c>
      <c r="K37" s="101" t="str">
        <f t="shared" si="1"/>
        <v/>
      </c>
      <c r="L37" s="9"/>
      <c r="M37" s="9"/>
    </row>
    <row r="38" spans="1:13" ht="14.1" customHeight="1">
      <c r="A38" s="4">
        <f>'SCHEDULE OF VALUE WORKSHEET'!A35</f>
        <v>29</v>
      </c>
      <c r="B38" s="142" t="str">
        <f>'SCHEDULE OF VALUE WORKSHEET'!B35</f>
        <v>Demo Permit Fees</v>
      </c>
      <c r="C38" s="143"/>
      <c r="D38" s="104">
        <f>SUM('SCHEDULE OF VALUE WORKSHEET'!E35)</f>
        <v>500</v>
      </c>
      <c r="E38" s="104">
        <f>SUM('Draw #13'!E38:F38)</f>
        <v>0</v>
      </c>
      <c r="F38" s="105">
        <v>0</v>
      </c>
      <c r="G38" s="104">
        <f>SUM('Draw #13'!G38)+F38</f>
        <v>500</v>
      </c>
      <c r="H38" s="109">
        <f t="shared" si="0"/>
        <v>500</v>
      </c>
      <c r="I38" s="110">
        <v>0</v>
      </c>
      <c r="J38" s="109">
        <f>SUM(I38+'Draw #13'!J38)</f>
        <v>0</v>
      </c>
      <c r="K38" s="101" t="str">
        <f t="shared" si="1"/>
        <v/>
      </c>
      <c r="L38" s="9"/>
      <c r="M38" s="9"/>
    </row>
    <row r="39" spans="1:13" ht="14.1" customHeight="1">
      <c r="A39" s="4">
        <f>'SCHEDULE OF VALUE WORKSHEET'!A36</f>
        <v>30</v>
      </c>
      <c r="B39" s="142" t="str">
        <f>'SCHEDULE OF VALUE WORKSHEET'!B36</f>
        <v>MEP Fees</v>
      </c>
      <c r="C39" s="143"/>
      <c r="D39" s="104">
        <f>SUM('SCHEDULE OF VALUE WORKSHEET'!E36)</f>
        <v>0</v>
      </c>
      <c r="E39" s="104">
        <f>SUM('Draw #13'!E39:F39)</f>
        <v>0</v>
      </c>
      <c r="F39" s="105">
        <v>0</v>
      </c>
      <c r="G39" s="104">
        <f>SUM('Draw #13'!G39)+F39</f>
        <v>0</v>
      </c>
      <c r="H39" s="109">
        <f t="shared" si="0"/>
        <v>0</v>
      </c>
      <c r="I39" s="110">
        <v>0</v>
      </c>
      <c r="J39" s="109">
        <f>SUM(I39+'Draw #13'!J39)</f>
        <v>0</v>
      </c>
      <c r="K39" s="101" t="str">
        <f t="shared" si="1"/>
        <v/>
      </c>
      <c r="L39" s="9"/>
      <c r="M39" s="9"/>
    </row>
    <row r="40" spans="1:13" ht="14.1" customHeight="1">
      <c r="A40" s="4">
        <f>'SCHEDULE OF VALUE WORKSHEET'!A37</f>
        <v>31</v>
      </c>
      <c r="B40" s="142" t="str">
        <f>'SCHEDULE OF VALUE WORKSHEET'!B37</f>
        <v>Agency Signoffs</v>
      </c>
      <c r="C40" s="143"/>
      <c r="D40" s="104">
        <f>SUM('SCHEDULE OF VALUE WORKSHEET'!E37)</f>
        <v>0</v>
      </c>
      <c r="E40" s="104">
        <f>SUM('Draw #13'!E40:F40)</f>
        <v>0</v>
      </c>
      <c r="F40" s="105">
        <v>0</v>
      </c>
      <c r="G40" s="104">
        <f>SUM('Draw #13'!G40)+F40</f>
        <v>0</v>
      </c>
      <c r="H40" s="109">
        <f t="shared" si="0"/>
        <v>0</v>
      </c>
      <c r="I40" s="110">
        <v>0</v>
      </c>
      <c r="J40" s="109">
        <f>SUM(I40+'Draw #13'!J40)</f>
        <v>0</v>
      </c>
      <c r="K40" s="101" t="str">
        <f t="shared" si="1"/>
        <v/>
      </c>
      <c r="L40" s="9"/>
      <c r="M40" s="9"/>
    </row>
    <row r="41" spans="1:13" ht="14.1" customHeight="1">
      <c r="A41" s="4">
        <f>'SCHEDULE OF VALUE WORKSHEET'!A38</f>
        <v>32</v>
      </c>
      <c r="B41" s="142" t="str">
        <f>'SCHEDULE OF VALUE WORKSHEET'!B38</f>
        <v>Specifications Writer Consultant</v>
      </c>
      <c r="C41" s="143"/>
      <c r="D41" s="104">
        <f>SUM('SCHEDULE OF VALUE WORKSHEET'!E38)</f>
        <v>2000</v>
      </c>
      <c r="E41" s="104">
        <f>SUM('Draw #13'!E41:F41)</f>
        <v>0</v>
      </c>
      <c r="F41" s="105">
        <v>0</v>
      </c>
      <c r="G41" s="104">
        <f>SUM('Draw #13'!G41)+F41</f>
        <v>2000</v>
      </c>
      <c r="H41" s="109">
        <f t="shared" si="0"/>
        <v>2000</v>
      </c>
      <c r="I41" s="110">
        <v>0</v>
      </c>
      <c r="J41" s="109">
        <f>SUM(I41+'Draw #13'!J41)</f>
        <v>0</v>
      </c>
      <c r="K41" s="101" t="str">
        <f t="shared" si="1"/>
        <v/>
      </c>
      <c r="L41" s="9"/>
      <c r="M41" s="9"/>
    </row>
    <row r="42" spans="1:13" ht="14.1" customHeight="1">
      <c r="A42" s="4">
        <f>'SCHEDULE OF VALUE WORKSHEET'!A39</f>
        <v>33</v>
      </c>
      <c r="B42" s="142" t="str">
        <f>'SCHEDULE OF VALUE WORKSHEET'!B39</f>
        <v>Construction Consultant</v>
      </c>
      <c r="C42" s="143"/>
      <c r="D42" s="104">
        <f>SUM('SCHEDULE OF VALUE WORKSHEET'!E39)</f>
        <v>0</v>
      </c>
      <c r="E42" s="104">
        <f>SUM('Draw #13'!E42:F42)</f>
        <v>0</v>
      </c>
      <c r="F42" s="105">
        <v>0</v>
      </c>
      <c r="G42" s="104">
        <f>SUM('Draw #13'!G42)+F42</f>
        <v>0</v>
      </c>
      <c r="H42" s="109">
        <f t="shared" si="0"/>
        <v>0</v>
      </c>
      <c r="I42" s="110">
        <v>0</v>
      </c>
      <c r="J42" s="109">
        <f>SUM(I42+'Draw #13'!J42)</f>
        <v>0</v>
      </c>
      <c r="K42" s="101" t="str">
        <f t="shared" si="1"/>
        <v/>
      </c>
      <c r="L42" s="9"/>
      <c r="M42" s="9"/>
    </row>
    <row r="43" spans="1:13" ht="14.1" customHeight="1">
      <c r="A43" s="4">
        <f>'SCHEDULE OF VALUE WORKSHEET'!A40</f>
        <v>34</v>
      </c>
      <c r="B43" s="142" t="str">
        <f>'SCHEDULE OF VALUE WORKSHEET'!B40</f>
        <v>Low Voltage Consultant</v>
      </c>
      <c r="C43" s="143"/>
      <c r="D43" s="104">
        <f>SUM('SCHEDULE OF VALUE WORKSHEET'!E40)</f>
        <v>15524</v>
      </c>
      <c r="E43" s="104">
        <f>SUM('Draw #13'!E43:F43)</f>
        <v>0</v>
      </c>
      <c r="F43" s="105">
        <v>0</v>
      </c>
      <c r="G43" s="104">
        <f>SUM('Draw #13'!G43)+F43</f>
        <v>15524</v>
      </c>
      <c r="H43" s="109">
        <f t="shared" si="0"/>
        <v>15524</v>
      </c>
      <c r="I43" s="110">
        <v>0</v>
      </c>
      <c r="J43" s="109">
        <f>SUM(I43+'Draw #13'!J43)</f>
        <v>0</v>
      </c>
      <c r="K43" s="101" t="str">
        <f t="shared" si="1"/>
        <v/>
      </c>
      <c r="L43" s="9"/>
      <c r="M43" s="9"/>
    </row>
    <row r="44" spans="1:13" ht="14.1" customHeight="1">
      <c r="A44" s="4">
        <f>'SCHEDULE OF VALUE WORKSHEET'!A41</f>
        <v>35</v>
      </c>
      <c r="B44" s="142" t="str">
        <f>'SCHEDULE OF VALUE WORKSHEET'!B41</f>
        <v>Photovoltaic Consultant</v>
      </c>
      <c r="C44" s="143"/>
      <c r="D44" s="104">
        <f>SUM('SCHEDULE OF VALUE WORKSHEET'!E41)</f>
        <v>5000</v>
      </c>
      <c r="E44" s="104">
        <f>SUM('Draw #13'!E44:F44)</f>
        <v>0</v>
      </c>
      <c r="F44" s="105">
        <v>0</v>
      </c>
      <c r="G44" s="104">
        <f>SUM('Draw #13'!G44)+F44</f>
        <v>5000</v>
      </c>
      <c r="H44" s="109">
        <f t="shared" si="0"/>
        <v>5000</v>
      </c>
      <c r="I44" s="110">
        <v>0</v>
      </c>
      <c r="J44" s="109">
        <f>SUM(I44+'Draw #13'!J44)</f>
        <v>0</v>
      </c>
      <c r="K44" s="101" t="str">
        <f t="shared" si="1"/>
        <v/>
      </c>
      <c r="L44" s="9"/>
      <c r="M44" s="9"/>
    </row>
    <row r="45" spans="1:13" ht="14.1" customHeight="1">
      <c r="A45" s="4">
        <f>'SCHEDULE OF VALUE WORKSHEET'!A42</f>
        <v>36</v>
      </c>
      <c r="B45" s="142" t="str">
        <f>'SCHEDULE OF VALUE WORKSHEET'!B42</f>
        <v>Construction Management / Observation (OO)</v>
      </c>
      <c r="C45" s="143"/>
      <c r="D45" s="104">
        <f>SUM('SCHEDULE OF VALUE WORKSHEET'!E42)</f>
        <v>49427.9</v>
      </c>
      <c r="E45" s="104">
        <f>SUM('Draw #13'!E45:F45)</f>
        <v>0</v>
      </c>
      <c r="F45" s="105">
        <v>0</v>
      </c>
      <c r="G45" s="104">
        <f>SUM('Draw #13'!G45)+F45</f>
        <v>49427.9</v>
      </c>
      <c r="H45" s="109">
        <f t="shared" si="0"/>
        <v>49427.9</v>
      </c>
      <c r="I45" s="110">
        <v>0</v>
      </c>
      <c r="J45" s="109">
        <f>SUM(I45+'Draw #13'!J45)</f>
        <v>0</v>
      </c>
      <c r="K45" s="101" t="str">
        <f t="shared" si="1"/>
        <v/>
      </c>
      <c r="L45" s="9"/>
      <c r="M45" s="9"/>
    </row>
    <row r="46" spans="1:13" ht="14.1" customHeight="1">
      <c r="A46" s="4" t="e">
        <f>'SCHEDULE OF VALUE WORKSHEET'!#REF!</f>
        <v>#REF!</v>
      </c>
      <c r="B46" s="142" t="e">
        <f>'SCHEDULE OF VALUE WORKSHEET'!#REF!</f>
        <v>#REF!</v>
      </c>
      <c r="C46" s="143"/>
      <c r="D46" s="104" t="e">
        <f>SUM('SCHEDULE OF VALUE WORKSHEET'!#REF!)</f>
        <v>#REF!</v>
      </c>
      <c r="E46" s="104">
        <f>SUM('Draw #13'!E46:F46)</f>
        <v>0</v>
      </c>
      <c r="F46" s="105">
        <v>0</v>
      </c>
      <c r="G46" s="104" t="e">
        <f>SUM('Draw #13'!G46)+F46</f>
        <v>#REF!</v>
      </c>
      <c r="H46" s="109" t="e">
        <f t="shared" si="0"/>
        <v>#REF!</v>
      </c>
      <c r="I46" s="110">
        <v>0</v>
      </c>
      <c r="J46" s="109">
        <f>SUM(I46+'Draw #13'!J46)</f>
        <v>0</v>
      </c>
      <c r="K46" s="101" t="str">
        <f t="shared" si="1"/>
        <v/>
      </c>
      <c r="L46" s="9"/>
      <c r="M46" s="9"/>
    </row>
    <row r="47" spans="1:13" ht="14.1" customHeight="1">
      <c r="A47" s="4">
        <f>'SCHEDULE OF VALUE WORKSHEET'!A43</f>
        <v>37</v>
      </c>
      <c r="B47" s="142" t="str">
        <f>'SCHEDULE OF VALUE WORKSHEET'!B43</f>
        <v>CMFA Startup Fee</v>
      </c>
      <c r="C47" s="143"/>
      <c r="D47" s="104">
        <f>SUM('SCHEDULE OF VALUE WORKSHEET'!E43)</f>
        <v>22800</v>
      </c>
      <c r="E47" s="104">
        <f>SUM('Draw #13'!E47:F47)</f>
        <v>0</v>
      </c>
      <c r="F47" s="105">
        <v>0</v>
      </c>
      <c r="G47" s="104">
        <f>SUM('Draw #13'!G47)+F47</f>
        <v>22800</v>
      </c>
      <c r="H47" s="109">
        <f t="shared" si="0"/>
        <v>22800</v>
      </c>
      <c r="I47" s="110">
        <v>0</v>
      </c>
      <c r="J47" s="109">
        <f>SUM(I47+'Draw #13'!J47)</f>
        <v>0</v>
      </c>
      <c r="K47" s="101" t="str">
        <f t="shared" si="1"/>
        <v/>
      </c>
      <c r="L47" s="9"/>
      <c r="M47" s="9"/>
    </row>
    <row r="48" spans="1:13" ht="14.1" customHeight="1">
      <c r="A48" s="4">
        <f>'SCHEDULE OF VALUE WORKSHEET'!A44</f>
        <v>38</v>
      </c>
      <c r="B48" s="142" t="str">
        <f>'SCHEDULE OF VALUE WORKSHEET'!B44</f>
        <v>Non-Profit Start Up Fee</v>
      </c>
      <c r="C48" s="143"/>
      <c r="D48" s="104">
        <f>SUM('SCHEDULE OF VALUE WORKSHEET'!E44)</f>
        <v>25000</v>
      </c>
      <c r="E48" s="104">
        <f>SUM('Draw #13'!E48:F48)</f>
        <v>0</v>
      </c>
      <c r="F48" s="105">
        <v>0</v>
      </c>
      <c r="G48" s="104">
        <f>SUM('Draw #13'!G48)+F48</f>
        <v>25000</v>
      </c>
      <c r="H48" s="109">
        <f t="shared" si="0"/>
        <v>25000</v>
      </c>
      <c r="I48" s="110">
        <v>0</v>
      </c>
      <c r="J48" s="109">
        <f>SUM(I48+'Draw #13'!J48)</f>
        <v>0</v>
      </c>
      <c r="K48" s="101" t="str">
        <f t="shared" si="1"/>
        <v/>
      </c>
      <c r="L48" s="9"/>
      <c r="M48" s="9"/>
    </row>
    <row r="49" spans="1:13" ht="14.1" customHeight="1">
      <c r="A49" s="4">
        <f>'SCHEDULE OF VALUE WORKSHEET'!A45</f>
        <v>39</v>
      </c>
      <c r="B49" s="142" t="str">
        <f>'SCHEDULE OF VALUE WORKSHEET'!B45</f>
        <v>CMFA Construction Fee</v>
      </c>
      <c r="C49" s="143"/>
      <c r="D49" s="104">
        <f>SUM('SCHEDULE OF VALUE WORKSHEET'!E45)</f>
        <v>12000</v>
      </c>
      <c r="E49" s="104">
        <f>SUM('Draw #13'!E49:F49)</f>
        <v>0</v>
      </c>
      <c r="F49" s="105">
        <v>0</v>
      </c>
      <c r="G49" s="104">
        <f>SUM('Draw #13'!G49)+F49</f>
        <v>12000</v>
      </c>
      <c r="H49" s="109">
        <f t="shared" si="0"/>
        <v>12000</v>
      </c>
      <c r="I49" s="110">
        <v>0</v>
      </c>
      <c r="J49" s="109">
        <f>SUM(I49+'Draw #13'!J49)</f>
        <v>0</v>
      </c>
      <c r="K49" s="101" t="str">
        <f t="shared" si="1"/>
        <v/>
      </c>
      <c r="L49" s="9"/>
      <c r="M49" s="9"/>
    </row>
    <row r="50" spans="1:13" ht="14.1" customHeight="1">
      <c r="A50" s="4">
        <f>'SCHEDULE OF VALUE WORKSHEET'!A46</f>
        <v>40</v>
      </c>
      <c r="B50" s="142" t="str">
        <f>'SCHEDULE OF VALUE WORKSHEET'!B46</f>
        <v>Non-Profit Construction Fee</v>
      </c>
      <c r="C50" s="143"/>
      <c r="D50" s="104">
        <f>SUM('SCHEDULE OF VALUE WORKSHEET'!E46)</f>
        <v>10000</v>
      </c>
      <c r="E50" s="104">
        <f>SUM('Draw #13'!E50:F50)</f>
        <v>0</v>
      </c>
      <c r="F50" s="105">
        <v>0</v>
      </c>
      <c r="G50" s="104">
        <f>SUM('Draw #13'!G50)+F50</f>
        <v>10000</v>
      </c>
      <c r="H50" s="109">
        <f t="shared" si="0"/>
        <v>10000</v>
      </c>
      <c r="I50" s="110">
        <v>0</v>
      </c>
      <c r="J50" s="109">
        <f>SUM(I50+'Draw #13'!J50)</f>
        <v>0</v>
      </c>
      <c r="K50" s="101" t="str">
        <f t="shared" si="1"/>
        <v/>
      </c>
      <c r="L50" s="9"/>
      <c r="M50" s="9"/>
    </row>
    <row r="51" spans="1:13" ht="14.1" customHeight="1">
      <c r="A51" s="4">
        <f>'SCHEDULE OF VALUE WORKSHEET'!A47</f>
        <v>41</v>
      </c>
      <c r="B51" s="142" t="str">
        <f>'SCHEDULE OF VALUE WORKSHEET'!B47</f>
        <v>WTE Legal Costs for CMFA &amp; Non-Profit Partner</v>
      </c>
      <c r="C51" s="143"/>
      <c r="D51" s="104">
        <f>SUM('SCHEDULE OF VALUE WORKSHEET'!E47)</f>
        <v>20000</v>
      </c>
      <c r="E51" s="104">
        <f>SUM('Draw #13'!E51:F51)</f>
        <v>0</v>
      </c>
      <c r="F51" s="105">
        <v>0</v>
      </c>
      <c r="G51" s="104">
        <f>SUM('Draw #13'!G51)+F51</f>
        <v>20000</v>
      </c>
      <c r="H51" s="109">
        <f t="shared" si="0"/>
        <v>20000</v>
      </c>
      <c r="I51" s="110">
        <v>0</v>
      </c>
      <c r="J51" s="109">
        <f>SUM(I51+'Draw #13'!J51)</f>
        <v>0</v>
      </c>
      <c r="K51" s="101" t="str">
        <f t="shared" si="1"/>
        <v/>
      </c>
      <c r="L51" s="9"/>
      <c r="M51" s="9"/>
    </row>
    <row r="52" spans="1:13" ht="14.1" customHeight="1">
      <c r="A52" s="4" t="e">
        <f>'SCHEDULE OF VALUE WORKSHEET'!#REF!</f>
        <v>#REF!</v>
      </c>
      <c r="B52" s="142" t="e">
        <f>'SCHEDULE OF VALUE WORKSHEET'!#REF!</f>
        <v>#REF!</v>
      </c>
      <c r="C52" s="143"/>
      <c r="D52" s="104" t="e">
        <f>SUM('SCHEDULE OF VALUE WORKSHEET'!#REF!)</f>
        <v>#REF!</v>
      </c>
      <c r="E52" s="104">
        <f>SUM('Draw #13'!E52:F52)</f>
        <v>0</v>
      </c>
      <c r="F52" s="105">
        <v>0</v>
      </c>
      <c r="G52" s="104" t="e">
        <f>SUM('Draw #13'!G52)+F52</f>
        <v>#REF!</v>
      </c>
      <c r="H52" s="109" t="e">
        <f t="shared" si="0"/>
        <v>#REF!</v>
      </c>
      <c r="I52" s="110">
        <v>0</v>
      </c>
      <c r="J52" s="109">
        <f>SUM(I52+'Draw #13'!J52)</f>
        <v>0</v>
      </c>
      <c r="K52" s="101" t="str">
        <f t="shared" si="1"/>
        <v/>
      </c>
      <c r="L52" s="9"/>
      <c r="M52" s="9"/>
    </row>
    <row r="53" spans="1:13" ht="14.1" customHeight="1">
      <c r="A53" s="4">
        <f>'SCHEDULE OF VALUE WORKSHEET'!A49</f>
        <v>43</v>
      </c>
      <c r="B53" s="142" t="str">
        <f>'SCHEDULE OF VALUE WORKSHEET'!B49</f>
        <v>GENERAL CONDITIONS</v>
      </c>
      <c r="C53" s="143"/>
      <c r="D53" s="104">
        <f>SUM('SCHEDULE OF VALUE WORKSHEET'!E49)</f>
        <v>362115.24</v>
      </c>
      <c r="E53" s="104">
        <f>SUM('Draw #13'!E53:F53)</f>
        <v>0</v>
      </c>
      <c r="F53" s="105">
        <v>0</v>
      </c>
      <c r="G53" s="104">
        <f>SUM('Draw #13'!G53)+F53</f>
        <v>362115.24</v>
      </c>
      <c r="H53" s="109">
        <f t="shared" si="0"/>
        <v>362115.24</v>
      </c>
      <c r="I53" s="110">
        <v>0</v>
      </c>
      <c r="J53" s="109">
        <f>SUM(I53+'Draw #13'!J53)</f>
        <v>0</v>
      </c>
      <c r="K53" s="101" t="str">
        <f t="shared" si="1"/>
        <v/>
      </c>
      <c r="L53" s="9"/>
      <c r="M53" s="9"/>
    </row>
    <row r="54" spans="1:13" ht="14.1" customHeight="1">
      <c r="A54" s="4">
        <f>'SCHEDULE OF VALUE WORKSHEET'!A50</f>
        <v>44</v>
      </c>
      <c r="B54" s="142" t="str">
        <f>'SCHEDULE OF VALUE WORKSHEET'!B50</f>
        <v>GENERAL REQUIREMENT</v>
      </c>
      <c r="C54" s="143"/>
      <c r="D54" s="104">
        <f>SUM('SCHEDULE OF VALUE WORKSHEET'!E50)</f>
        <v>124657.88</v>
      </c>
      <c r="E54" s="104">
        <f>SUM('Draw #13'!E54:F54)</f>
        <v>0</v>
      </c>
      <c r="F54" s="105">
        <v>0</v>
      </c>
      <c r="G54" s="104">
        <f>SUM('Draw #13'!G54)+F54</f>
        <v>124657.88</v>
      </c>
      <c r="H54" s="109">
        <f t="shared" si="0"/>
        <v>124657.88</v>
      </c>
      <c r="I54" s="110">
        <v>0</v>
      </c>
      <c r="J54" s="109">
        <f>SUM(I54+'Draw #13'!J54)</f>
        <v>0</v>
      </c>
      <c r="K54" s="101" t="str">
        <f t="shared" si="1"/>
        <v/>
      </c>
      <c r="L54" s="9"/>
      <c r="M54" s="9"/>
    </row>
    <row r="55" spans="1:13" ht="14.1" customHeight="1">
      <c r="A55" s="4">
        <f>'SCHEDULE OF VALUE WORKSHEET'!A51</f>
        <v>45</v>
      </c>
      <c r="B55" s="142" t="str">
        <f>'SCHEDULE OF VALUE WORKSHEET'!B51</f>
        <v>SITE WORK</v>
      </c>
      <c r="C55" s="143"/>
      <c r="D55" s="104">
        <f>SUM('SCHEDULE OF VALUE WORKSHEET'!E51)</f>
        <v>139049.51</v>
      </c>
      <c r="E55" s="104">
        <f>SUM('Draw #13'!E55:F55)</f>
        <v>0</v>
      </c>
      <c r="F55" s="105">
        <v>0</v>
      </c>
      <c r="G55" s="104">
        <f>SUM('Draw #13'!G55)+F55</f>
        <v>139049.51</v>
      </c>
      <c r="H55" s="109">
        <f t="shared" si="0"/>
        <v>139049.51</v>
      </c>
      <c r="I55" s="110">
        <v>0</v>
      </c>
      <c r="J55" s="109">
        <f>SUM(I55+'Draw #13'!J55)</f>
        <v>0</v>
      </c>
      <c r="K55" s="101" t="str">
        <f t="shared" si="1"/>
        <v/>
      </c>
      <c r="L55" s="9"/>
      <c r="M55" s="9"/>
    </row>
    <row r="56" spans="1:13" ht="14.1" customHeight="1">
      <c r="A56" s="4">
        <f>'SCHEDULE OF VALUE WORKSHEET'!A52</f>
        <v>46</v>
      </c>
      <c r="B56" s="142" t="str">
        <f>'SCHEDULE OF VALUE WORKSHEET'!B52</f>
        <v>CONCRETE</v>
      </c>
      <c r="C56" s="143"/>
      <c r="D56" s="104">
        <f>SUM('SCHEDULE OF VALUE WORKSHEET'!E52)</f>
        <v>253182</v>
      </c>
      <c r="E56" s="104">
        <f>SUM('Draw #13'!E56:F56)</f>
        <v>0</v>
      </c>
      <c r="F56" s="105">
        <v>0</v>
      </c>
      <c r="G56" s="104">
        <f>SUM('Draw #13'!G56)+F56</f>
        <v>253182</v>
      </c>
      <c r="H56" s="109">
        <f t="shared" si="0"/>
        <v>253182</v>
      </c>
      <c r="I56" s="110">
        <v>0</v>
      </c>
      <c r="J56" s="109">
        <f>SUM(I56+'Draw #13'!J56)</f>
        <v>0</v>
      </c>
      <c r="K56" s="101" t="str">
        <f t="shared" si="1"/>
        <v/>
      </c>
      <c r="L56" s="9"/>
      <c r="M56" s="9"/>
    </row>
    <row r="57" spans="1:13" ht="14.1" customHeight="1">
      <c r="A57" s="4">
        <f>'SCHEDULE OF VALUE WORKSHEET'!A53</f>
        <v>47</v>
      </c>
      <c r="B57" s="142" t="str">
        <f>'SCHEDULE OF VALUE WORKSHEET'!B53</f>
        <v>MASONRY</v>
      </c>
      <c r="C57" s="143"/>
      <c r="D57" s="104">
        <f>SUM('SCHEDULE OF VALUE WORKSHEET'!E53)</f>
        <v>3562.64</v>
      </c>
      <c r="E57" s="104">
        <f>SUM('Draw #13'!E57:F57)</f>
        <v>0</v>
      </c>
      <c r="F57" s="105">
        <v>0</v>
      </c>
      <c r="G57" s="104">
        <f>SUM('Draw #13'!G57)+F57</f>
        <v>3562.64</v>
      </c>
      <c r="H57" s="109">
        <f t="shared" si="0"/>
        <v>3562.64</v>
      </c>
      <c r="I57" s="110">
        <v>0</v>
      </c>
      <c r="J57" s="109">
        <f>SUM(I57+'Draw #13'!J57)</f>
        <v>0</v>
      </c>
      <c r="K57" s="101" t="str">
        <f t="shared" si="1"/>
        <v/>
      </c>
      <c r="L57" s="9"/>
      <c r="M57" s="9"/>
    </row>
    <row r="58" spans="1:13" ht="14.1" customHeight="1">
      <c r="A58" s="4">
        <f>'SCHEDULE OF VALUE WORKSHEET'!A54</f>
        <v>48</v>
      </c>
      <c r="B58" s="142" t="str">
        <f>'SCHEDULE OF VALUE WORKSHEET'!B54</f>
        <v>METALS</v>
      </c>
      <c r="C58" s="143"/>
      <c r="D58" s="104">
        <f>SUM('SCHEDULE OF VALUE WORKSHEET'!E54)</f>
        <v>324100</v>
      </c>
      <c r="E58" s="104">
        <f>SUM('Draw #13'!E58:F58)</f>
        <v>0</v>
      </c>
      <c r="F58" s="105">
        <v>0</v>
      </c>
      <c r="G58" s="104">
        <f>SUM('Draw #13'!G58)+F58</f>
        <v>324100</v>
      </c>
      <c r="H58" s="109">
        <f t="shared" si="0"/>
        <v>324100</v>
      </c>
      <c r="I58" s="110">
        <v>0</v>
      </c>
      <c r="J58" s="109">
        <f>SUM(I58+'Draw #13'!J58)</f>
        <v>0</v>
      </c>
      <c r="K58" s="101" t="str">
        <f t="shared" si="1"/>
        <v/>
      </c>
      <c r="L58" s="9"/>
      <c r="M58" s="9"/>
    </row>
    <row r="59" spans="1:13" ht="14.1" customHeight="1">
      <c r="A59" s="4">
        <f>'SCHEDULE OF VALUE WORKSHEET'!A55</f>
        <v>49</v>
      </c>
      <c r="B59" s="142" t="str">
        <f>'SCHEDULE OF VALUE WORKSHEET'!B55</f>
        <v>FRAMING</v>
      </c>
      <c r="C59" s="143"/>
      <c r="D59" s="104">
        <f>SUM('SCHEDULE OF VALUE WORKSHEET'!E55)</f>
        <v>818554</v>
      </c>
      <c r="E59" s="104">
        <f>SUM('Draw #13'!E59:F59)</f>
        <v>0</v>
      </c>
      <c r="F59" s="105">
        <v>0</v>
      </c>
      <c r="G59" s="104">
        <f>SUM('Draw #13'!G59)+F59</f>
        <v>818554</v>
      </c>
      <c r="H59" s="109">
        <f t="shared" si="0"/>
        <v>818554</v>
      </c>
      <c r="I59" s="110">
        <v>0</v>
      </c>
      <c r="J59" s="109">
        <f>SUM(I59+'Draw #13'!J59)</f>
        <v>0</v>
      </c>
      <c r="K59" s="101" t="str">
        <f t="shared" si="1"/>
        <v/>
      </c>
      <c r="L59" s="9"/>
      <c r="M59" s="9"/>
    </row>
    <row r="60" spans="1:13" ht="14.1" customHeight="1">
      <c r="A60" s="4">
        <f>'SCHEDULE OF VALUE WORKSHEET'!A56</f>
        <v>50</v>
      </c>
      <c r="B60" s="142" t="str">
        <f>'SCHEDULE OF VALUE WORKSHEET'!B56</f>
        <v>COUNTERTOPS</v>
      </c>
      <c r="C60" s="143"/>
      <c r="D60" s="104">
        <f>SUM('SCHEDULE OF VALUE WORKSHEET'!E56)</f>
        <v>56930</v>
      </c>
      <c r="E60" s="104">
        <f>SUM('Draw #13'!E60:F60)</f>
        <v>0</v>
      </c>
      <c r="F60" s="105">
        <v>0</v>
      </c>
      <c r="G60" s="104">
        <f>SUM('Draw #13'!G60)+F60</f>
        <v>56930</v>
      </c>
      <c r="H60" s="109">
        <f t="shared" si="0"/>
        <v>56930</v>
      </c>
      <c r="I60" s="110">
        <v>0</v>
      </c>
      <c r="J60" s="109">
        <f>SUM(I60+'Draw #13'!J60)</f>
        <v>0</v>
      </c>
      <c r="K60" s="101" t="str">
        <f t="shared" si="1"/>
        <v/>
      </c>
      <c r="L60" s="9"/>
      <c r="M60" s="9"/>
    </row>
    <row r="61" spans="1:13" ht="14.1" customHeight="1">
      <c r="A61" s="4">
        <f>'SCHEDULE OF VALUE WORKSHEET'!A57</f>
        <v>51</v>
      </c>
      <c r="B61" s="142" t="str">
        <f>'SCHEDULE OF VALUE WORKSHEET'!B57</f>
        <v>CABINETS</v>
      </c>
      <c r="C61" s="143"/>
      <c r="D61" s="104">
        <f>SUM('SCHEDULE OF VALUE WORKSHEET'!E57)</f>
        <v>56930</v>
      </c>
      <c r="E61" s="104">
        <f>SUM('Draw #13'!E61:F61)</f>
        <v>0</v>
      </c>
      <c r="F61" s="105">
        <v>0</v>
      </c>
      <c r="G61" s="104">
        <f>SUM('Draw #13'!G61)+F61</f>
        <v>56930</v>
      </c>
      <c r="H61" s="109">
        <f t="shared" si="0"/>
        <v>56930</v>
      </c>
      <c r="I61" s="110">
        <v>0</v>
      </c>
      <c r="J61" s="109">
        <f>SUM(I61+'Draw #13'!J61)</f>
        <v>0</v>
      </c>
      <c r="K61" s="101" t="str">
        <f t="shared" si="1"/>
        <v/>
      </c>
      <c r="L61" s="9"/>
      <c r="M61" s="9"/>
    </row>
    <row r="62" spans="1:13" ht="14.1" customHeight="1">
      <c r="A62" s="4">
        <f>'SCHEDULE OF VALUE WORKSHEET'!A58</f>
        <v>52</v>
      </c>
      <c r="B62" s="142" t="str">
        <f>'SCHEDULE OF VALUE WORKSHEET'!B58</f>
        <v>THERMAL MOISTURE PROTECTION</v>
      </c>
      <c r="C62" s="143"/>
      <c r="D62" s="104">
        <f>SUM('SCHEDULE OF VALUE WORKSHEET'!E58)</f>
        <v>173148</v>
      </c>
      <c r="E62" s="104">
        <f>SUM('Draw #13'!E62:F62)</f>
        <v>0</v>
      </c>
      <c r="F62" s="105">
        <v>0</v>
      </c>
      <c r="G62" s="104">
        <f>SUM('Draw #13'!G62)+F62</f>
        <v>173148</v>
      </c>
      <c r="H62" s="109">
        <f t="shared" si="0"/>
        <v>173148</v>
      </c>
      <c r="I62" s="110">
        <v>0</v>
      </c>
      <c r="J62" s="109">
        <f>SUM(I62+'Draw #13'!J62)</f>
        <v>0</v>
      </c>
      <c r="K62" s="101" t="str">
        <f t="shared" si="1"/>
        <v/>
      </c>
      <c r="L62" s="9"/>
      <c r="M62" s="9"/>
    </row>
    <row r="63" spans="1:13" ht="14.1" customHeight="1">
      <c r="A63" s="4">
        <f>'SCHEDULE OF VALUE WORKSHEET'!A59</f>
        <v>53</v>
      </c>
      <c r="B63" s="142" t="str">
        <f>'SCHEDULE OF VALUE WORKSHEET'!B59</f>
        <v>DOORS</v>
      </c>
      <c r="C63" s="143"/>
      <c r="D63" s="104">
        <f>SUM('SCHEDULE OF VALUE WORKSHEET'!E59)</f>
        <v>204087.33</v>
      </c>
      <c r="E63" s="104">
        <f>SUM('Draw #13'!E63:F63)</f>
        <v>0</v>
      </c>
      <c r="F63" s="105">
        <v>0</v>
      </c>
      <c r="G63" s="104">
        <f>SUM('Draw #13'!G63)+F63</f>
        <v>204087.33</v>
      </c>
      <c r="H63" s="109">
        <f t="shared" si="0"/>
        <v>204087.33</v>
      </c>
      <c r="I63" s="110">
        <v>0</v>
      </c>
      <c r="J63" s="109">
        <f>SUM(I63+'Draw #13'!J63)</f>
        <v>0</v>
      </c>
      <c r="K63" s="101" t="str">
        <f t="shared" si="1"/>
        <v/>
      </c>
      <c r="L63" s="9"/>
      <c r="M63" s="9"/>
    </row>
    <row r="64" spans="1:13" ht="14.1" customHeight="1">
      <c r="A64" s="4">
        <f>'SCHEDULE OF VALUE WORKSHEET'!A60</f>
        <v>54</v>
      </c>
      <c r="B64" s="142" t="str">
        <f>'SCHEDULE OF VALUE WORKSHEET'!B60</f>
        <v>WINDOWS</v>
      </c>
      <c r="C64" s="143"/>
      <c r="D64" s="104">
        <f>SUM('SCHEDULE OF VALUE WORKSHEET'!E60)</f>
        <v>106274.25</v>
      </c>
      <c r="E64" s="104">
        <f>SUM('Draw #13'!E64:F64)</f>
        <v>0</v>
      </c>
      <c r="F64" s="105">
        <v>0</v>
      </c>
      <c r="G64" s="104">
        <f>SUM('Draw #13'!G64)+F64</f>
        <v>106274.25</v>
      </c>
      <c r="H64" s="109">
        <f t="shared" si="0"/>
        <v>106274.25</v>
      </c>
      <c r="I64" s="110">
        <v>0</v>
      </c>
      <c r="J64" s="109">
        <f>SUM(I64+'Draw #13'!J64)</f>
        <v>0</v>
      </c>
      <c r="K64" s="101" t="str">
        <f t="shared" si="1"/>
        <v/>
      </c>
      <c r="L64" s="9"/>
      <c r="M64" s="9"/>
    </row>
    <row r="65" spans="1:13" ht="14.1" customHeight="1">
      <c r="A65" s="4">
        <f>'SCHEDULE OF VALUE WORKSHEET'!A61</f>
        <v>55</v>
      </c>
      <c r="B65" s="142" t="str">
        <f>'SCHEDULE OF VALUE WORKSHEET'!B61</f>
        <v>STUCCO</v>
      </c>
      <c r="C65" s="143"/>
      <c r="D65" s="104">
        <f>SUM('SCHEDULE OF VALUE WORKSHEET'!E61)</f>
        <v>208002</v>
      </c>
      <c r="E65" s="104">
        <f>SUM('Draw #13'!E65:F65)</f>
        <v>0</v>
      </c>
      <c r="F65" s="105">
        <v>0</v>
      </c>
      <c r="G65" s="104">
        <f>SUM('Draw #13'!G65)+F65</f>
        <v>208002</v>
      </c>
      <c r="H65" s="109">
        <f t="shared" si="0"/>
        <v>208002</v>
      </c>
      <c r="I65" s="110">
        <v>0</v>
      </c>
      <c r="J65" s="109">
        <f>SUM(I65+'Draw #13'!J65)</f>
        <v>0</v>
      </c>
      <c r="K65" s="101" t="str">
        <f t="shared" si="1"/>
        <v/>
      </c>
      <c r="L65" s="9"/>
      <c r="M65" s="9"/>
    </row>
    <row r="66" spans="1:13" ht="14.1" customHeight="1">
      <c r="A66" s="4">
        <f>'SCHEDULE OF VALUE WORKSHEET'!A62</f>
        <v>56</v>
      </c>
      <c r="B66" s="142" t="str">
        <f>'SCHEDULE OF VALUE WORKSHEET'!B62</f>
        <v>DRYWALL</v>
      </c>
      <c r="C66" s="143"/>
      <c r="D66" s="104">
        <f>SUM('SCHEDULE OF VALUE WORKSHEET'!E62)</f>
        <v>416355</v>
      </c>
      <c r="E66" s="104">
        <f>SUM('Draw #13'!E66:F66)</f>
        <v>0</v>
      </c>
      <c r="F66" s="105">
        <v>0</v>
      </c>
      <c r="G66" s="104">
        <f>SUM('Draw #13'!G66)+F66</f>
        <v>416355</v>
      </c>
      <c r="H66" s="109">
        <f t="shared" si="0"/>
        <v>416355</v>
      </c>
      <c r="I66" s="110">
        <v>0</v>
      </c>
      <c r="J66" s="109">
        <f>SUM(I66+'Draw #13'!J66)</f>
        <v>0</v>
      </c>
      <c r="K66" s="101" t="str">
        <f t="shared" si="1"/>
        <v/>
      </c>
      <c r="L66" s="9"/>
      <c r="M66" s="9"/>
    </row>
    <row r="67" spans="1:13" ht="14.1" customHeight="1">
      <c r="A67" s="4">
        <f>'SCHEDULE OF VALUE WORKSHEET'!A63</f>
        <v>57</v>
      </c>
      <c r="B67" s="142" t="str">
        <f>'SCHEDULE OF VALUE WORKSHEET'!B63</f>
        <v>PAINTING</v>
      </c>
      <c r="C67" s="143"/>
      <c r="D67" s="104">
        <f>SUM('SCHEDULE OF VALUE WORKSHEET'!E63)</f>
        <v>120700</v>
      </c>
      <c r="E67" s="104">
        <f>SUM('Draw #13'!E67:F67)</f>
        <v>0</v>
      </c>
      <c r="F67" s="105">
        <v>0</v>
      </c>
      <c r="G67" s="104">
        <f>SUM('Draw #13'!G67)+F67</f>
        <v>120700</v>
      </c>
      <c r="H67" s="109">
        <f t="shared" si="0"/>
        <v>120700</v>
      </c>
      <c r="I67" s="110">
        <v>0</v>
      </c>
      <c r="J67" s="109">
        <f>SUM(I67+'Draw #13'!J67)</f>
        <v>0</v>
      </c>
      <c r="K67" s="101" t="str">
        <f t="shared" si="1"/>
        <v/>
      </c>
      <c r="L67" s="9"/>
      <c r="M67" s="9"/>
    </row>
    <row r="68" spans="1:13" ht="14.1" customHeight="1">
      <c r="A68" s="4">
        <f>'SCHEDULE OF VALUE WORKSHEET'!A64</f>
        <v>58</v>
      </c>
      <c r="B68" s="142" t="str">
        <f>'SCHEDULE OF VALUE WORKSHEET'!B64</f>
        <v>FLOORING - common areas</v>
      </c>
      <c r="C68" s="143"/>
      <c r="D68" s="104">
        <f>SUM('SCHEDULE OF VALUE WORKSHEET'!E64)</f>
        <v>45150</v>
      </c>
      <c r="E68" s="104">
        <f>SUM('Draw #13'!E68:F68)</f>
        <v>0</v>
      </c>
      <c r="F68" s="105">
        <v>0</v>
      </c>
      <c r="G68" s="104">
        <f>SUM('Draw #13'!G68)+F68</f>
        <v>45150</v>
      </c>
      <c r="H68" s="109">
        <f t="shared" si="0"/>
        <v>45150</v>
      </c>
      <c r="I68" s="110">
        <v>0</v>
      </c>
      <c r="J68" s="109">
        <f>SUM(I68+'Draw #13'!J68)</f>
        <v>0</v>
      </c>
      <c r="K68" s="101" t="str">
        <f t="shared" si="1"/>
        <v/>
      </c>
      <c r="L68" s="9"/>
      <c r="M68" s="9"/>
    </row>
    <row r="69" spans="1:13" ht="14.1" customHeight="1">
      <c r="A69" s="4">
        <f>'SCHEDULE OF VALUE WORKSHEET'!A65</f>
        <v>59</v>
      </c>
      <c r="B69" s="142" t="str">
        <f>'SCHEDULE OF VALUE WORKSHEET'!B65</f>
        <v>FLOORING - Units with baseboards</v>
      </c>
      <c r="C69" s="143"/>
      <c r="D69" s="104">
        <f>SUM('SCHEDULE OF VALUE WORKSHEET'!E65)</f>
        <v>93335</v>
      </c>
      <c r="E69" s="104">
        <f>SUM('Draw #13'!E69:F69)</f>
        <v>0</v>
      </c>
      <c r="F69" s="105">
        <v>0</v>
      </c>
      <c r="G69" s="104">
        <f>SUM('Draw #13'!G69)+F69</f>
        <v>93335</v>
      </c>
      <c r="H69" s="109">
        <f t="shared" si="0"/>
        <v>93335</v>
      </c>
      <c r="I69" s="110">
        <v>0</v>
      </c>
      <c r="J69" s="109">
        <f>SUM(I69+'Draw #13'!J69)</f>
        <v>0</v>
      </c>
      <c r="K69" s="101" t="str">
        <f t="shared" si="1"/>
        <v/>
      </c>
      <c r="L69" s="9"/>
      <c r="M69" s="9"/>
    </row>
    <row r="70" spans="1:13" ht="14.1" customHeight="1">
      <c r="A70" s="4">
        <f>'SCHEDULE OF VALUE WORKSHEET'!A66</f>
        <v>60</v>
      </c>
      <c r="B70" s="142" t="str">
        <f>'SCHEDULE OF VALUE WORKSHEET'!B66</f>
        <v>SPECIALTIES</v>
      </c>
      <c r="C70" s="143"/>
      <c r="D70" s="104">
        <f>SUM('SCHEDULE OF VALUE WORKSHEET'!E66)</f>
        <v>25109.21</v>
      </c>
      <c r="E70" s="104">
        <f>SUM('Draw #13'!E70:F70)</f>
        <v>0</v>
      </c>
      <c r="F70" s="105">
        <v>0</v>
      </c>
      <c r="G70" s="104">
        <f>SUM('Draw #13'!G70)+F70</f>
        <v>25109.21</v>
      </c>
      <c r="H70" s="109">
        <f t="shared" si="0"/>
        <v>25109.21</v>
      </c>
      <c r="I70" s="110">
        <v>0</v>
      </c>
      <c r="J70" s="109">
        <f>SUM(I70+'Draw #13'!J70)</f>
        <v>0</v>
      </c>
      <c r="K70" s="101" t="str">
        <f t="shared" si="1"/>
        <v/>
      </c>
      <c r="L70" s="9"/>
      <c r="M70" s="9"/>
    </row>
    <row r="71" spans="1:13" ht="14.1" customHeight="1">
      <c r="A71" s="4">
        <f>'SCHEDULE OF VALUE WORKSHEET'!A67</f>
        <v>61</v>
      </c>
      <c r="B71" s="142" t="str">
        <f>'SCHEDULE OF VALUE WORKSHEET'!B67</f>
        <v>EQUIPMENT</v>
      </c>
      <c r="C71" s="143"/>
      <c r="D71" s="104">
        <f>SUM('SCHEDULE OF VALUE WORKSHEET'!E67)</f>
        <v>153636</v>
      </c>
      <c r="E71" s="104">
        <f>SUM('Draw #13'!E71:F71)</f>
        <v>0</v>
      </c>
      <c r="F71" s="105">
        <v>0</v>
      </c>
      <c r="G71" s="104">
        <f>SUM('Draw #13'!G71)+F71</f>
        <v>153636</v>
      </c>
      <c r="H71" s="109">
        <f t="shared" si="0"/>
        <v>153636</v>
      </c>
      <c r="I71" s="110">
        <v>0</v>
      </c>
      <c r="J71" s="109">
        <f>SUM(I71+'Draw #13'!J71)</f>
        <v>0</v>
      </c>
      <c r="K71" s="101" t="str">
        <f t="shared" si="1"/>
        <v/>
      </c>
      <c r="L71" s="9"/>
      <c r="M71" s="9"/>
    </row>
    <row r="72" spans="1:13" ht="14.1" customHeight="1">
      <c r="A72" s="4">
        <f>'SCHEDULE OF VALUE WORKSHEET'!A68</f>
        <v>62</v>
      </c>
      <c r="B72" s="142" t="str">
        <f>'SCHEDULE OF VALUE WORKSHEET'!B68</f>
        <v>FURNISHING</v>
      </c>
      <c r="C72" s="143"/>
      <c r="D72" s="104">
        <f>SUM('SCHEDULE OF VALUE WORKSHEET'!E68)</f>
        <v>0</v>
      </c>
      <c r="E72" s="104">
        <f>SUM('Draw #13'!E72:F72)</f>
        <v>0</v>
      </c>
      <c r="F72" s="105">
        <v>0</v>
      </c>
      <c r="G72" s="104">
        <f>SUM('Draw #13'!G72)+F72</f>
        <v>0</v>
      </c>
      <c r="H72" s="109">
        <f t="shared" si="0"/>
        <v>0</v>
      </c>
      <c r="I72" s="110">
        <v>0</v>
      </c>
      <c r="J72" s="109">
        <f>SUM(I72+'Draw #13'!J72)</f>
        <v>0</v>
      </c>
      <c r="K72" s="101" t="str">
        <f t="shared" si="1"/>
        <v/>
      </c>
      <c r="L72" s="9"/>
      <c r="M72" s="9"/>
    </row>
    <row r="73" spans="1:13" ht="14.1" customHeight="1">
      <c r="A73" s="4">
        <f>'SCHEDULE OF VALUE WORKSHEET'!A69</f>
        <v>63</v>
      </c>
      <c r="B73" s="142" t="str">
        <f>'SCHEDULE OF VALUE WORKSHEET'!B69</f>
        <v>FIRE SPRINKLERS</v>
      </c>
      <c r="C73" s="143"/>
      <c r="D73" s="104">
        <f>SUM('SCHEDULE OF VALUE WORKSHEET'!E69)</f>
        <v>108500</v>
      </c>
      <c r="E73" s="104">
        <f>SUM('Draw #13'!E73:F73)</f>
        <v>0</v>
      </c>
      <c r="F73" s="105">
        <v>0</v>
      </c>
      <c r="G73" s="104">
        <f>SUM('Draw #13'!G73)+F73</f>
        <v>108500</v>
      </c>
      <c r="H73" s="109">
        <f t="shared" si="0"/>
        <v>108500</v>
      </c>
      <c r="I73" s="110">
        <v>0</v>
      </c>
      <c r="J73" s="109">
        <f>SUM(I73+'Draw #13'!J73)</f>
        <v>0</v>
      </c>
      <c r="K73" s="101" t="str">
        <f t="shared" si="1"/>
        <v/>
      </c>
      <c r="L73" s="9"/>
      <c r="M73" s="9"/>
    </row>
    <row r="74" spans="1:13" ht="14.1" customHeight="1">
      <c r="A74" s="4">
        <f>'SCHEDULE OF VALUE WORKSHEET'!A70</f>
        <v>64</v>
      </c>
      <c r="B74" s="142" t="str">
        <f>'SCHEDULE OF VALUE WORKSHEET'!B70</f>
        <v>FIRE ALARM</v>
      </c>
      <c r="C74" s="143"/>
      <c r="D74" s="104">
        <f>SUM('SCHEDULE OF VALUE WORKSHEET'!E70)</f>
        <v>68401</v>
      </c>
      <c r="E74" s="104">
        <f>SUM('Draw #13'!E74:F74)</f>
        <v>0</v>
      </c>
      <c r="F74" s="105">
        <v>0</v>
      </c>
      <c r="G74" s="104">
        <f>SUM('Draw #13'!G74)+F74</f>
        <v>68401</v>
      </c>
      <c r="H74" s="109">
        <f t="shared" si="0"/>
        <v>68401</v>
      </c>
      <c r="I74" s="110">
        <v>0</v>
      </c>
      <c r="J74" s="109">
        <f>SUM(I74+'Draw #13'!J74)</f>
        <v>0</v>
      </c>
      <c r="K74" s="101" t="str">
        <f t="shared" si="1"/>
        <v/>
      </c>
      <c r="L74" s="9"/>
      <c r="M74" s="9"/>
    </row>
    <row r="75" spans="1:13" ht="14.1" customHeight="1">
      <c r="A75" s="4">
        <f>'SCHEDULE OF VALUE WORKSHEET'!A71</f>
        <v>65</v>
      </c>
      <c r="B75" s="142" t="str">
        <f>'SCHEDULE OF VALUE WORKSHEET'!B71</f>
        <v>SOLAR PANELS</v>
      </c>
      <c r="C75" s="143"/>
      <c r="D75" s="104">
        <f>SUM('SCHEDULE OF VALUE WORKSHEET'!E71)</f>
        <v>97000</v>
      </c>
      <c r="E75" s="104">
        <f>SUM('Draw #13'!E75:F75)</f>
        <v>0</v>
      </c>
      <c r="F75" s="105">
        <v>0</v>
      </c>
      <c r="G75" s="104">
        <f>SUM('Draw #13'!G75)+F75</f>
        <v>97000</v>
      </c>
      <c r="H75" s="109">
        <f t="shared" ref="H75:H135" si="2">SUM(G75-J75)</f>
        <v>97000</v>
      </c>
      <c r="I75" s="110">
        <v>0</v>
      </c>
      <c r="J75" s="109">
        <f>SUM(I75+'Draw #13'!J75)</f>
        <v>0</v>
      </c>
      <c r="K75" s="101" t="str">
        <f t="shared" ref="K75:K135" si="3">IF(J75=0,"",J75/G75)</f>
        <v/>
      </c>
      <c r="L75" s="9"/>
      <c r="M75" s="9"/>
    </row>
    <row r="76" spans="1:13" ht="14.1" customHeight="1">
      <c r="A76" s="4">
        <f>'SCHEDULE OF VALUE WORKSHEET'!A72</f>
        <v>66</v>
      </c>
      <c r="B76" s="142" t="str">
        <f>'SCHEDULE OF VALUE WORKSHEET'!B72</f>
        <v>SECURITY ACCESS &amp; SURVEILLANCE</v>
      </c>
      <c r="C76" s="143"/>
      <c r="D76" s="104">
        <f>SUM('SCHEDULE OF VALUE WORKSHEET'!E72)</f>
        <v>136430</v>
      </c>
      <c r="E76" s="104">
        <f>SUM('Draw #13'!E76:F76)</f>
        <v>0</v>
      </c>
      <c r="F76" s="105">
        <v>0</v>
      </c>
      <c r="G76" s="104">
        <f>SUM('Draw #13'!G76)+F76</f>
        <v>136430</v>
      </c>
      <c r="H76" s="109">
        <f t="shared" si="2"/>
        <v>136430</v>
      </c>
      <c r="I76" s="110">
        <v>0</v>
      </c>
      <c r="J76" s="109">
        <f>SUM(I76+'Draw #13'!J76)</f>
        <v>0</v>
      </c>
      <c r="K76" s="101" t="str">
        <f t="shared" si="3"/>
        <v/>
      </c>
      <c r="L76" s="9"/>
      <c r="M76" s="9"/>
    </row>
    <row r="77" spans="1:13" ht="14.1" customHeight="1">
      <c r="A77" s="4">
        <f>'SCHEDULE OF VALUE WORKSHEET'!A73</f>
        <v>67</v>
      </c>
      <c r="B77" s="142" t="str">
        <f>'SCHEDULE OF VALUE WORKSHEET'!B73</f>
        <v>ELEVATORS &amp; LIFT</v>
      </c>
      <c r="C77" s="143"/>
      <c r="D77" s="104">
        <f>SUM('SCHEDULE OF VALUE WORKSHEET'!E73)</f>
        <v>174882</v>
      </c>
      <c r="E77" s="104">
        <f>SUM('Draw #13'!E77:F77)</f>
        <v>0</v>
      </c>
      <c r="F77" s="105">
        <v>0</v>
      </c>
      <c r="G77" s="104">
        <f>SUM('Draw #13'!G77)+F77</f>
        <v>174882</v>
      </c>
      <c r="H77" s="109">
        <f t="shared" si="2"/>
        <v>174882</v>
      </c>
      <c r="I77" s="110">
        <v>0</v>
      </c>
      <c r="J77" s="109">
        <f>SUM(I77+'Draw #13'!J77)</f>
        <v>0</v>
      </c>
      <c r="K77" s="101" t="str">
        <f t="shared" si="3"/>
        <v/>
      </c>
      <c r="L77" s="9"/>
      <c r="M77" s="9"/>
    </row>
    <row r="78" spans="1:13" ht="14.1" customHeight="1">
      <c r="A78" s="4">
        <f>'SCHEDULE OF VALUE WORKSHEET'!A74</f>
        <v>68</v>
      </c>
      <c r="B78" s="142" t="str">
        <f>'SCHEDULE OF VALUE WORKSHEET'!B74</f>
        <v>WATER SUBMETER (material)</v>
      </c>
      <c r="C78" s="143"/>
      <c r="D78" s="104">
        <f>SUM('SCHEDULE OF VALUE WORKSHEET'!E74)</f>
        <v>12273</v>
      </c>
      <c r="E78" s="104">
        <f>SUM('Draw #13'!E78:F78)</f>
        <v>0</v>
      </c>
      <c r="F78" s="105">
        <v>0</v>
      </c>
      <c r="G78" s="104">
        <f>SUM('Draw #13'!G78)+F78</f>
        <v>12273</v>
      </c>
      <c r="H78" s="109">
        <f t="shared" si="2"/>
        <v>12273</v>
      </c>
      <c r="I78" s="110">
        <v>0</v>
      </c>
      <c r="J78" s="109">
        <f>SUM(I78+'Draw #13'!J78)</f>
        <v>0</v>
      </c>
      <c r="K78" s="101" t="str">
        <f t="shared" si="3"/>
        <v/>
      </c>
      <c r="L78" s="9"/>
      <c r="M78" s="9"/>
    </row>
    <row r="79" spans="1:13" ht="14.1" customHeight="1">
      <c r="A79" s="4">
        <f>'SCHEDULE OF VALUE WORKSHEET'!A75</f>
        <v>69</v>
      </c>
      <c r="B79" s="142" t="str">
        <f>'SCHEDULE OF VALUE WORKSHEET'!B75</f>
        <v>WATER SUBMETER (labor)</v>
      </c>
      <c r="C79" s="143"/>
      <c r="D79" s="104">
        <f>SUM('SCHEDULE OF VALUE WORKSHEET'!E75)</f>
        <v>0</v>
      </c>
      <c r="E79" s="104">
        <f>SUM('Draw #13'!E79:F79)</f>
        <v>0</v>
      </c>
      <c r="F79" s="105">
        <v>0</v>
      </c>
      <c r="G79" s="104">
        <f>SUM('Draw #13'!G79)+F79</f>
        <v>0</v>
      </c>
      <c r="H79" s="109">
        <f t="shared" si="2"/>
        <v>0</v>
      </c>
      <c r="I79" s="110">
        <v>0</v>
      </c>
      <c r="J79" s="109">
        <f>SUM(I79+'Draw #13'!J79)</f>
        <v>0</v>
      </c>
      <c r="K79" s="101" t="str">
        <f t="shared" si="3"/>
        <v/>
      </c>
      <c r="L79" s="9"/>
      <c r="M79" s="9"/>
    </row>
    <row r="80" spans="1:13" ht="14.1" customHeight="1">
      <c r="A80" s="4">
        <f>'SCHEDULE OF VALUE WORKSHEET'!A76</f>
        <v>70</v>
      </c>
      <c r="B80" s="142" t="str">
        <f>'SCHEDULE OF VALUE WORKSHEET'!B76</f>
        <v>ROUGH PLUMBING</v>
      </c>
      <c r="C80" s="143"/>
      <c r="D80" s="104">
        <f>SUM('SCHEDULE OF VALUE WORKSHEET'!E76)</f>
        <v>751927</v>
      </c>
      <c r="E80" s="104">
        <f>SUM('Draw #13'!E80:F80)</f>
        <v>0</v>
      </c>
      <c r="F80" s="105">
        <v>0</v>
      </c>
      <c r="G80" s="104">
        <f>SUM('Draw #13'!G80)+F80</f>
        <v>751927</v>
      </c>
      <c r="H80" s="109">
        <f t="shared" si="2"/>
        <v>751927</v>
      </c>
      <c r="I80" s="110">
        <v>0</v>
      </c>
      <c r="J80" s="109">
        <f>SUM(I80+'Draw #13'!J80)</f>
        <v>0</v>
      </c>
      <c r="K80" s="101" t="str">
        <f t="shared" si="3"/>
        <v/>
      </c>
      <c r="L80" s="9"/>
      <c r="M80" s="9"/>
    </row>
    <row r="81" spans="1:13" ht="14.1" customHeight="1">
      <c r="A81" s="4">
        <f>'SCHEDULE OF VALUE WORKSHEET'!A77</f>
        <v>71</v>
      </c>
      <c r="B81" s="142" t="str">
        <f>'SCHEDULE OF VALUE WORKSHEET'!B77</f>
        <v>FINISH PLUMBING</v>
      </c>
      <c r="C81" s="143"/>
      <c r="D81" s="104">
        <f>SUM('SCHEDULE OF VALUE WORKSHEET'!E77)</f>
        <v>90000</v>
      </c>
      <c r="E81" s="104">
        <f>SUM('Draw #13'!E81:F81)</f>
        <v>0</v>
      </c>
      <c r="F81" s="105">
        <v>0</v>
      </c>
      <c r="G81" s="104">
        <f>SUM('Draw #13'!G81)+F81</f>
        <v>90000</v>
      </c>
      <c r="H81" s="109">
        <f t="shared" si="2"/>
        <v>90000</v>
      </c>
      <c r="I81" s="110">
        <v>0</v>
      </c>
      <c r="J81" s="109">
        <f>SUM(I81+'Draw #13'!J81)</f>
        <v>0</v>
      </c>
      <c r="K81" s="101" t="str">
        <f t="shared" si="3"/>
        <v/>
      </c>
      <c r="L81" s="9"/>
      <c r="M81" s="9"/>
    </row>
    <row r="82" spans="1:13" ht="14.1" customHeight="1">
      <c r="A82" s="4">
        <f>'SCHEDULE OF VALUE WORKSHEET'!A78</f>
        <v>72</v>
      </c>
      <c r="B82" s="142" t="str">
        <f>'SCHEDULE OF VALUE WORKSHEET'!B78</f>
        <v>HVAC</v>
      </c>
      <c r="C82" s="143"/>
      <c r="D82" s="104">
        <f>SUM('SCHEDULE OF VALUE WORKSHEET'!E78)</f>
        <v>259000</v>
      </c>
      <c r="E82" s="104">
        <f>SUM('Draw #13'!E82:F82)</f>
        <v>0</v>
      </c>
      <c r="F82" s="105">
        <v>0</v>
      </c>
      <c r="G82" s="104">
        <f>SUM('Draw #13'!G82)+F82</f>
        <v>259000</v>
      </c>
      <c r="H82" s="109">
        <f t="shared" si="2"/>
        <v>259000</v>
      </c>
      <c r="I82" s="110">
        <v>0</v>
      </c>
      <c r="J82" s="109">
        <f>SUM(I82+'Draw #13'!J82)</f>
        <v>0</v>
      </c>
      <c r="K82" s="101" t="str">
        <f t="shared" si="3"/>
        <v/>
      </c>
      <c r="L82" s="9"/>
      <c r="M82" s="9"/>
    </row>
    <row r="83" spans="1:13" ht="14.1" customHeight="1">
      <c r="A83" s="4">
        <f>'SCHEDULE OF VALUE WORKSHEET'!A79</f>
        <v>73</v>
      </c>
      <c r="B83" s="142" t="str">
        <f>'SCHEDULE OF VALUE WORKSHEET'!B79</f>
        <v>ELECTRICAL</v>
      </c>
      <c r="C83" s="143"/>
      <c r="D83" s="104">
        <f>SUM('SCHEDULE OF VALUE WORKSHEET'!E79)</f>
        <v>880486.32</v>
      </c>
      <c r="E83" s="104">
        <f>SUM('Draw #13'!E83:F83)</f>
        <v>0</v>
      </c>
      <c r="F83" s="105">
        <v>0</v>
      </c>
      <c r="G83" s="104">
        <f>SUM('Draw #13'!G83)+F83</f>
        <v>880486.32</v>
      </c>
      <c r="H83" s="109">
        <f t="shared" si="2"/>
        <v>880486.32</v>
      </c>
      <c r="I83" s="110">
        <v>0</v>
      </c>
      <c r="J83" s="109">
        <f>SUM(I83+'Draw #13'!J83)</f>
        <v>0</v>
      </c>
      <c r="K83" s="101" t="str">
        <f t="shared" si="3"/>
        <v/>
      </c>
      <c r="L83" s="9"/>
      <c r="M83" s="9"/>
    </row>
    <row r="84" spans="1:13" ht="14.1" customHeight="1">
      <c r="A84" s="4">
        <f>'SCHEDULE OF VALUE WORKSHEET'!A80</f>
        <v>74</v>
      </c>
      <c r="B84" s="142" t="str">
        <f>'SCHEDULE OF VALUE WORKSHEET'!B80</f>
        <v xml:space="preserve">CONTINGENCY </v>
      </c>
      <c r="C84" s="143"/>
      <c r="D84" s="104">
        <f>SUM('SCHEDULE OF VALUE WORKSHEET'!E80)</f>
        <v>529215.20000000007</v>
      </c>
      <c r="E84" s="104">
        <f>SUM('Draw #13'!E84:F84)</f>
        <v>0</v>
      </c>
      <c r="F84" s="105">
        <v>0</v>
      </c>
      <c r="G84" s="104">
        <f>SUM('Draw #13'!G84)+F84</f>
        <v>529215.20000000007</v>
      </c>
      <c r="H84" s="109">
        <f t="shared" si="2"/>
        <v>529215.20000000007</v>
      </c>
      <c r="I84" s="110">
        <v>0</v>
      </c>
      <c r="J84" s="109">
        <f>SUM(I84+'Draw #13'!J84)</f>
        <v>0</v>
      </c>
      <c r="K84" s="101" t="str">
        <f t="shared" si="3"/>
        <v/>
      </c>
      <c r="L84" s="9"/>
      <c r="M84" s="9"/>
    </row>
    <row r="85" spans="1:13" ht="14.1" customHeight="1">
      <c r="A85" s="4">
        <f>'SCHEDULE OF VALUE WORKSHEET'!A81</f>
        <v>75</v>
      </c>
      <c r="B85" s="142" t="str">
        <f>'SCHEDULE OF VALUE WORKSHEET'!B81</f>
        <v>INSURANCE (GL w/auto, workers compl)</v>
      </c>
      <c r="C85" s="143"/>
      <c r="D85" s="104">
        <f>SUM('SCHEDULE OF VALUE WORKSHEET'!E81)</f>
        <v>97177.07</v>
      </c>
      <c r="E85" s="104">
        <f>SUM('Draw #13'!E85:F85)</f>
        <v>0</v>
      </c>
      <c r="F85" s="105">
        <v>0</v>
      </c>
      <c r="G85" s="104">
        <f>SUM('Draw #13'!G85)+F85</f>
        <v>97177.07</v>
      </c>
      <c r="H85" s="109">
        <f t="shared" si="2"/>
        <v>97177.07</v>
      </c>
      <c r="I85" s="110">
        <v>0</v>
      </c>
      <c r="J85" s="109">
        <f>SUM(I85+'Draw #13'!J85)</f>
        <v>0</v>
      </c>
      <c r="K85" s="101" t="str">
        <f t="shared" si="3"/>
        <v/>
      </c>
      <c r="L85" s="9"/>
      <c r="M85" s="9"/>
    </row>
    <row r="86" spans="1:13" ht="14.1" customHeight="1">
      <c r="A86" s="4">
        <f>'SCHEDULE OF VALUE WORKSHEET'!A82</f>
        <v>76</v>
      </c>
      <c r="B86" s="142" t="str">
        <f>'SCHEDULE OF VALUE WORKSHEET'!B82</f>
        <v>GROSS RECEIPT TAX</v>
      </c>
      <c r="C86" s="143"/>
      <c r="D86" s="104">
        <f>SUM('SCHEDULE OF VALUE WORKSHEET'!E82)</f>
        <v>6543.26</v>
      </c>
      <c r="E86" s="104">
        <f>SUM('Draw #13'!E86:F86)</f>
        <v>0</v>
      </c>
      <c r="F86" s="105">
        <v>0</v>
      </c>
      <c r="G86" s="104">
        <f>SUM('Draw #13'!G86)+F86</f>
        <v>6543.26</v>
      </c>
      <c r="H86" s="109">
        <f t="shared" si="2"/>
        <v>6543.26</v>
      </c>
      <c r="I86" s="110">
        <v>0</v>
      </c>
      <c r="J86" s="109">
        <f>SUM(I86+'Draw #13'!J86)</f>
        <v>0</v>
      </c>
      <c r="K86" s="101" t="str">
        <f t="shared" si="3"/>
        <v/>
      </c>
      <c r="L86" s="9"/>
      <c r="M86" s="9"/>
    </row>
    <row r="87" spans="1:13" ht="14.1" customHeight="1">
      <c r="A87" s="4">
        <f>'SCHEDULE OF VALUE WORKSHEET'!A83</f>
        <v>77</v>
      </c>
      <c r="B87" s="142" t="str">
        <f>'SCHEDULE OF VALUE WORKSHEET'!B83</f>
        <v>GC FEE</v>
      </c>
      <c r="C87" s="143"/>
      <c r="D87" s="104">
        <f>SUM('SCHEDULE OF VALUE WORKSHEET'!E83)</f>
        <v>388708.28</v>
      </c>
      <c r="E87" s="104">
        <f>SUM('Draw #13'!E87:F87)</f>
        <v>0</v>
      </c>
      <c r="F87" s="105">
        <v>0</v>
      </c>
      <c r="G87" s="104">
        <f>SUM('Draw #13'!G87)+F87</f>
        <v>388708.28</v>
      </c>
      <c r="H87" s="109">
        <f t="shared" si="2"/>
        <v>388708.28</v>
      </c>
      <c r="I87" s="110">
        <v>0</v>
      </c>
      <c r="J87" s="109">
        <f>SUM(I87+'Draw #13'!J87)</f>
        <v>0</v>
      </c>
      <c r="K87" s="101" t="str">
        <f t="shared" si="3"/>
        <v/>
      </c>
      <c r="L87" s="9"/>
      <c r="M87" s="9"/>
    </row>
    <row r="88" spans="1:13" ht="14.1" customHeight="1">
      <c r="A88" s="4">
        <f>'SCHEDULE OF VALUE WORKSHEET'!A84</f>
        <v>78</v>
      </c>
      <c r="B88" s="142" t="str">
        <f>'SCHEDULE OF VALUE WORKSHEET'!B84</f>
        <v>DEVELOPMENT FEE</v>
      </c>
      <c r="C88" s="143"/>
      <c r="D88" s="104">
        <f>SUM('SCHEDULE OF VALUE WORKSHEET'!E84)</f>
        <v>180523.5</v>
      </c>
      <c r="E88" s="104">
        <f>SUM('Draw #13'!E88:F88)</f>
        <v>0</v>
      </c>
      <c r="F88" s="105">
        <v>0</v>
      </c>
      <c r="G88" s="104">
        <f>SUM('Draw #13'!G88)+F88</f>
        <v>180523.5</v>
      </c>
      <c r="H88" s="109">
        <f t="shared" si="2"/>
        <v>180523.5</v>
      </c>
      <c r="I88" s="110">
        <v>0</v>
      </c>
      <c r="J88" s="109">
        <f>SUM(I88+'Draw #13'!J88)</f>
        <v>0</v>
      </c>
      <c r="K88" s="101" t="str">
        <f t="shared" si="3"/>
        <v/>
      </c>
      <c r="L88" s="9"/>
      <c r="M88" s="9"/>
    </row>
    <row r="89" spans="1:13" ht="14.1" customHeight="1">
      <c r="A89" s="4">
        <f>'SCHEDULE OF VALUE WORKSHEET'!A85</f>
        <v>79</v>
      </c>
      <c r="B89" s="142" t="str">
        <f>'SCHEDULE OF VALUE WORKSHEET'!B85</f>
        <v>CARRYING COSTS</v>
      </c>
      <c r="C89" s="143"/>
      <c r="D89" s="104">
        <f>SUM('SCHEDULE OF VALUE WORKSHEET'!E85)</f>
        <v>92885.53</v>
      </c>
      <c r="E89" s="104">
        <f>SUM('Draw #13'!E89:F89)</f>
        <v>0</v>
      </c>
      <c r="F89" s="105">
        <v>0</v>
      </c>
      <c r="G89" s="104">
        <f>SUM('Draw #13'!G89)+F89</f>
        <v>92885.53</v>
      </c>
      <c r="H89" s="109">
        <f t="shared" si="2"/>
        <v>92885.53</v>
      </c>
      <c r="I89" s="110">
        <v>0</v>
      </c>
      <c r="J89" s="109">
        <f>SUM(I89+'Draw #13'!J89)</f>
        <v>0</v>
      </c>
      <c r="K89" s="101" t="str">
        <f t="shared" si="3"/>
        <v/>
      </c>
      <c r="L89" s="9"/>
      <c r="M89" s="9"/>
    </row>
    <row r="90" spans="1:13" ht="14.1" customHeight="1">
      <c r="A90" s="4">
        <f>'SCHEDULE OF VALUE WORKSHEET'!A86</f>
        <v>80</v>
      </c>
      <c r="B90" s="142" t="str">
        <f>'SCHEDULE OF VALUE WORKSHEET'!B86</f>
        <v>FINANCING COSTS</v>
      </c>
      <c r="C90" s="143"/>
      <c r="D90" s="104">
        <f>SUM('SCHEDULE OF VALUE WORKSHEET'!E86)</f>
        <v>0</v>
      </c>
      <c r="E90" s="104">
        <f>SUM('Draw #13'!E90:F90)</f>
        <v>0</v>
      </c>
      <c r="F90" s="105">
        <v>0</v>
      </c>
      <c r="G90" s="104">
        <f>SUM('Draw #13'!G90)+F90</f>
        <v>0</v>
      </c>
      <c r="H90" s="109">
        <f t="shared" si="2"/>
        <v>0</v>
      </c>
      <c r="I90" s="110">
        <v>0</v>
      </c>
      <c r="J90" s="109">
        <f>SUM(I90+'Draw #13'!J90)</f>
        <v>0</v>
      </c>
      <c r="K90" s="101" t="str">
        <f t="shared" si="3"/>
        <v/>
      </c>
      <c r="L90" s="9"/>
      <c r="M90" s="9"/>
    </row>
    <row r="91" spans="1:13" ht="14.1" customHeight="1">
      <c r="A91" s="4" t="e">
        <f>'SCHEDULE OF VALUE WORKSHEET'!#REF!</f>
        <v>#REF!</v>
      </c>
      <c r="B91" s="142" t="e">
        <f>'SCHEDULE OF VALUE WORKSHEET'!#REF!</f>
        <v>#REF!</v>
      </c>
      <c r="C91" s="143"/>
      <c r="D91" s="104" t="e">
        <f>SUM('SCHEDULE OF VALUE WORKSHEET'!#REF!)</f>
        <v>#REF!</v>
      </c>
      <c r="E91" s="104">
        <f>SUM('Draw #13'!E91:F91)</f>
        <v>0</v>
      </c>
      <c r="F91" s="105">
        <v>0</v>
      </c>
      <c r="G91" s="104" t="e">
        <f>SUM('Draw #13'!G91)+F91</f>
        <v>#REF!</v>
      </c>
      <c r="H91" s="109" t="e">
        <f t="shared" si="2"/>
        <v>#REF!</v>
      </c>
      <c r="I91" s="110">
        <v>0</v>
      </c>
      <c r="J91" s="109">
        <f>SUM(I91+'Draw #13'!J91)</f>
        <v>0</v>
      </c>
      <c r="K91" s="101" t="str">
        <f t="shared" si="3"/>
        <v/>
      </c>
      <c r="L91" s="9"/>
      <c r="M91" s="9"/>
    </row>
    <row r="92" spans="1:13" ht="14.1" customHeight="1">
      <c r="A92" s="4" t="e">
        <f>'SCHEDULE OF VALUE WORKSHEET'!#REF!</f>
        <v>#REF!</v>
      </c>
      <c r="B92" s="142" t="e">
        <f>'SCHEDULE OF VALUE WORKSHEET'!#REF!</f>
        <v>#REF!</v>
      </c>
      <c r="C92" s="143"/>
      <c r="D92" s="104" t="e">
        <f>SUM('SCHEDULE OF VALUE WORKSHEET'!#REF!)</f>
        <v>#REF!</v>
      </c>
      <c r="E92" s="104">
        <f>SUM('Draw #13'!E92:F92)</f>
        <v>0</v>
      </c>
      <c r="F92" s="105">
        <v>0</v>
      </c>
      <c r="G92" s="104" t="e">
        <f>SUM('Draw #13'!G92)+F92</f>
        <v>#REF!</v>
      </c>
      <c r="H92" s="109" t="e">
        <f t="shared" si="2"/>
        <v>#REF!</v>
      </c>
      <c r="I92" s="110">
        <v>0</v>
      </c>
      <c r="J92" s="109">
        <f>SUM(I92+'Draw #13'!J92)</f>
        <v>0</v>
      </c>
      <c r="K92" s="101" t="str">
        <f t="shared" si="3"/>
        <v/>
      </c>
      <c r="L92" s="9"/>
      <c r="M92" s="9"/>
    </row>
    <row r="93" spans="1:13" ht="14.1" customHeight="1">
      <c r="A93" s="4" t="e">
        <f>'SCHEDULE OF VALUE WORKSHEET'!#REF!</f>
        <v>#REF!</v>
      </c>
      <c r="B93" s="142" t="e">
        <f>'SCHEDULE OF VALUE WORKSHEET'!#REF!</f>
        <v>#REF!</v>
      </c>
      <c r="C93" s="143"/>
      <c r="D93" s="104" t="e">
        <f>SUM('SCHEDULE OF VALUE WORKSHEET'!#REF!)</f>
        <v>#REF!</v>
      </c>
      <c r="E93" s="104">
        <f>SUM('Draw #13'!E93:F93)</f>
        <v>0</v>
      </c>
      <c r="F93" s="105">
        <v>0</v>
      </c>
      <c r="G93" s="104" t="e">
        <f>SUM('Draw #13'!G93)+F93</f>
        <v>#REF!</v>
      </c>
      <c r="H93" s="109" t="e">
        <f t="shared" si="2"/>
        <v>#REF!</v>
      </c>
      <c r="I93" s="110">
        <v>0</v>
      </c>
      <c r="J93" s="109">
        <f>SUM(I93+'Draw #13'!J93)</f>
        <v>0</v>
      </c>
      <c r="K93" s="101" t="str">
        <f t="shared" si="3"/>
        <v/>
      </c>
      <c r="L93" s="9"/>
      <c r="M93" s="9"/>
    </row>
    <row r="94" spans="1:13" ht="14.1" customHeight="1">
      <c r="A94" s="4" t="e">
        <f>'SCHEDULE OF VALUE WORKSHEET'!#REF!</f>
        <v>#REF!</v>
      </c>
      <c r="B94" s="142" t="e">
        <f>'SCHEDULE OF VALUE WORKSHEET'!#REF!</f>
        <v>#REF!</v>
      </c>
      <c r="C94" s="143"/>
      <c r="D94" s="104" t="e">
        <f>SUM('SCHEDULE OF VALUE WORKSHEET'!#REF!)</f>
        <v>#REF!</v>
      </c>
      <c r="E94" s="104">
        <f>SUM('Draw #13'!E94:F94)</f>
        <v>0</v>
      </c>
      <c r="F94" s="105">
        <v>0</v>
      </c>
      <c r="G94" s="104" t="e">
        <f>SUM('Draw #13'!G94)+F94</f>
        <v>#REF!</v>
      </c>
      <c r="H94" s="109" t="e">
        <f t="shared" si="2"/>
        <v>#REF!</v>
      </c>
      <c r="I94" s="110">
        <v>0</v>
      </c>
      <c r="J94" s="109">
        <f>SUM(I94+'Draw #13'!J94)</f>
        <v>0</v>
      </c>
      <c r="K94" s="101" t="str">
        <f t="shared" si="3"/>
        <v/>
      </c>
      <c r="L94" s="9"/>
      <c r="M94" s="9"/>
    </row>
    <row r="95" spans="1:13" ht="14.1" customHeight="1">
      <c r="A95" s="4" t="e">
        <f>'SCHEDULE OF VALUE WORKSHEET'!#REF!</f>
        <v>#REF!</v>
      </c>
      <c r="B95" s="142" t="e">
        <f>'SCHEDULE OF VALUE WORKSHEET'!#REF!</f>
        <v>#REF!</v>
      </c>
      <c r="C95" s="143"/>
      <c r="D95" s="104" t="e">
        <f>SUM('SCHEDULE OF VALUE WORKSHEET'!#REF!)</f>
        <v>#REF!</v>
      </c>
      <c r="E95" s="104">
        <f>SUM('Draw #13'!E95:F95)</f>
        <v>0</v>
      </c>
      <c r="F95" s="105">
        <v>0</v>
      </c>
      <c r="G95" s="104" t="e">
        <f>SUM('Draw #13'!G95)+F95</f>
        <v>#REF!</v>
      </c>
      <c r="H95" s="109" t="e">
        <f t="shared" si="2"/>
        <v>#REF!</v>
      </c>
      <c r="I95" s="110">
        <v>0</v>
      </c>
      <c r="J95" s="109">
        <f>SUM(I95+'Draw #13'!J95)</f>
        <v>0</v>
      </c>
      <c r="K95" s="101" t="str">
        <f t="shared" si="3"/>
        <v/>
      </c>
      <c r="L95" s="9"/>
      <c r="M95" s="9"/>
    </row>
    <row r="96" spans="1:13" ht="14.1" customHeight="1">
      <c r="A96" s="4" t="e">
        <f>'SCHEDULE OF VALUE WORKSHEET'!#REF!</f>
        <v>#REF!</v>
      </c>
      <c r="B96" s="142" t="e">
        <f>'SCHEDULE OF VALUE WORKSHEET'!#REF!</f>
        <v>#REF!</v>
      </c>
      <c r="C96" s="143"/>
      <c r="D96" s="104" t="e">
        <f>SUM('SCHEDULE OF VALUE WORKSHEET'!#REF!)</f>
        <v>#REF!</v>
      </c>
      <c r="E96" s="104">
        <f>SUM('Draw #13'!E96:F96)</f>
        <v>0</v>
      </c>
      <c r="F96" s="105">
        <v>0</v>
      </c>
      <c r="G96" s="104" t="e">
        <f>SUM('Draw #13'!G96)+F96</f>
        <v>#REF!</v>
      </c>
      <c r="H96" s="109" t="e">
        <f t="shared" si="2"/>
        <v>#REF!</v>
      </c>
      <c r="I96" s="110">
        <v>0</v>
      </c>
      <c r="J96" s="109">
        <f>SUM(I96+'Draw #13'!J96)</f>
        <v>0</v>
      </c>
      <c r="K96" s="101" t="str">
        <f t="shared" si="3"/>
        <v/>
      </c>
      <c r="L96" s="9"/>
      <c r="M96" s="9"/>
    </row>
    <row r="97" spans="1:13" ht="14.1" customHeight="1">
      <c r="A97" s="4" t="e">
        <f>'SCHEDULE OF VALUE WORKSHEET'!#REF!</f>
        <v>#REF!</v>
      </c>
      <c r="B97" s="142" t="e">
        <f>'SCHEDULE OF VALUE WORKSHEET'!#REF!</f>
        <v>#REF!</v>
      </c>
      <c r="C97" s="143"/>
      <c r="D97" s="104" t="e">
        <f>SUM('SCHEDULE OF VALUE WORKSHEET'!#REF!)</f>
        <v>#REF!</v>
      </c>
      <c r="E97" s="104">
        <f>SUM('Draw #13'!E97:F97)</f>
        <v>0</v>
      </c>
      <c r="F97" s="105">
        <v>0</v>
      </c>
      <c r="G97" s="104" t="e">
        <f>SUM('Draw #13'!G97)+F97</f>
        <v>#REF!</v>
      </c>
      <c r="H97" s="109" t="e">
        <f t="shared" si="2"/>
        <v>#REF!</v>
      </c>
      <c r="I97" s="110">
        <v>0</v>
      </c>
      <c r="J97" s="109">
        <f>SUM(I97+'Draw #13'!J97)</f>
        <v>0</v>
      </c>
      <c r="K97" s="101" t="str">
        <f t="shared" si="3"/>
        <v/>
      </c>
      <c r="L97" s="9"/>
      <c r="M97" s="9"/>
    </row>
    <row r="98" spans="1:13" ht="14.1" customHeight="1">
      <c r="A98" s="4" t="e">
        <f>'SCHEDULE OF VALUE WORKSHEET'!#REF!</f>
        <v>#REF!</v>
      </c>
      <c r="B98" s="142" t="e">
        <f>'SCHEDULE OF VALUE WORKSHEET'!#REF!</f>
        <v>#REF!</v>
      </c>
      <c r="C98" s="143"/>
      <c r="D98" s="104" t="e">
        <f>SUM('SCHEDULE OF VALUE WORKSHEET'!#REF!)</f>
        <v>#REF!</v>
      </c>
      <c r="E98" s="104">
        <f>SUM('Draw #13'!E98:F98)</f>
        <v>0</v>
      </c>
      <c r="F98" s="105">
        <v>0</v>
      </c>
      <c r="G98" s="104" t="e">
        <f>SUM('Draw #13'!G98)+F98</f>
        <v>#REF!</v>
      </c>
      <c r="H98" s="109" t="e">
        <f t="shared" si="2"/>
        <v>#REF!</v>
      </c>
      <c r="I98" s="110">
        <v>0</v>
      </c>
      <c r="J98" s="109">
        <f>SUM(I98+'Draw #13'!J98)</f>
        <v>0</v>
      </c>
      <c r="K98" s="101" t="str">
        <f t="shared" si="3"/>
        <v/>
      </c>
      <c r="L98" s="9"/>
      <c r="M98" s="9"/>
    </row>
    <row r="99" spans="1:13" ht="14.1" customHeight="1">
      <c r="A99" s="4" t="e">
        <f>'SCHEDULE OF VALUE WORKSHEET'!#REF!</f>
        <v>#REF!</v>
      </c>
      <c r="B99" s="142" t="e">
        <f>'SCHEDULE OF VALUE WORKSHEET'!#REF!</f>
        <v>#REF!</v>
      </c>
      <c r="C99" s="143"/>
      <c r="D99" s="104" t="e">
        <f>SUM('SCHEDULE OF VALUE WORKSHEET'!#REF!)</f>
        <v>#REF!</v>
      </c>
      <c r="E99" s="104">
        <f>SUM('Draw #13'!E99:F99)</f>
        <v>0</v>
      </c>
      <c r="F99" s="105">
        <v>0</v>
      </c>
      <c r="G99" s="104" t="e">
        <f>SUM('Draw #13'!G99)+F99</f>
        <v>#REF!</v>
      </c>
      <c r="H99" s="109" t="e">
        <f t="shared" si="2"/>
        <v>#REF!</v>
      </c>
      <c r="I99" s="110">
        <v>0</v>
      </c>
      <c r="J99" s="109">
        <f>SUM(I99+'Draw #13'!J99)</f>
        <v>0</v>
      </c>
      <c r="K99" s="101" t="str">
        <f t="shared" si="3"/>
        <v/>
      </c>
      <c r="L99" s="9"/>
      <c r="M99" s="9"/>
    </row>
    <row r="100" spans="1:13" ht="14.1" customHeight="1">
      <c r="A100" s="4" t="e">
        <f>'SCHEDULE OF VALUE WORKSHEET'!#REF!</f>
        <v>#REF!</v>
      </c>
      <c r="B100" s="142" t="e">
        <f>'SCHEDULE OF VALUE WORKSHEET'!#REF!</f>
        <v>#REF!</v>
      </c>
      <c r="C100" s="143"/>
      <c r="D100" s="104" t="e">
        <f>SUM('SCHEDULE OF VALUE WORKSHEET'!#REF!)</f>
        <v>#REF!</v>
      </c>
      <c r="E100" s="104">
        <f>SUM('Draw #13'!E100:F100)</f>
        <v>0</v>
      </c>
      <c r="F100" s="105">
        <v>0</v>
      </c>
      <c r="G100" s="104" t="e">
        <f>SUM('Draw #13'!G100)+F100</f>
        <v>#REF!</v>
      </c>
      <c r="H100" s="109" t="e">
        <f t="shared" si="2"/>
        <v>#REF!</v>
      </c>
      <c r="I100" s="110">
        <v>0</v>
      </c>
      <c r="J100" s="109">
        <f>SUM(I100+'Draw #13'!J100)</f>
        <v>0</v>
      </c>
      <c r="K100" s="101" t="str">
        <f t="shared" si="3"/>
        <v/>
      </c>
      <c r="L100" s="9"/>
      <c r="M100" s="9"/>
    </row>
    <row r="101" spans="1:13" ht="14.1" customHeight="1">
      <c r="A101" s="4" t="e">
        <f>'SCHEDULE OF VALUE WORKSHEET'!#REF!</f>
        <v>#REF!</v>
      </c>
      <c r="B101" s="142" t="e">
        <f>'SCHEDULE OF VALUE WORKSHEET'!#REF!</f>
        <v>#REF!</v>
      </c>
      <c r="C101" s="143"/>
      <c r="D101" s="104" t="e">
        <f>SUM('SCHEDULE OF VALUE WORKSHEET'!#REF!)</f>
        <v>#REF!</v>
      </c>
      <c r="E101" s="104">
        <f>SUM('Draw #13'!E101:F101)</f>
        <v>0</v>
      </c>
      <c r="F101" s="105">
        <v>0</v>
      </c>
      <c r="G101" s="104" t="e">
        <f>SUM('Draw #13'!G101)+F101</f>
        <v>#REF!</v>
      </c>
      <c r="H101" s="109" t="e">
        <f t="shared" si="2"/>
        <v>#REF!</v>
      </c>
      <c r="I101" s="110">
        <v>0</v>
      </c>
      <c r="J101" s="109">
        <f>SUM(I101+'Draw #13'!J101)</f>
        <v>0</v>
      </c>
      <c r="K101" s="101" t="str">
        <f t="shared" si="3"/>
        <v/>
      </c>
      <c r="L101" s="9"/>
      <c r="M101" s="9"/>
    </row>
    <row r="102" spans="1:13" ht="14.1" customHeight="1">
      <c r="A102" s="4" t="e">
        <f>'SCHEDULE OF VALUE WORKSHEET'!#REF!</f>
        <v>#REF!</v>
      </c>
      <c r="B102" s="142" t="e">
        <f>'SCHEDULE OF VALUE WORKSHEET'!#REF!</f>
        <v>#REF!</v>
      </c>
      <c r="C102" s="143"/>
      <c r="D102" s="104" t="e">
        <f>SUM('SCHEDULE OF VALUE WORKSHEET'!#REF!)</f>
        <v>#REF!</v>
      </c>
      <c r="E102" s="104">
        <f>SUM('Draw #13'!E102:F102)</f>
        <v>0</v>
      </c>
      <c r="F102" s="105">
        <v>0</v>
      </c>
      <c r="G102" s="104" t="e">
        <f>SUM('Draw #13'!G102)+F102</f>
        <v>#REF!</v>
      </c>
      <c r="H102" s="109" t="e">
        <f t="shared" si="2"/>
        <v>#REF!</v>
      </c>
      <c r="I102" s="110">
        <v>0</v>
      </c>
      <c r="J102" s="109">
        <f>SUM(I102+'Draw #13'!J102)</f>
        <v>0</v>
      </c>
      <c r="K102" s="101" t="str">
        <f t="shared" si="3"/>
        <v/>
      </c>
      <c r="L102" s="9"/>
      <c r="M102" s="9"/>
    </row>
    <row r="103" spans="1:13" ht="14.1" customHeight="1">
      <c r="A103" s="4" t="e">
        <f>'SCHEDULE OF VALUE WORKSHEET'!#REF!</f>
        <v>#REF!</v>
      </c>
      <c r="B103" s="142" t="e">
        <f>'SCHEDULE OF VALUE WORKSHEET'!#REF!</f>
        <v>#REF!</v>
      </c>
      <c r="C103" s="143"/>
      <c r="D103" s="104" t="e">
        <f>SUM('SCHEDULE OF VALUE WORKSHEET'!#REF!)</f>
        <v>#REF!</v>
      </c>
      <c r="E103" s="104">
        <f>SUM('Draw #13'!E103:F103)</f>
        <v>0</v>
      </c>
      <c r="F103" s="105">
        <v>0</v>
      </c>
      <c r="G103" s="104" t="e">
        <f>SUM('Draw #13'!G103)+F103</f>
        <v>#REF!</v>
      </c>
      <c r="H103" s="109" t="e">
        <f t="shared" si="2"/>
        <v>#REF!</v>
      </c>
      <c r="I103" s="110">
        <v>0</v>
      </c>
      <c r="J103" s="109">
        <f>SUM(I103+'Draw #13'!J103)</f>
        <v>0</v>
      </c>
      <c r="K103" s="101" t="str">
        <f t="shared" si="3"/>
        <v/>
      </c>
      <c r="L103" s="9"/>
      <c r="M103" s="9"/>
    </row>
    <row r="104" spans="1:13" ht="14.1" customHeight="1">
      <c r="A104" s="4" t="e">
        <f>'SCHEDULE OF VALUE WORKSHEET'!#REF!</f>
        <v>#REF!</v>
      </c>
      <c r="B104" s="142" t="e">
        <f>'SCHEDULE OF VALUE WORKSHEET'!#REF!</f>
        <v>#REF!</v>
      </c>
      <c r="C104" s="143"/>
      <c r="D104" s="104" t="e">
        <f>SUM('SCHEDULE OF VALUE WORKSHEET'!#REF!)</f>
        <v>#REF!</v>
      </c>
      <c r="E104" s="104">
        <f>SUM('Draw #13'!E104:F104)</f>
        <v>0</v>
      </c>
      <c r="F104" s="105">
        <v>0</v>
      </c>
      <c r="G104" s="104" t="e">
        <f>SUM('Draw #13'!G104)+F104</f>
        <v>#REF!</v>
      </c>
      <c r="H104" s="109" t="e">
        <f t="shared" si="2"/>
        <v>#REF!</v>
      </c>
      <c r="I104" s="110">
        <v>0</v>
      </c>
      <c r="J104" s="109">
        <f>SUM(I104+'Draw #13'!J104)</f>
        <v>0</v>
      </c>
      <c r="K104" s="101" t="str">
        <f t="shared" si="3"/>
        <v/>
      </c>
      <c r="L104" s="9"/>
      <c r="M104" s="9"/>
    </row>
    <row r="105" spans="1:13" ht="14.1" customHeight="1">
      <c r="A105" s="4" t="e">
        <f>'SCHEDULE OF VALUE WORKSHEET'!#REF!</f>
        <v>#REF!</v>
      </c>
      <c r="B105" s="142" t="e">
        <f>'SCHEDULE OF VALUE WORKSHEET'!#REF!</f>
        <v>#REF!</v>
      </c>
      <c r="C105" s="143"/>
      <c r="D105" s="104" t="e">
        <f>SUM('SCHEDULE OF VALUE WORKSHEET'!#REF!)</f>
        <v>#REF!</v>
      </c>
      <c r="E105" s="104">
        <f>SUM('Draw #13'!E105:F105)</f>
        <v>0</v>
      </c>
      <c r="F105" s="105">
        <v>0</v>
      </c>
      <c r="G105" s="104" t="e">
        <f>SUM('Draw #13'!G105)+F105</f>
        <v>#REF!</v>
      </c>
      <c r="H105" s="109" t="e">
        <f t="shared" si="2"/>
        <v>#REF!</v>
      </c>
      <c r="I105" s="110">
        <v>0</v>
      </c>
      <c r="J105" s="109">
        <f>SUM(I105+'Draw #13'!J105)</f>
        <v>0</v>
      </c>
      <c r="K105" s="101" t="str">
        <f t="shared" si="3"/>
        <v/>
      </c>
      <c r="L105" s="9"/>
      <c r="M105" s="9"/>
    </row>
    <row r="106" spans="1:13" ht="14.1" customHeight="1">
      <c r="A106" s="4" t="e">
        <f>'SCHEDULE OF VALUE WORKSHEET'!#REF!</f>
        <v>#REF!</v>
      </c>
      <c r="B106" s="142" t="e">
        <f>'SCHEDULE OF VALUE WORKSHEET'!#REF!</f>
        <v>#REF!</v>
      </c>
      <c r="C106" s="143"/>
      <c r="D106" s="104" t="e">
        <f>SUM('SCHEDULE OF VALUE WORKSHEET'!#REF!)</f>
        <v>#REF!</v>
      </c>
      <c r="E106" s="104">
        <f>SUM('Draw #13'!E106:F106)</f>
        <v>0</v>
      </c>
      <c r="F106" s="105">
        <v>0</v>
      </c>
      <c r="G106" s="104" t="e">
        <f>SUM('Draw #13'!G106)+F106</f>
        <v>#REF!</v>
      </c>
      <c r="H106" s="109" t="e">
        <f t="shared" si="2"/>
        <v>#REF!</v>
      </c>
      <c r="I106" s="110">
        <v>0</v>
      </c>
      <c r="J106" s="109">
        <f>SUM(I106+'Draw #13'!J106)</f>
        <v>0</v>
      </c>
      <c r="K106" s="101" t="str">
        <f t="shared" si="3"/>
        <v/>
      </c>
      <c r="L106" s="9"/>
      <c r="M106" s="9"/>
    </row>
    <row r="107" spans="1:13" ht="14.1" customHeight="1">
      <c r="A107" s="4" t="e">
        <f>'SCHEDULE OF VALUE WORKSHEET'!#REF!</f>
        <v>#REF!</v>
      </c>
      <c r="B107" s="142" t="e">
        <f>'SCHEDULE OF VALUE WORKSHEET'!#REF!</f>
        <v>#REF!</v>
      </c>
      <c r="C107" s="143"/>
      <c r="D107" s="104" t="e">
        <f>SUM('SCHEDULE OF VALUE WORKSHEET'!#REF!)</f>
        <v>#REF!</v>
      </c>
      <c r="E107" s="104">
        <f>SUM('Draw #13'!E107:F107)</f>
        <v>0</v>
      </c>
      <c r="F107" s="105">
        <v>0</v>
      </c>
      <c r="G107" s="104" t="e">
        <f>SUM('Draw #13'!G107)+F107</f>
        <v>#REF!</v>
      </c>
      <c r="H107" s="109" t="e">
        <f t="shared" si="2"/>
        <v>#REF!</v>
      </c>
      <c r="I107" s="110">
        <v>0</v>
      </c>
      <c r="J107" s="109">
        <f>SUM(I107+'Draw #13'!J107)</f>
        <v>0</v>
      </c>
      <c r="K107" s="101" t="str">
        <f t="shared" si="3"/>
        <v/>
      </c>
      <c r="L107" s="9"/>
      <c r="M107" s="9"/>
    </row>
    <row r="108" spans="1:13" ht="14.1" customHeight="1">
      <c r="A108" s="4" t="e">
        <f>'SCHEDULE OF VALUE WORKSHEET'!#REF!</f>
        <v>#REF!</v>
      </c>
      <c r="B108" s="142" t="e">
        <f>'SCHEDULE OF VALUE WORKSHEET'!#REF!</f>
        <v>#REF!</v>
      </c>
      <c r="C108" s="143"/>
      <c r="D108" s="104" t="e">
        <f>SUM('SCHEDULE OF VALUE WORKSHEET'!#REF!)</f>
        <v>#REF!</v>
      </c>
      <c r="E108" s="104">
        <f>SUM('Draw #13'!E108:F108)</f>
        <v>0</v>
      </c>
      <c r="F108" s="105">
        <v>0</v>
      </c>
      <c r="G108" s="104" t="e">
        <f>SUM('Draw #13'!G108)+F108</f>
        <v>#REF!</v>
      </c>
      <c r="H108" s="109" t="e">
        <f t="shared" si="2"/>
        <v>#REF!</v>
      </c>
      <c r="I108" s="110">
        <v>0</v>
      </c>
      <c r="J108" s="109">
        <f>SUM(I108+'Draw #13'!J108)</f>
        <v>0</v>
      </c>
      <c r="K108" s="101" t="str">
        <f t="shared" si="3"/>
        <v/>
      </c>
      <c r="L108" s="9"/>
      <c r="M108" s="9"/>
    </row>
    <row r="109" spans="1:13" ht="14.1" customHeight="1">
      <c r="A109" s="4" t="e">
        <f>'SCHEDULE OF VALUE WORKSHEET'!#REF!</f>
        <v>#REF!</v>
      </c>
      <c r="B109" s="142" t="e">
        <f>'SCHEDULE OF VALUE WORKSHEET'!#REF!</f>
        <v>#REF!</v>
      </c>
      <c r="C109" s="143"/>
      <c r="D109" s="104" t="e">
        <f>SUM('SCHEDULE OF VALUE WORKSHEET'!#REF!)</f>
        <v>#REF!</v>
      </c>
      <c r="E109" s="104">
        <f>SUM('Draw #13'!E109:F109)</f>
        <v>0</v>
      </c>
      <c r="F109" s="105">
        <v>0</v>
      </c>
      <c r="G109" s="104" t="e">
        <f>SUM('Draw #13'!G109)+F109</f>
        <v>#REF!</v>
      </c>
      <c r="H109" s="109" t="e">
        <f t="shared" si="2"/>
        <v>#REF!</v>
      </c>
      <c r="I109" s="110">
        <v>0</v>
      </c>
      <c r="J109" s="109">
        <f>SUM(I109+'Draw #13'!J109)</f>
        <v>0</v>
      </c>
      <c r="K109" s="101" t="str">
        <f t="shared" si="3"/>
        <v/>
      </c>
      <c r="L109" s="9"/>
      <c r="M109" s="9"/>
    </row>
    <row r="110" spans="1:13" ht="14.1" customHeight="1">
      <c r="A110" s="4" t="e">
        <f>'SCHEDULE OF VALUE WORKSHEET'!#REF!</f>
        <v>#REF!</v>
      </c>
      <c r="B110" s="142" t="e">
        <f>'SCHEDULE OF VALUE WORKSHEET'!#REF!</f>
        <v>#REF!</v>
      </c>
      <c r="C110" s="143"/>
      <c r="D110" s="104" t="e">
        <f>SUM('SCHEDULE OF VALUE WORKSHEET'!#REF!)</f>
        <v>#REF!</v>
      </c>
      <c r="E110" s="104">
        <f>SUM('Draw #13'!E110:F110)</f>
        <v>0</v>
      </c>
      <c r="F110" s="105">
        <v>0</v>
      </c>
      <c r="G110" s="104" t="e">
        <f>SUM('Draw #13'!G110)+F110</f>
        <v>#REF!</v>
      </c>
      <c r="H110" s="109" t="e">
        <f t="shared" si="2"/>
        <v>#REF!</v>
      </c>
      <c r="I110" s="110">
        <v>0</v>
      </c>
      <c r="J110" s="109">
        <f>SUM(I110+'Draw #13'!J110)</f>
        <v>0</v>
      </c>
      <c r="K110" s="101" t="str">
        <f t="shared" si="3"/>
        <v/>
      </c>
      <c r="L110" s="9"/>
      <c r="M110" s="9"/>
    </row>
    <row r="111" spans="1:13" ht="14.1" customHeight="1">
      <c r="A111" s="4" t="e">
        <f>'SCHEDULE OF VALUE WORKSHEET'!#REF!</f>
        <v>#REF!</v>
      </c>
      <c r="B111" s="142" t="e">
        <f>'SCHEDULE OF VALUE WORKSHEET'!#REF!</f>
        <v>#REF!</v>
      </c>
      <c r="C111" s="143"/>
      <c r="D111" s="104" t="e">
        <f>SUM('SCHEDULE OF VALUE WORKSHEET'!#REF!)</f>
        <v>#REF!</v>
      </c>
      <c r="E111" s="104">
        <f>SUM('Draw #13'!E111:F111)</f>
        <v>0</v>
      </c>
      <c r="F111" s="105">
        <v>0</v>
      </c>
      <c r="G111" s="104" t="e">
        <f>SUM('Draw #13'!G111)+F111</f>
        <v>#REF!</v>
      </c>
      <c r="H111" s="109" t="e">
        <f t="shared" si="2"/>
        <v>#REF!</v>
      </c>
      <c r="I111" s="110">
        <v>0</v>
      </c>
      <c r="J111" s="109">
        <f>SUM(I111+'Draw #13'!J111)</f>
        <v>0</v>
      </c>
      <c r="K111" s="101" t="str">
        <f t="shared" si="3"/>
        <v/>
      </c>
      <c r="L111" s="9"/>
      <c r="M111" s="9"/>
    </row>
    <row r="112" spans="1:13" ht="14.1" customHeight="1">
      <c r="A112" s="4" t="e">
        <f>'SCHEDULE OF VALUE WORKSHEET'!#REF!</f>
        <v>#REF!</v>
      </c>
      <c r="B112" s="142" t="e">
        <f>'SCHEDULE OF VALUE WORKSHEET'!#REF!</f>
        <v>#REF!</v>
      </c>
      <c r="C112" s="143"/>
      <c r="D112" s="104" t="e">
        <f>SUM('SCHEDULE OF VALUE WORKSHEET'!#REF!)</f>
        <v>#REF!</v>
      </c>
      <c r="E112" s="104">
        <f>SUM('Draw #13'!E112:F112)</f>
        <v>0</v>
      </c>
      <c r="F112" s="105">
        <v>0</v>
      </c>
      <c r="G112" s="104" t="e">
        <f>SUM('Draw #13'!G112)+F112</f>
        <v>#REF!</v>
      </c>
      <c r="H112" s="109" t="e">
        <f t="shared" si="2"/>
        <v>#REF!</v>
      </c>
      <c r="I112" s="110">
        <v>0</v>
      </c>
      <c r="J112" s="109">
        <f>SUM(I112+'Draw #13'!J112)</f>
        <v>0</v>
      </c>
      <c r="K112" s="101" t="str">
        <f t="shared" si="3"/>
        <v/>
      </c>
      <c r="L112" s="9"/>
      <c r="M112" s="9"/>
    </row>
    <row r="113" spans="1:13" ht="14.1" customHeight="1">
      <c r="A113" s="4" t="e">
        <f>'SCHEDULE OF VALUE WORKSHEET'!#REF!</f>
        <v>#REF!</v>
      </c>
      <c r="B113" s="142" t="e">
        <f>'SCHEDULE OF VALUE WORKSHEET'!#REF!</f>
        <v>#REF!</v>
      </c>
      <c r="C113" s="143"/>
      <c r="D113" s="104" t="e">
        <f>SUM('SCHEDULE OF VALUE WORKSHEET'!#REF!)</f>
        <v>#REF!</v>
      </c>
      <c r="E113" s="104">
        <f>SUM('Draw #13'!E113:F113)</f>
        <v>0</v>
      </c>
      <c r="F113" s="105">
        <v>0</v>
      </c>
      <c r="G113" s="104" t="e">
        <f>SUM('Draw #13'!G113)+F113</f>
        <v>#REF!</v>
      </c>
      <c r="H113" s="109" t="e">
        <f t="shared" si="2"/>
        <v>#REF!</v>
      </c>
      <c r="I113" s="110">
        <v>0</v>
      </c>
      <c r="J113" s="109">
        <f>SUM(I113+'Draw #13'!J113)</f>
        <v>0</v>
      </c>
      <c r="K113" s="101" t="str">
        <f t="shared" si="3"/>
        <v/>
      </c>
      <c r="L113" s="9"/>
      <c r="M113" s="9"/>
    </row>
    <row r="114" spans="1:13" ht="14.1" customHeight="1">
      <c r="A114" s="4" t="e">
        <f>'SCHEDULE OF VALUE WORKSHEET'!#REF!</f>
        <v>#REF!</v>
      </c>
      <c r="B114" s="142" t="e">
        <f>'SCHEDULE OF VALUE WORKSHEET'!#REF!</f>
        <v>#REF!</v>
      </c>
      <c r="C114" s="143"/>
      <c r="D114" s="104" t="e">
        <f>SUM('SCHEDULE OF VALUE WORKSHEET'!#REF!)</f>
        <v>#REF!</v>
      </c>
      <c r="E114" s="104">
        <f>SUM('Draw #13'!E114:F114)</f>
        <v>0</v>
      </c>
      <c r="F114" s="105">
        <v>0</v>
      </c>
      <c r="G114" s="104" t="e">
        <f>SUM('Draw #13'!G114)+F114</f>
        <v>#REF!</v>
      </c>
      <c r="H114" s="109" t="e">
        <f t="shared" si="2"/>
        <v>#REF!</v>
      </c>
      <c r="I114" s="110">
        <v>0</v>
      </c>
      <c r="J114" s="109">
        <f>SUM(I114+'Draw #13'!J114)</f>
        <v>0</v>
      </c>
      <c r="K114" s="101" t="str">
        <f t="shared" si="3"/>
        <v/>
      </c>
      <c r="L114" s="9"/>
      <c r="M114" s="9"/>
    </row>
    <row r="115" spans="1:13" ht="14.1" customHeight="1">
      <c r="A115" s="4" t="e">
        <f>'SCHEDULE OF VALUE WORKSHEET'!#REF!</f>
        <v>#REF!</v>
      </c>
      <c r="B115" s="142" t="e">
        <f>'SCHEDULE OF VALUE WORKSHEET'!#REF!</f>
        <v>#REF!</v>
      </c>
      <c r="C115" s="143"/>
      <c r="D115" s="104" t="e">
        <f>SUM('SCHEDULE OF VALUE WORKSHEET'!#REF!)</f>
        <v>#REF!</v>
      </c>
      <c r="E115" s="104">
        <f>SUM('Draw #13'!E115:F115)</f>
        <v>0</v>
      </c>
      <c r="F115" s="105">
        <v>0</v>
      </c>
      <c r="G115" s="104" t="e">
        <f>SUM('Draw #13'!G115)+F115</f>
        <v>#REF!</v>
      </c>
      <c r="H115" s="109" t="e">
        <f t="shared" si="2"/>
        <v>#REF!</v>
      </c>
      <c r="I115" s="110">
        <v>0</v>
      </c>
      <c r="J115" s="109">
        <f>SUM(I115+'Draw #13'!J115)</f>
        <v>0</v>
      </c>
      <c r="K115" s="101" t="str">
        <f t="shared" si="3"/>
        <v/>
      </c>
      <c r="L115" s="9"/>
      <c r="M115" s="9"/>
    </row>
    <row r="116" spans="1:13" ht="14.1" customHeight="1">
      <c r="A116" s="4" t="e">
        <f>'SCHEDULE OF VALUE WORKSHEET'!#REF!</f>
        <v>#REF!</v>
      </c>
      <c r="B116" s="142" t="e">
        <f>'SCHEDULE OF VALUE WORKSHEET'!#REF!</f>
        <v>#REF!</v>
      </c>
      <c r="C116" s="143"/>
      <c r="D116" s="104" t="e">
        <f>SUM('SCHEDULE OF VALUE WORKSHEET'!#REF!)</f>
        <v>#REF!</v>
      </c>
      <c r="E116" s="104">
        <f>SUM('Draw #13'!E116:F116)</f>
        <v>0</v>
      </c>
      <c r="F116" s="105">
        <v>0</v>
      </c>
      <c r="G116" s="104" t="e">
        <f>SUM('Draw #13'!G116)+F116</f>
        <v>#REF!</v>
      </c>
      <c r="H116" s="109" t="e">
        <f t="shared" si="2"/>
        <v>#REF!</v>
      </c>
      <c r="I116" s="110">
        <v>0</v>
      </c>
      <c r="J116" s="109">
        <f>SUM(I116+'Draw #13'!J116)</f>
        <v>0</v>
      </c>
      <c r="K116" s="101" t="str">
        <f t="shared" si="3"/>
        <v/>
      </c>
      <c r="L116" s="9"/>
      <c r="M116" s="9"/>
    </row>
    <row r="117" spans="1:13" ht="14.1" customHeight="1">
      <c r="A117" s="4">
        <f>'SCHEDULE OF VALUE WORKSHEET'!A87</f>
        <v>82</v>
      </c>
      <c r="B117" s="142" t="str">
        <f>'SCHEDULE OF VALUE WORKSHEET'!B87</f>
        <v xml:space="preserve">Open Item </v>
      </c>
      <c r="C117" s="143"/>
      <c r="D117" s="104">
        <f>SUM('SCHEDULE OF VALUE WORKSHEET'!E87)</f>
        <v>0</v>
      </c>
      <c r="E117" s="104">
        <f>SUM('Draw #13'!E117:F117)</f>
        <v>0</v>
      </c>
      <c r="F117" s="105">
        <v>0</v>
      </c>
      <c r="G117" s="104">
        <f>SUM('Draw #13'!G117)+F117</f>
        <v>0</v>
      </c>
      <c r="H117" s="109">
        <f t="shared" si="2"/>
        <v>0</v>
      </c>
      <c r="I117" s="110">
        <v>0</v>
      </c>
      <c r="J117" s="109">
        <f>SUM(I117+'Draw #13'!J117)</f>
        <v>0</v>
      </c>
      <c r="K117" s="101" t="str">
        <f t="shared" si="3"/>
        <v/>
      </c>
      <c r="L117" s="9"/>
      <c r="M117" s="9"/>
    </row>
    <row r="118" spans="1:13" ht="14.1" customHeight="1">
      <c r="A118" s="4">
        <f>'SCHEDULE OF VALUE WORKSHEET'!A88</f>
        <v>83</v>
      </c>
      <c r="B118" s="142" t="str">
        <f>'SCHEDULE OF VALUE WORKSHEET'!B88</f>
        <v xml:space="preserve">Open Item </v>
      </c>
      <c r="C118" s="143"/>
      <c r="D118" s="104">
        <f>SUM('SCHEDULE OF VALUE WORKSHEET'!E88)</f>
        <v>0</v>
      </c>
      <c r="E118" s="104">
        <f>SUM('Draw #13'!E118:F118)</f>
        <v>0</v>
      </c>
      <c r="F118" s="105">
        <v>0</v>
      </c>
      <c r="G118" s="104">
        <f>SUM('Draw #13'!G118)+F118</f>
        <v>0</v>
      </c>
      <c r="H118" s="109">
        <f t="shared" si="2"/>
        <v>0</v>
      </c>
      <c r="I118" s="110">
        <v>0</v>
      </c>
      <c r="J118" s="109">
        <f>SUM(I118+'Draw #13'!J118)</f>
        <v>0</v>
      </c>
      <c r="K118" s="101" t="str">
        <f t="shared" si="3"/>
        <v/>
      </c>
      <c r="L118" s="9"/>
      <c r="M118" s="9"/>
    </row>
    <row r="119" spans="1:13" ht="14.1" customHeight="1">
      <c r="A119" s="4">
        <f>'SCHEDULE OF VALUE WORKSHEET'!A89</f>
        <v>84</v>
      </c>
      <c r="B119" s="142" t="str">
        <f>'SCHEDULE OF VALUE WORKSHEET'!B89</f>
        <v xml:space="preserve">Open Item </v>
      </c>
      <c r="C119" s="143"/>
      <c r="D119" s="104">
        <f>SUM('SCHEDULE OF VALUE WORKSHEET'!E89)</f>
        <v>0</v>
      </c>
      <c r="E119" s="104">
        <f>SUM('Draw #13'!E119:F119)</f>
        <v>0</v>
      </c>
      <c r="F119" s="105">
        <v>0</v>
      </c>
      <c r="G119" s="104">
        <f>SUM('Draw #13'!G119)+F119</f>
        <v>0</v>
      </c>
      <c r="H119" s="109">
        <f t="shared" si="2"/>
        <v>0</v>
      </c>
      <c r="I119" s="110">
        <v>0</v>
      </c>
      <c r="J119" s="109">
        <f>SUM(I119+'Draw #13'!J119)</f>
        <v>0</v>
      </c>
      <c r="K119" s="101" t="str">
        <f t="shared" si="3"/>
        <v/>
      </c>
      <c r="L119" s="9"/>
      <c r="M119" s="9"/>
    </row>
    <row r="120" spans="1:13" ht="14.1" customHeight="1">
      <c r="A120" s="4">
        <f>'SCHEDULE OF VALUE WORKSHEET'!A90</f>
        <v>85</v>
      </c>
      <c r="B120" s="142" t="str">
        <f>'SCHEDULE OF VALUE WORKSHEET'!B90</f>
        <v xml:space="preserve">Open Item </v>
      </c>
      <c r="C120" s="143"/>
      <c r="D120" s="104">
        <f>SUM('SCHEDULE OF VALUE WORKSHEET'!E90)</f>
        <v>0</v>
      </c>
      <c r="E120" s="104">
        <f>SUM('Draw #13'!E120:F120)</f>
        <v>0</v>
      </c>
      <c r="F120" s="105">
        <v>0</v>
      </c>
      <c r="G120" s="104">
        <f>SUM('Draw #13'!G120)+F120</f>
        <v>0</v>
      </c>
      <c r="H120" s="109">
        <f t="shared" si="2"/>
        <v>0</v>
      </c>
      <c r="I120" s="110">
        <v>0</v>
      </c>
      <c r="J120" s="109">
        <f>SUM(I120+'Draw #13'!J120)</f>
        <v>0</v>
      </c>
      <c r="K120" s="101" t="str">
        <f t="shared" si="3"/>
        <v/>
      </c>
      <c r="L120" s="9"/>
      <c r="M120" s="9"/>
    </row>
    <row r="121" spans="1:13" ht="14.1" customHeight="1">
      <c r="A121" s="4">
        <f>'SCHEDULE OF VALUE WORKSHEET'!A91</f>
        <v>86</v>
      </c>
      <c r="B121" s="142" t="str">
        <f>'SCHEDULE OF VALUE WORKSHEET'!B91</f>
        <v xml:space="preserve">Open Item </v>
      </c>
      <c r="C121" s="143"/>
      <c r="D121" s="104">
        <f>SUM('SCHEDULE OF VALUE WORKSHEET'!E91)</f>
        <v>0</v>
      </c>
      <c r="E121" s="104">
        <f>SUM('Draw #13'!E121:F121)</f>
        <v>0</v>
      </c>
      <c r="F121" s="105">
        <v>0</v>
      </c>
      <c r="G121" s="104">
        <f>SUM('Draw #13'!G121)+F121</f>
        <v>0</v>
      </c>
      <c r="H121" s="109">
        <f t="shared" si="2"/>
        <v>0</v>
      </c>
      <c r="I121" s="110">
        <v>0</v>
      </c>
      <c r="J121" s="109">
        <f>SUM(I121+'Draw #13'!J121)</f>
        <v>0</v>
      </c>
      <c r="K121" s="101" t="str">
        <f t="shared" si="3"/>
        <v/>
      </c>
      <c r="L121" s="9"/>
      <c r="M121" s="9"/>
    </row>
    <row r="122" spans="1:13" ht="14.1" customHeight="1">
      <c r="A122" s="4">
        <f>'SCHEDULE OF VALUE WORKSHEET'!A92</f>
        <v>87</v>
      </c>
      <c r="B122" s="142" t="str">
        <f>'SCHEDULE OF VALUE WORKSHEET'!B92</f>
        <v xml:space="preserve">Open Item </v>
      </c>
      <c r="C122" s="143"/>
      <c r="D122" s="104">
        <f>SUM('SCHEDULE OF VALUE WORKSHEET'!E92)</f>
        <v>0</v>
      </c>
      <c r="E122" s="104">
        <f>SUM('Draw #13'!E122:F122)</f>
        <v>0</v>
      </c>
      <c r="F122" s="105">
        <v>0</v>
      </c>
      <c r="G122" s="104">
        <f>SUM('Draw #13'!G122)+F122</f>
        <v>0</v>
      </c>
      <c r="H122" s="109">
        <f t="shared" si="2"/>
        <v>0</v>
      </c>
      <c r="I122" s="110">
        <v>0</v>
      </c>
      <c r="J122" s="109">
        <f>SUM(I122+'Draw #13'!J122)</f>
        <v>0</v>
      </c>
      <c r="K122" s="101" t="str">
        <f t="shared" si="3"/>
        <v/>
      </c>
      <c r="L122" s="9"/>
      <c r="M122" s="9"/>
    </row>
    <row r="123" spans="1:13" ht="14.1" customHeight="1">
      <c r="A123" s="4">
        <f>'SCHEDULE OF VALUE WORKSHEET'!A93</f>
        <v>88</v>
      </c>
      <c r="B123" s="142" t="str">
        <f>'SCHEDULE OF VALUE WORKSHEET'!B93</f>
        <v xml:space="preserve">Open Item </v>
      </c>
      <c r="C123" s="143"/>
      <c r="D123" s="104">
        <f>SUM('SCHEDULE OF VALUE WORKSHEET'!E93)</f>
        <v>0</v>
      </c>
      <c r="E123" s="104">
        <f>SUM('Draw #13'!E123:F123)</f>
        <v>0</v>
      </c>
      <c r="F123" s="105">
        <v>0</v>
      </c>
      <c r="G123" s="104">
        <f>SUM('Draw #13'!G123)+F123</f>
        <v>0</v>
      </c>
      <c r="H123" s="109">
        <f t="shared" si="2"/>
        <v>0</v>
      </c>
      <c r="I123" s="110">
        <v>0</v>
      </c>
      <c r="J123" s="109">
        <f>SUM(I123+'Draw #13'!J123)</f>
        <v>0</v>
      </c>
      <c r="K123" s="101" t="str">
        <f t="shared" si="3"/>
        <v/>
      </c>
      <c r="L123" s="9"/>
      <c r="M123" s="9"/>
    </row>
    <row r="124" spans="1:13" ht="14.1" customHeight="1">
      <c r="A124" s="4">
        <f>'SCHEDULE OF VALUE WORKSHEET'!A94</f>
        <v>89</v>
      </c>
      <c r="B124" s="142" t="str">
        <f>'SCHEDULE OF VALUE WORKSHEET'!B94</f>
        <v xml:space="preserve">Open Item </v>
      </c>
      <c r="C124" s="143"/>
      <c r="D124" s="104">
        <f>SUM('SCHEDULE OF VALUE WORKSHEET'!E94)</f>
        <v>0</v>
      </c>
      <c r="E124" s="104">
        <f>SUM('Draw #13'!E124:F124)</f>
        <v>0</v>
      </c>
      <c r="F124" s="105">
        <v>0</v>
      </c>
      <c r="G124" s="104">
        <f>SUM('Draw #13'!G124)+F124</f>
        <v>0</v>
      </c>
      <c r="H124" s="109">
        <f t="shared" si="2"/>
        <v>0</v>
      </c>
      <c r="I124" s="110">
        <v>0</v>
      </c>
      <c r="J124" s="109">
        <f>SUM(I124+'Draw #13'!J124)</f>
        <v>0</v>
      </c>
      <c r="K124" s="101" t="str">
        <f t="shared" si="3"/>
        <v/>
      </c>
      <c r="L124" s="9"/>
      <c r="M124" s="9"/>
    </row>
    <row r="125" spans="1:13" ht="14.1" customHeight="1">
      <c r="A125" s="4">
        <f>'SCHEDULE OF VALUE WORKSHEET'!A95</f>
        <v>90</v>
      </c>
      <c r="B125" s="142" t="str">
        <f>'SCHEDULE OF VALUE WORKSHEET'!B95</f>
        <v xml:space="preserve">Open Item </v>
      </c>
      <c r="C125" s="143"/>
      <c r="D125" s="104">
        <f>SUM('SCHEDULE OF VALUE WORKSHEET'!E95)</f>
        <v>0</v>
      </c>
      <c r="E125" s="104">
        <f>SUM('Draw #13'!E125:F125)</f>
        <v>0</v>
      </c>
      <c r="F125" s="105">
        <v>0</v>
      </c>
      <c r="G125" s="104">
        <f>SUM('Draw #13'!G125)+F125</f>
        <v>0</v>
      </c>
      <c r="H125" s="109">
        <f t="shared" si="2"/>
        <v>0</v>
      </c>
      <c r="I125" s="110">
        <v>0</v>
      </c>
      <c r="J125" s="109">
        <f>SUM(I125+'Draw #13'!J125)</f>
        <v>0</v>
      </c>
      <c r="K125" s="101" t="str">
        <f t="shared" si="3"/>
        <v/>
      </c>
      <c r="L125" s="9"/>
      <c r="M125" s="9"/>
    </row>
    <row r="126" spans="1:13" ht="14.1" customHeight="1">
      <c r="A126" s="4">
        <f>'SCHEDULE OF VALUE WORKSHEET'!A96</f>
        <v>91</v>
      </c>
      <c r="B126" s="142" t="str">
        <f>'SCHEDULE OF VALUE WORKSHEET'!B96</f>
        <v xml:space="preserve">Open Item </v>
      </c>
      <c r="C126" s="143"/>
      <c r="D126" s="104">
        <f>SUM('SCHEDULE OF VALUE WORKSHEET'!E96)</f>
        <v>0</v>
      </c>
      <c r="E126" s="104">
        <f>SUM('Draw #13'!E126:F126)</f>
        <v>0</v>
      </c>
      <c r="F126" s="105">
        <v>0</v>
      </c>
      <c r="G126" s="104">
        <f>SUM('Draw #13'!G126)+F126</f>
        <v>0</v>
      </c>
      <c r="H126" s="109">
        <f t="shared" si="2"/>
        <v>0</v>
      </c>
      <c r="I126" s="110">
        <v>0</v>
      </c>
      <c r="J126" s="109">
        <f>SUM(I126+'Draw #13'!J126)</f>
        <v>0</v>
      </c>
      <c r="K126" s="101" t="str">
        <f t="shared" si="3"/>
        <v/>
      </c>
      <c r="L126" s="9"/>
      <c r="M126" s="9"/>
    </row>
    <row r="127" spans="1:13" ht="14.1" customHeight="1">
      <c r="A127" s="4">
        <f>'SCHEDULE OF VALUE WORKSHEET'!A97</f>
        <v>92</v>
      </c>
      <c r="B127" s="142" t="str">
        <f>'SCHEDULE OF VALUE WORKSHEET'!B97</f>
        <v xml:space="preserve">Open Item </v>
      </c>
      <c r="C127" s="143"/>
      <c r="D127" s="104">
        <f>SUM('SCHEDULE OF VALUE WORKSHEET'!E97)</f>
        <v>0</v>
      </c>
      <c r="E127" s="104">
        <f>SUM('Draw #13'!E127:F127)</f>
        <v>0</v>
      </c>
      <c r="F127" s="105">
        <v>0</v>
      </c>
      <c r="G127" s="104">
        <f>SUM('Draw #13'!G127)+F127</f>
        <v>0</v>
      </c>
      <c r="H127" s="109">
        <f t="shared" si="2"/>
        <v>0</v>
      </c>
      <c r="I127" s="110">
        <v>0</v>
      </c>
      <c r="J127" s="109">
        <f>SUM(I127+'Draw #13'!J127)</f>
        <v>0</v>
      </c>
      <c r="K127" s="101" t="str">
        <f t="shared" si="3"/>
        <v/>
      </c>
      <c r="L127" s="9"/>
      <c r="M127" s="9"/>
    </row>
    <row r="128" spans="1:13" ht="14.1" customHeight="1">
      <c r="A128" s="4">
        <f>'SCHEDULE OF VALUE WORKSHEET'!A98</f>
        <v>93</v>
      </c>
      <c r="B128" s="142" t="str">
        <f>'SCHEDULE OF VALUE WORKSHEET'!B98</f>
        <v xml:space="preserve">Open Item </v>
      </c>
      <c r="C128" s="143"/>
      <c r="D128" s="104">
        <f>SUM('SCHEDULE OF VALUE WORKSHEET'!E98)</f>
        <v>0</v>
      </c>
      <c r="E128" s="104">
        <f>SUM('Draw #13'!E128:F128)</f>
        <v>0</v>
      </c>
      <c r="F128" s="105">
        <v>0</v>
      </c>
      <c r="G128" s="104">
        <f>SUM('Draw #13'!G128)+F128</f>
        <v>0</v>
      </c>
      <c r="H128" s="109">
        <f t="shared" si="2"/>
        <v>0</v>
      </c>
      <c r="I128" s="110">
        <v>0</v>
      </c>
      <c r="J128" s="109">
        <f>SUM(I128+'Draw #13'!J128)</f>
        <v>0</v>
      </c>
      <c r="K128" s="101" t="str">
        <f t="shared" si="3"/>
        <v/>
      </c>
      <c r="L128" s="9"/>
      <c r="M128" s="9"/>
    </row>
    <row r="129" spans="1:13" ht="14.1" customHeight="1">
      <c r="A129" s="4">
        <f>'SCHEDULE OF VALUE WORKSHEET'!A99</f>
        <v>94</v>
      </c>
      <c r="B129" s="142" t="str">
        <f>'SCHEDULE OF VALUE WORKSHEET'!B99</f>
        <v xml:space="preserve">Open Item </v>
      </c>
      <c r="C129" s="143"/>
      <c r="D129" s="104">
        <f>SUM('SCHEDULE OF VALUE WORKSHEET'!E99)</f>
        <v>0</v>
      </c>
      <c r="E129" s="104">
        <f>SUM('Draw #13'!E129:F129)</f>
        <v>0</v>
      </c>
      <c r="F129" s="105">
        <v>0</v>
      </c>
      <c r="G129" s="104">
        <f>SUM('Draw #13'!G129)+F129</f>
        <v>0</v>
      </c>
      <c r="H129" s="109">
        <f t="shared" si="2"/>
        <v>0</v>
      </c>
      <c r="I129" s="110">
        <v>0</v>
      </c>
      <c r="J129" s="109">
        <f>SUM(I129+'Draw #13'!J129)</f>
        <v>0</v>
      </c>
      <c r="K129" s="101" t="str">
        <f t="shared" si="3"/>
        <v/>
      </c>
      <c r="L129" s="9"/>
      <c r="M129" s="9"/>
    </row>
    <row r="130" spans="1:13" ht="14.1" customHeight="1">
      <c r="A130" s="4">
        <f>'SCHEDULE OF VALUE WORKSHEET'!A100</f>
        <v>95</v>
      </c>
      <c r="B130" s="142" t="str">
        <f>'SCHEDULE OF VALUE WORKSHEET'!B100</f>
        <v xml:space="preserve">Open Item </v>
      </c>
      <c r="C130" s="143"/>
      <c r="D130" s="104">
        <f>SUM('SCHEDULE OF VALUE WORKSHEET'!E100)</f>
        <v>0</v>
      </c>
      <c r="E130" s="104">
        <f>SUM('Draw #13'!E130:F130)</f>
        <v>0</v>
      </c>
      <c r="F130" s="105">
        <v>0</v>
      </c>
      <c r="G130" s="104">
        <f>SUM('Draw #13'!G130)+F130</f>
        <v>0</v>
      </c>
      <c r="H130" s="109">
        <f t="shared" si="2"/>
        <v>0</v>
      </c>
      <c r="I130" s="110">
        <v>0</v>
      </c>
      <c r="J130" s="109">
        <f>SUM(I130+'Draw #13'!J130)</f>
        <v>0</v>
      </c>
      <c r="K130" s="101" t="str">
        <f t="shared" si="3"/>
        <v/>
      </c>
      <c r="L130" s="9"/>
      <c r="M130" s="9"/>
    </row>
    <row r="131" spans="1:13" ht="14.1" customHeight="1">
      <c r="A131" s="4">
        <f>'SCHEDULE OF VALUE WORKSHEET'!A101</f>
        <v>96</v>
      </c>
      <c r="B131" s="142" t="str">
        <f>'SCHEDULE OF VALUE WORKSHEET'!B101</f>
        <v xml:space="preserve">Open Item </v>
      </c>
      <c r="C131" s="143"/>
      <c r="D131" s="104">
        <f>SUM('SCHEDULE OF VALUE WORKSHEET'!E101)</f>
        <v>0</v>
      </c>
      <c r="E131" s="104">
        <f>SUM('Draw #13'!E131:F131)</f>
        <v>0</v>
      </c>
      <c r="F131" s="105">
        <v>0</v>
      </c>
      <c r="G131" s="104">
        <f>SUM('Draw #13'!G131)+F131</f>
        <v>0</v>
      </c>
      <c r="H131" s="109">
        <f t="shared" si="2"/>
        <v>0</v>
      </c>
      <c r="I131" s="110">
        <v>0</v>
      </c>
      <c r="J131" s="109">
        <f>SUM(I131+'Draw #13'!J131)</f>
        <v>0</v>
      </c>
      <c r="K131" s="101" t="str">
        <f t="shared" si="3"/>
        <v/>
      </c>
      <c r="L131" s="9"/>
      <c r="M131" s="9"/>
    </row>
    <row r="132" spans="1:13" ht="14.1" customHeight="1">
      <c r="A132" s="4">
        <f>'SCHEDULE OF VALUE WORKSHEET'!A102</f>
        <v>97</v>
      </c>
      <c r="B132" s="142" t="str">
        <f>'SCHEDULE OF VALUE WORKSHEET'!B102</f>
        <v xml:space="preserve">Open Item </v>
      </c>
      <c r="C132" s="143"/>
      <c r="D132" s="104">
        <f>SUM('SCHEDULE OF VALUE WORKSHEET'!E102)</f>
        <v>0</v>
      </c>
      <c r="E132" s="104">
        <f>SUM('Draw #13'!E132:F132)</f>
        <v>0</v>
      </c>
      <c r="F132" s="105">
        <v>0</v>
      </c>
      <c r="G132" s="104">
        <f>SUM('Draw #13'!G132)+F132</f>
        <v>0</v>
      </c>
      <c r="H132" s="109">
        <f t="shared" si="2"/>
        <v>0</v>
      </c>
      <c r="I132" s="110">
        <v>0</v>
      </c>
      <c r="J132" s="109">
        <f>SUM(I132+'Draw #13'!J132)</f>
        <v>0</v>
      </c>
      <c r="K132" s="101" t="str">
        <f t="shared" si="3"/>
        <v/>
      </c>
      <c r="L132" s="9"/>
      <c r="M132" s="9"/>
    </row>
    <row r="133" spans="1:13" ht="14.1" customHeight="1">
      <c r="A133" s="4">
        <f>'SCHEDULE OF VALUE WORKSHEET'!A103</f>
        <v>98</v>
      </c>
      <c r="B133" s="142" t="str">
        <f>'SCHEDULE OF VALUE WORKSHEET'!B103</f>
        <v xml:space="preserve">Open Item </v>
      </c>
      <c r="C133" s="143"/>
      <c r="D133" s="104">
        <f>SUM('SCHEDULE OF VALUE WORKSHEET'!E103)</f>
        <v>0</v>
      </c>
      <c r="E133" s="104">
        <f>SUM('Draw #13'!E133:F133)</f>
        <v>0</v>
      </c>
      <c r="F133" s="105">
        <v>0</v>
      </c>
      <c r="G133" s="104">
        <f>SUM('Draw #13'!G133)+F133</f>
        <v>0</v>
      </c>
      <c r="H133" s="109">
        <f t="shared" si="2"/>
        <v>0</v>
      </c>
      <c r="I133" s="110">
        <v>0</v>
      </c>
      <c r="J133" s="109">
        <f>SUM(I133+'Draw #13'!J133)</f>
        <v>0</v>
      </c>
      <c r="K133" s="101" t="str">
        <f t="shared" si="3"/>
        <v/>
      </c>
      <c r="L133" s="9"/>
      <c r="M133" s="9"/>
    </row>
    <row r="134" spans="1:13" ht="14.1" customHeight="1">
      <c r="A134" s="4">
        <f>'SCHEDULE OF VALUE WORKSHEET'!A104</f>
        <v>99</v>
      </c>
      <c r="B134" s="142" t="str">
        <f>'SCHEDULE OF VALUE WORKSHEET'!B104</f>
        <v xml:space="preserve">Open Item </v>
      </c>
      <c r="C134" s="143"/>
      <c r="D134" s="104">
        <f>SUM('SCHEDULE OF VALUE WORKSHEET'!E104)</f>
        <v>0</v>
      </c>
      <c r="E134" s="104">
        <f>SUM('Draw #13'!E134:F134)</f>
        <v>0</v>
      </c>
      <c r="F134" s="105">
        <v>0</v>
      </c>
      <c r="G134" s="104">
        <f>SUM('Draw #13'!G134)+F134</f>
        <v>0</v>
      </c>
      <c r="H134" s="109">
        <f t="shared" si="2"/>
        <v>0</v>
      </c>
      <c r="I134" s="110">
        <v>0</v>
      </c>
      <c r="J134" s="109">
        <f>SUM(I134+'Draw #13'!J134)</f>
        <v>0</v>
      </c>
      <c r="K134" s="101" t="str">
        <f t="shared" si="3"/>
        <v/>
      </c>
      <c r="L134" s="9"/>
      <c r="M134" s="9"/>
    </row>
    <row r="135" spans="1:13" ht="14.1" customHeight="1">
      <c r="A135" s="4" t="e">
        <f>'SCHEDULE OF VALUE WORKSHEET'!#REF!</f>
        <v>#REF!</v>
      </c>
      <c r="B135" s="142" t="e">
        <f>'SCHEDULE OF VALUE WORKSHEET'!#REF!</f>
        <v>#REF!</v>
      </c>
      <c r="C135" s="143"/>
      <c r="D135" s="104" t="e">
        <f>SUM('SCHEDULE OF VALUE WORKSHEET'!#REF!)</f>
        <v>#REF!</v>
      </c>
      <c r="E135" s="104">
        <f>SUM('Draw #13'!E135:F135)</f>
        <v>0</v>
      </c>
      <c r="F135" s="105">
        <v>0</v>
      </c>
      <c r="G135" s="104" t="e">
        <f>SUM('Draw #13'!G135)+F135</f>
        <v>#REF!</v>
      </c>
      <c r="H135" s="109" t="e">
        <f t="shared" si="2"/>
        <v>#REF!</v>
      </c>
      <c r="I135" s="110">
        <v>0</v>
      </c>
      <c r="J135" s="109">
        <f>SUM(I135+'Draw #13'!J135)</f>
        <v>0</v>
      </c>
      <c r="K135" s="101" t="str">
        <f t="shared" si="3"/>
        <v/>
      </c>
      <c r="L135" s="9"/>
      <c r="M135" s="9"/>
    </row>
    <row r="136" spans="1:13" ht="14.1" customHeight="1">
      <c r="A136" s="165"/>
      <c r="B136" s="166"/>
      <c r="C136" s="166"/>
      <c r="D136" s="166"/>
      <c r="E136" s="166"/>
      <c r="F136" s="166"/>
      <c r="G136" s="166"/>
      <c r="H136" s="166"/>
      <c r="I136" s="166"/>
      <c r="J136" s="166"/>
      <c r="K136" s="167"/>
      <c r="L136" s="10"/>
      <c r="M136" s="10"/>
    </row>
    <row r="137" spans="1:13" ht="18.75" customHeight="1">
      <c r="A137" s="7"/>
      <c r="B137" s="168" t="s">
        <v>2</v>
      </c>
      <c r="C137" s="168"/>
      <c r="D137" s="25" t="e">
        <f t="shared" ref="D137:J137" si="4">SUM(D10:D135)</f>
        <v>#REF!</v>
      </c>
      <c r="E137" s="25">
        <f t="shared" si="4"/>
        <v>0</v>
      </c>
      <c r="F137" s="25">
        <f t="shared" si="4"/>
        <v>0</v>
      </c>
      <c r="G137" s="25" t="e">
        <f t="shared" si="4"/>
        <v>#REF!</v>
      </c>
      <c r="H137" s="25" t="e">
        <f t="shared" si="4"/>
        <v>#REF!</v>
      </c>
      <c r="I137" s="25">
        <f t="shared" si="4"/>
        <v>0</v>
      </c>
      <c r="J137" s="25">
        <f t="shared" si="4"/>
        <v>0</v>
      </c>
      <c r="K137" s="17"/>
      <c r="L137" s="11"/>
      <c r="M137" s="11"/>
    </row>
    <row r="138" spans="1:13" ht="14.1" customHeight="1">
      <c r="A138" s="2"/>
      <c r="B138" s="2"/>
      <c r="C138" s="2"/>
      <c r="D138" s="2"/>
      <c r="E138" s="2"/>
      <c r="F138" s="2"/>
      <c r="G138" s="2"/>
    </row>
    <row r="139" spans="1:13" ht="14.1" customHeight="1">
      <c r="G139" s="2"/>
      <c r="H139" s="140"/>
      <c r="I139" s="140"/>
      <c r="J139" s="140"/>
    </row>
    <row r="140" spans="1:13" ht="14.1" customHeight="1">
      <c r="G140" s="2"/>
    </row>
    <row r="141" spans="1:13" ht="14.1" customHeight="1">
      <c r="G141" s="2"/>
      <c r="H141" s="8"/>
    </row>
    <row r="142" spans="1:13" ht="14.1" customHeight="1">
      <c r="G142" s="2"/>
      <c r="H142" s="8"/>
    </row>
    <row r="143" spans="1:13" ht="14.1" customHeight="1">
      <c r="G143" s="2"/>
    </row>
    <row r="144" spans="1:13" ht="14.1" customHeight="1">
      <c r="G144" s="2"/>
    </row>
    <row r="145" spans="7:7" ht="14.1" customHeight="1">
      <c r="G145" s="2"/>
    </row>
    <row r="146" spans="7:7" ht="14.1" customHeight="1">
      <c r="G146" s="2"/>
    </row>
    <row r="147" spans="7:7" ht="14.1" customHeight="1">
      <c r="G147" s="2"/>
    </row>
    <row r="148" spans="7:7" ht="14.1" customHeight="1">
      <c r="G148" s="3"/>
    </row>
  </sheetData>
  <sheetProtection algorithmName="SHA-512" hashValue="siPXvJVmdZ1F1j0w3CJh8qE5YlpQxllX0w1KfgahA+ATYY+MlEY8icZC7oRvgtsu9zY/RVsldmvp6CBPp63l4g==" saltValue="zF0xxMWvryAUfETffgK8iQ==" spinCount="100000" sheet="1" selectLockedCells="1"/>
  <mergeCells count="136">
    <mergeCell ref="A1:K2"/>
    <mergeCell ref="B47:C47"/>
    <mergeCell ref="B48:C48"/>
    <mergeCell ref="B49:C49"/>
    <mergeCell ref="B80:C80"/>
    <mergeCell ref="B8:C9"/>
    <mergeCell ref="D8:D9"/>
    <mergeCell ref="G8:G9"/>
    <mergeCell ref="J8:K8"/>
    <mergeCell ref="J9:K9"/>
    <mergeCell ref="F8:F9"/>
    <mergeCell ref="B10:C10"/>
    <mergeCell ref="B11:C11"/>
    <mergeCell ref="B12:C12"/>
    <mergeCell ref="B13:C13"/>
    <mergeCell ref="B26:C26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4:C34"/>
    <mergeCell ref="B35:C35"/>
    <mergeCell ref="B32:C32"/>
    <mergeCell ref="B33:C33"/>
    <mergeCell ref="B27:C27"/>
    <mergeCell ref="B36:C36"/>
    <mergeCell ref="B37:C37"/>
    <mergeCell ref="B46:C46"/>
    <mergeCell ref="A136:K136"/>
    <mergeCell ref="B38:C38"/>
    <mergeCell ref="B39:C39"/>
    <mergeCell ref="B81:C81"/>
    <mergeCell ref="B82:C82"/>
    <mergeCell ref="B83:C83"/>
    <mergeCell ref="B84:C84"/>
    <mergeCell ref="B130:C130"/>
    <mergeCell ref="B119:C119"/>
    <mergeCell ref="B120:C120"/>
    <mergeCell ref="B121:C121"/>
    <mergeCell ref="B122:C122"/>
    <mergeCell ref="B123:C123"/>
    <mergeCell ref="B124:C124"/>
    <mergeCell ref="B131:C131"/>
    <mergeCell ref="B132:C132"/>
    <mergeCell ref="B133:C133"/>
    <mergeCell ref="B134:C134"/>
    <mergeCell ref="B135:C135"/>
    <mergeCell ref="B125:C125"/>
    <mergeCell ref="B126:C126"/>
    <mergeCell ref="B137:C137"/>
    <mergeCell ref="H139:J139"/>
    <mergeCell ref="B40:C40"/>
    <mergeCell ref="B41:C41"/>
    <mergeCell ref="B42:C42"/>
    <mergeCell ref="B43:C43"/>
    <mergeCell ref="B44:C44"/>
    <mergeCell ref="B45:C45"/>
    <mergeCell ref="B85:C85"/>
    <mergeCell ref="B86:C86"/>
    <mergeCell ref="B127:C127"/>
    <mergeCell ref="B128:C128"/>
    <mergeCell ref="B129:C129"/>
    <mergeCell ref="B56:C56"/>
    <mergeCell ref="B57:C57"/>
    <mergeCell ref="B58:C58"/>
    <mergeCell ref="B59:C59"/>
    <mergeCell ref="B60:C60"/>
    <mergeCell ref="B61:C61"/>
    <mergeCell ref="B50:C50"/>
    <mergeCell ref="B51:C51"/>
    <mergeCell ref="B52:C52"/>
    <mergeCell ref="B53:C53"/>
    <mergeCell ref="B54:C54"/>
    <mergeCell ref="B55:C55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B87:C87"/>
    <mergeCell ref="B88:C88"/>
    <mergeCell ref="B89:C89"/>
    <mergeCell ref="B90:C90"/>
    <mergeCell ref="B91:C91"/>
    <mergeCell ref="B92:C92"/>
    <mergeCell ref="B74:C74"/>
    <mergeCell ref="B75:C75"/>
    <mergeCell ref="B76:C76"/>
    <mergeCell ref="B77:C77"/>
    <mergeCell ref="B78:C78"/>
    <mergeCell ref="B79:C79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7:C117"/>
    <mergeCell ref="B118:C118"/>
    <mergeCell ref="B111:C111"/>
    <mergeCell ref="B112:C112"/>
    <mergeCell ref="B113:C113"/>
    <mergeCell ref="B114:C114"/>
    <mergeCell ref="B115:C115"/>
    <mergeCell ref="B116:C116"/>
    <mergeCell ref="B105:C105"/>
    <mergeCell ref="B106:C106"/>
    <mergeCell ref="B107:C107"/>
    <mergeCell ref="B108:C108"/>
    <mergeCell ref="B109:C109"/>
    <mergeCell ref="B110:C110"/>
  </mergeCells>
  <conditionalFormatting sqref="B10:K135">
    <cfRule type="expression" dxfId="27" priority="3" stopIfTrue="1">
      <formula>$I10&gt;0</formula>
    </cfRule>
    <cfRule type="expression" dxfId="26" priority="4" stopIfTrue="1">
      <formula>$K10=100%</formula>
    </cfRule>
  </conditionalFormatting>
  <conditionalFormatting sqref="D10:K135">
    <cfRule type="expression" dxfId="25" priority="1" stopIfTrue="1">
      <formula>$K10=""</formula>
    </cfRule>
    <cfRule type="expression" dxfId="24" priority="2" stopIfTrue="1">
      <formula>$K10&gt;100%</formula>
    </cfRule>
  </conditionalFormatting>
  <pageMargins left="0.7" right="0.7" top="0.75" bottom="0.75" header="0.3" footer="0.3"/>
  <pageSetup scale="78" orientation="portrait" verticalDpi="1200" r:id="rId1"/>
  <colBreaks count="1" manualBreakCount="1">
    <brk id="11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48"/>
  <sheetViews>
    <sheetView showGridLines="0" zoomScale="90" zoomScaleNormal="90" workbookViewId="0">
      <selection activeCell="F24" sqref="F24"/>
    </sheetView>
  </sheetViews>
  <sheetFormatPr defaultColWidth="6.59765625" defaultRowHeight="15.75"/>
  <cols>
    <col min="1" max="1" width="4.8984375" style="1" customWidth="1"/>
    <col min="2" max="2" width="5.69921875" style="1" customWidth="1"/>
    <col min="3" max="3" width="15.19921875" style="1" customWidth="1"/>
    <col min="4" max="5" width="10.59765625" style="1" customWidth="1"/>
    <col min="6" max="9" width="10.69921875" style="1" customWidth="1"/>
    <col min="10" max="10" width="10.59765625" style="1" customWidth="1"/>
    <col min="11" max="11" width="5.09765625" style="18" customWidth="1"/>
    <col min="12" max="13" width="4.69921875" style="1" customWidth="1"/>
    <col min="14" max="16384" width="6.59765625" style="1"/>
  </cols>
  <sheetData>
    <row r="1" spans="1:13">
      <c r="A1" s="171" t="s">
        <v>18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</row>
    <row r="2" spans="1:13">
      <c r="A2" s="174"/>
      <c r="B2" s="153"/>
      <c r="C2" s="153"/>
      <c r="D2" s="153"/>
      <c r="E2" s="153"/>
      <c r="F2" s="153"/>
      <c r="G2" s="153"/>
      <c r="H2" s="153"/>
      <c r="I2" s="153"/>
      <c r="J2" s="153"/>
      <c r="K2" s="175"/>
    </row>
    <row r="3" spans="1:13">
      <c r="A3" s="74"/>
      <c r="B3" s="13" t="s">
        <v>7</v>
      </c>
      <c r="C3" s="35" t="str">
        <f>'SCHEDULE OF VALUE WORKSHEET'!$B$3</f>
        <v>Angeleno Investments</v>
      </c>
      <c r="F3" s="6"/>
      <c r="G3" s="28"/>
      <c r="H3" s="55"/>
      <c r="I3" s="41" t="s">
        <v>5</v>
      </c>
      <c r="J3" s="38">
        <f>SUM(J137)</f>
        <v>0</v>
      </c>
      <c r="K3" s="80" t="e">
        <f>SUM(J3)/J7</f>
        <v>#REF!</v>
      </c>
    </row>
    <row r="4" spans="1:13" ht="16.350000000000001" customHeight="1">
      <c r="A4" s="74"/>
      <c r="B4" s="34" t="s">
        <v>0</v>
      </c>
      <c r="C4" s="36">
        <f ca="1">TODAY()</f>
        <v>45978</v>
      </c>
      <c r="D4" s="36"/>
      <c r="E4" s="36"/>
      <c r="F4" s="15"/>
      <c r="G4" s="3"/>
      <c r="H4" s="75"/>
      <c r="I4" s="41" t="s">
        <v>13</v>
      </c>
      <c r="J4" s="38" t="e">
        <f>SUM(H137)</f>
        <v>#REF!</v>
      </c>
      <c r="K4" s="80"/>
    </row>
    <row r="5" spans="1:13">
      <c r="A5" s="74"/>
      <c r="B5" s="34" t="s">
        <v>6</v>
      </c>
      <c r="C5" s="37" t="str">
        <f>'SCHEDULE OF VALUE WORKSHEET'!B5</f>
        <v>10910 Huston Street</v>
      </c>
      <c r="F5" s="56"/>
      <c r="G5" s="57"/>
      <c r="H5" s="75"/>
      <c r="I5" s="41" t="s">
        <v>14</v>
      </c>
      <c r="J5" s="38" t="e">
        <f>SUM(D137)</f>
        <v>#REF!</v>
      </c>
      <c r="K5" s="80"/>
    </row>
    <row r="6" spans="1:13">
      <c r="A6" s="74"/>
      <c r="B6" s="34" t="s">
        <v>20</v>
      </c>
      <c r="C6" s="48">
        <f>SUM(I137)</f>
        <v>0</v>
      </c>
      <c r="D6" s="6"/>
      <c r="E6" s="6"/>
      <c r="F6" s="6"/>
      <c r="G6" s="57"/>
      <c r="H6" s="75"/>
      <c r="I6" s="42" t="s">
        <v>17</v>
      </c>
      <c r="J6" s="38">
        <f>SUM(F137)</f>
        <v>0</v>
      </c>
      <c r="K6" s="80"/>
    </row>
    <row r="7" spans="1:13">
      <c r="A7" s="78"/>
      <c r="G7" s="28"/>
      <c r="H7" s="20"/>
      <c r="I7" s="34" t="s">
        <v>15</v>
      </c>
      <c r="J7" s="29" t="e">
        <f>SUM(G137)</f>
        <v>#REF!</v>
      </c>
      <c r="K7" s="80"/>
    </row>
    <row r="8" spans="1:13">
      <c r="A8" s="19"/>
      <c r="B8" s="169" t="s">
        <v>1</v>
      </c>
      <c r="C8" s="170"/>
      <c r="D8" s="177" t="s">
        <v>8</v>
      </c>
      <c r="E8" s="102" t="s">
        <v>24</v>
      </c>
      <c r="F8" s="176" t="s">
        <v>26</v>
      </c>
      <c r="G8" s="177" t="s">
        <v>9</v>
      </c>
      <c r="H8" s="30" t="s">
        <v>10</v>
      </c>
      <c r="I8" s="31" t="s">
        <v>12</v>
      </c>
      <c r="J8" s="178" t="s">
        <v>3</v>
      </c>
      <c r="K8" s="179"/>
      <c r="L8" s="12"/>
      <c r="M8" s="12"/>
    </row>
    <row r="9" spans="1:13" ht="14.1" customHeight="1">
      <c r="A9" s="19"/>
      <c r="B9" s="146"/>
      <c r="C9" s="147"/>
      <c r="D9" s="162"/>
      <c r="E9" s="103" t="s">
        <v>25</v>
      </c>
      <c r="F9" s="164"/>
      <c r="G9" s="162"/>
      <c r="H9" s="32" t="s">
        <v>22</v>
      </c>
      <c r="I9" s="33">
        <v>15</v>
      </c>
      <c r="J9" s="180" t="s">
        <v>4</v>
      </c>
      <c r="K9" s="181"/>
      <c r="L9" s="12"/>
      <c r="M9" s="12"/>
    </row>
    <row r="10" spans="1:13" ht="14.1" customHeight="1">
      <c r="A10" s="4">
        <f>'SCHEDULE OF VALUE WORKSHEET'!A7</f>
        <v>1</v>
      </c>
      <c r="B10" s="142" t="str">
        <f>'SCHEDULE OF VALUE WORKSHEET'!B7</f>
        <v>SOFT COSTS</v>
      </c>
      <c r="C10" s="143"/>
      <c r="D10" s="104">
        <f>SUM('SCHEDULE OF VALUE WORKSHEET'!E7)</f>
        <v>0</v>
      </c>
      <c r="E10" s="104">
        <f>SUM('Draw #14'!E10:F10)</f>
        <v>0</v>
      </c>
      <c r="F10" s="105">
        <v>0</v>
      </c>
      <c r="G10" s="104">
        <f>SUM('Draw #14'!G10)+F10</f>
        <v>0</v>
      </c>
      <c r="H10" s="109">
        <f>SUM(G10-J10)</f>
        <v>0</v>
      </c>
      <c r="I10" s="110">
        <v>0</v>
      </c>
      <c r="J10" s="109">
        <f>SUM(I10+'Draw #14'!J10)</f>
        <v>0</v>
      </c>
      <c r="K10" s="101" t="str">
        <f>IF(J10=0,"",J10/G10)</f>
        <v/>
      </c>
      <c r="L10" s="9"/>
      <c r="M10" s="9"/>
    </row>
    <row r="11" spans="1:13" ht="14.1" customHeight="1">
      <c r="A11" s="4">
        <f>'SCHEDULE OF VALUE WORKSHEET'!A8</f>
        <v>2</v>
      </c>
      <c r="B11" s="142" t="str">
        <f>'SCHEDULE OF VALUE WORKSHEET'!B8</f>
        <v>Site Security</v>
      </c>
      <c r="C11" s="143"/>
      <c r="D11" s="104">
        <f>SUM('SCHEDULE OF VALUE WORKSHEET'!E8)</f>
        <v>10580.63</v>
      </c>
      <c r="E11" s="104">
        <f>SUM('Draw #14'!E11:F11)</f>
        <v>0</v>
      </c>
      <c r="F11" s="105">
        <v>0</v>
      </c>
      <c r="G11" s="104">
        <f>SUM('Draw #14'!G11)+F11</f>
        <v>10580.63</v>
      </c>
      <c r="H11" s="109">
        <f t="shared" ref="H11:H74" si="0">SUM(G11-J11)</f>
        <v>10580.63</v>
      </c>
      <c r="I11" s="110">
        <v>0</v>
      </c>
      <c r="J11" s="109">
        <f>SUM(I11+'Draw #14'!J11)</f>
        <v>0</v>
      </c>
      <c r="K11" s="101" t="str">
        <f t="shared" ref="K11:K74" si="1">IF(J11=0,"",J11/G11)</f>
        <v/>
      </c>
      <c r="L11" s="9"/>
      <c r="M11" s="9"/>
    </row>
    <row r="12" spans="1:13" ht="14.1" customHeight="1">
      <c r="A12" s="4">
        <f>'SCHEDULE OF VALUE WORKSHEET'!A9</f>
        <v>3</v>
      </c>
      <c r="B12" s="142" t="str">
        <f>'SCHEDULE OF VALUE WORKSHEET'!B9</f>
        <v>Soils Inspection</v>
      </c>
      <c r="C12" s="143"/>
      <c r="D12" s="104">
        <f>SUM('SCHEDULE OF VALUE WORKSHEET'!E9)</f>
        <v>0</v>
      </c>
      <c r="E12" s="104">
        <f>SUM('Draw #14'!E12:F12)</f>
        <v>0</v>
      </c>
      <c r="F12" s="105">
        <v>0</v>
      </c>
      <c r="G12" s="104">
        <f>SUM('Draw #14'!G12)+F12</f>
        <v>0</v>
      </c>
      <c r="H12" s="109">
        <f t="shared" si="0"/>
        <v>0</v>
      </c>
      <c r="I12" s="110">
        <v>0</v>
      </c>
      <c r="J12" s="109">
        <f>SUM(I12+'Draw #14'!J12)</f>
        <v>0</v>
      </c>
      <c r="K12" s="101" t="str">
        <f t="shared" si="1"/>
        <v/>
      </c>
      <c r="L12" s="9"/>
      <c r="M12" s="9"/>
    </row>
    <row r="13" spans="1:13" ht="14.1" customHeight="1">
      <c r="A13" s="4">
        <f>'SCHEDULE OF VALUE WORKSHEET'!A10</f>
        <v>4</v>
      </c>
      <c r="B13" s="142" t="str">
        <f>'SCHEDULE OF VALUE WORKSHEET'!B10</f>
        <v>Offsites (Transformer)</v>
      </c>
      <c r="C13" s="143"/>
      <c r="D13" s="104">
        <f>SUM('SCHEDULE OF VALUE WORKSHEET'!E10)</f>
        <v>20000</v>
      </c>
      <c r="E13" s="104">
        <f>SUM('Draw #14'!E13:F13)</f>
        <v>0</v>
      </c>
      <c r="F13" s="105">
        <v>0</v>
      </c>
      <c r="G13" s="104">
        <f>SUM('Draw #14'!G13)+F13</f>
        <v>20000</v>
      </c>
      <c r="H13" s="109">
        <f t="shared" si="0"/>
        <v>20000</v>
      </c>
      <c r="I13" s="110">
        <v>0</v>
      </c>
      <c r="J13" s="109">
        <f>SUM(I13+'Draw #14'!J13)</f>
        <v>0</v>
      </c>
      <c r="K13" s="101" t="str">
        <f t="shared" si="1"/>
        <v/>
      </c>
      <c r="L13" s="9"/>
      <c r="M13" s="9"/>
    </row>
    <row r="14" spans="1:13" ht="14.1" customHeight="1">
      <c r="A14" s="4">
        <f>'SCHEDULE OF VALUE WORKSHEET'!A11</f>
        <v>5</v>
      </c>
      <c r="B14" s="142" t="str">
        <f>'SCHEDULE OF VALUE WORKSHEET'!B11</f>
        <v>Plan Check Fees</v>
      </c>
      <c r="C14" s="143"/>
      <c r="D14" s="104">
        <f>SUM('SCHEDULE OF VALUE WORKSHEET'!E11)</f>
        <v>0</v>
      </c>
      <c r="E14" s="104">
        <f>SUM('Draw #14'!E14:F14)</f>
        <v>0</v>
      </c>
      <c r="F14" s="105">
        <v>0</v>
      </c>
      <c r="G14" s="104">
        <f>SUM('Draw #14'!G14)+F14</f>
        <v>0</v>
      </c>
      <c r="H14" s="109">
        <f t="shared" si="0"/>
        <v>0</v>
      </c>
      <c r="I14" s="110">
        <v>0</v>
      </c>
      <c r="J14" s="109">
        <f>SUM(I14+'Draw #14'!J14)</f>
        <v>0</v>
      </c>
      <c r="K14" s="101" t="str">
        <f t="shared" si="1"/>
        <v/>
      </c>
      <c r="L14" s="9"/>
      <c r="M14" s="9"/>
    </row>
    <row r="15" spans="1:13" ht="14.1" customHeight="1">
      <c r="A15" s="4">
        <f>'SCHEDULE OF VALUE WORKSHEET'!A12</f>
        <v>6</v>
      </c>
      <c r="B15" s="142" t="str">
        <f>'SCHEDULE OF VALUE WORKSHEET'!B12</f>
        <v>Permits</v>
      </c>
      <c r="C15" s="143"/>
      <c r="D15" s="104">
        <f>SUM('SCHEDULE OF VALUE WORKSHEET'!E12)</f>
        <v>0</v>
      </c>
      <c r="E15" s="104">
        <f>SUM('Draw #14'!E15:F15)</f>
        <v>0</v>
      </c>
      <c r="F15" s="105">
        <v>0</v>
      </c>
      <c r="G15" s="104">
        <f>SUM('Draw #14'!G15)+F15</f>
        <v>0</v>
      </c>
      <c r="H15" s="109">
        <f t="shared" si="0"/>
        <v>0</v>
      </c>
      <c r="I15" s="110">
        <v>0</v>
      </c>
      <c r="J15" s="109">
        <f>SUM(I15+'Draw #14'!J15)</f>
        <v>0</v>
      </c>
      <c r="K15" s="101" t="str">
        <f t="shared" si="1"/>
        <v/>
      </c>
      <c r="L15" s="9"/>
      <c r="M15" s="9"/>
    </row>
    <row r="16" spans="1:13" ht="14.1" customHeight="1">
      <c r="A16" s="4">
        <f>'SCHEDULE OF VALUE WORKSHEET'!A13</f>
        <v>7</v>
      </c>
      <c r="B16" s="142" t="str">
        <f>'SCHEDULE OF VALUE WORKSHEET'!B13</f>
        <v>Survey</v>
      </c>
      <c r="C16" s="143"/>
      <c r="D16" s="104">
        <f>SUM('SCHEDULE OF VALUE WORKSHEET'!E13)</f>
        <v>0</v>
      </c>
      <c r="E16" s="104">
        <f>SUM('Draw #14'!E16:F16)</f>
        <v>0</v>
      </c>
      <c r="F16" s="105">
        <v>0</v>
      </c>
      <c r="G16" s="104">
        <f>SUM('Draw #14'!G16)+F16</f>
        <v>0</v>
      </c>
      <c r="H16" s="109">
        <f t="shared" si="0"/>
        <v>0</v>
      </c>
      <c r="I16" s="110">
        <v>0</v>
      </c>
      <c r="J16" s="109">
        <f>SUM(I16+'Draw #14'!J16)</f>
        <v>0</v>
      </c>
      <c r="K16" s="101" t="str">
        <f t="shared" si="1"/>
        <v/>
      </c>
      <c r="L16" s="9"/>
      <c r="M16" s="9"/>
    </row>
    <row r="17" spans="1:13" ht="14.1" customHeight="1">
      <c r="A17" s="4">
        <f>'SCHEDULE OF VALUE WORKSHEET'!A14</f>
        <v>8</v>
      </c>
      <c r="B17" s="142" t="str">
        <f>'SCHEDULE OF VALUE WORKSHEET'!B14</f>
        <v>Soils Engineer</v>
      </c>
      <c r="C17" s="143"/>
      <c r="D17" s="104">
        <f>SUM('SCHEDULE OF VALUE WORKSHEET'!E14)</f>
        <v>0</v>
      </c>
      <c r="E17" s="104">
        <f>SUM('Draw #14'!E17:F17)</f>
        <v>0</v>
      </c>
      <c r="F17" s="105">
        <v>0</v>
      </c>
      <c r="G17" s="104">
        <f>SUM('Draw #14'!G17)+F17</f>
        <v>0</v>
      </c>
      <c r="H17" s="109">
        <f t="shared" si="0"/>
        <v>0</v>
      </c>
      <c r="I17" s="110">
        <v>0</v>
      </c>
      <c r="J17" s="109">
        <f>SUM(I17+'Draw #14'!J17)</f>
        <v>0</v>
      </c>
      <c r="K17" s="101" t="str">
        <f t="shared" si="1"/>
        <v/>
      </c>
      <c r="L17" s="9"/>
      <c r="M17" s="9"/>
    </row>
    <row r="18" spans="1:13" ht="14.1" customHeight="1">
      <c r="A18" s="4">
        <f>'SCHEDULE OF VALUE WORKSHEET'!A15</f>
        <v>9</v>
      </c>
      <c r="B18" s="142" t="str">
        <f>'SCHEDULE OF VALUE WORKSHEET'!B15</f>
        <v>Soils Permit + T24</v>
      </c>
      <c r="C18" s="143"/>
      <c r="D18" s="104">
        <f>SUM('SCHEDULE OF VALUE WORKSHEET'!E15)</f>
        <v>2500</v>
      </c>
      <c r="E18" s="104">
        <f>SUM('Draw #14'!E18:F18)</f>
        <v>0</v>
      </c>
      <c r="F18" s="105">
        <v>0</v>
      </c>
      <c r="G18" s="104">
        <f>SUM('Draw #14'!G18)+F18</f>
        <v>2500</v>
      </c>
      <c r="H18" s="109">
        <f t="shared" si="0"/>
        <v>2500</v>
      </c>
      <c r="I18" s="110">
        <v>0</v>
      </c>
      <c r="J18" s="109">
        <f>SUM(I18+'Draw #14'!J18)</f>
        <v>0</v>
      </c>
      <c r="K18" s="101" t="str">
        <f t="shared" si="1"/>
        <v/>
      </c>
      <c r="L18" s="9"/>
      <c r="M18" s="9"/>
    </row>
    <row r="19" spans="1:13" ht="14.1" customHeight="1">
      <c r="A19" s="4">
        <f>'SCHEDULE OF VALUE WORKSHEET'!A16</f>
        <v>10</v>
      </c>
      <c r="B19" s="142" t="str">
        <f>'SCHEDULE OF VALUE WORKSHEET'!B16</f>
        <v>Special Inspections - Deputy</v>
      </c>
      <c r="C19" s="143"/>
      <c r="D19" s="104">
        <f>SUM('SCHEDULE OF VALUE WORKSHEET'!E16)</f>
        <v>15000</v>
      </c>
      <c r="E19" s="104">
        <f>SUM('Draw #14'!E19:F19)</f>
        <v>0</v>
      </c>
      <c r="F19" s="105">
        <v>0</v>
      </c>
      <c r="G19" s="104">
        <f>SUM('Draw #14'!G19)+F19</f>
        <v>15000</v>
      </c>
      <c r="H19" s="109">
        <f t="shared" si="0"/>
        <v>15000</v>
      </c>
      <c r="I19" s="110">
        <v>0</v>
      </c>
      <c r="J19" s="109">
        <f>SUM(I19+'Draw #14'!J19)</f>
        <v>0</v>
      </c>
      <c r="K19" s="101" t="str">
        <f t="shared" si="1"/>
        <v/>
      </c>
      <c r="L19" s="9"/>
      <c r="M19" s="9"/>
    </row>
    <row r="20" spans="1:13" ht="14.1" customHeight="1">
      <c r="A20" s="4">
        <f>'SCHEDULE OF VALUE WORKSHEET'!A17</f>
        <v>11</v>
      </c>
      <c r="B20" s="142" t="str">
        <f>'SCHEDULE OF VALUE WORKSHEET'!B17</f>
        <v>Architect</v>
      </c>
      <c r="C20" s="143"/>
      <c r="D20" s="104">
        <f>SUM('SCHEDULE OF VALUE WORKSHEET'!E17)</f>
        <v>0</v>
      </c>
      <c r="E20" s="104">
        <f>SUM('Draw #14'!E20:F20)</f>
        <v>0</v>
      </c>
      <c r="F20" s="105">
        <v>0</v>
      </c>
      <c r="G20" s="104">
        <f>SUM('Draw #14'!G20)+F20</f>
        <v>0</v>
      </c>
      <c r="H20" s="109">
        <f t="shared" si="0"/>
        <v>0</v>
      </c>
      <c r="I20" s="110">
        <v>0</v>
      </c>
      <c r="J20" s="109">
        <f>SUM(I20+'Draw #14'!J20)</f>
        <v>0</v>
      </c>
      <c r="K20" s="101" t="str">
        <f t="shared" si="1"/>
        <v/>
      </c>
      <c r="L20" s="9"/>
      <c r="M20" s="9"/>
    </row>
    <row r="21" spans="1:13" ht="14.1" customHeight="1">
      <c r="A21" s="4">
        <f>'SCHEDULE OF VALUE WORKSHEET'!A18</f>
        <v>12</v>
      </c>
      <c r="B21" s="142" t="str">
        <f>'SCHEDULE OF VALUE WORKSHEET'!B18</f>
        <v>Structural Engineer</v>
      </c>
      <c r="C21" s="143"/>
      <c r="D21" s="104">
        <f>SUM('SCHEDULE OF VALUE WORKSHEET'!E18)</f>
        <v>0</v>
      </c>
      <c r="E21" s="104">
        <f>SUM('Draw #14'!E21:F21)</f>
        <v>0</v>
      </c>
      <c r="F21" s="105">
        <v>0</v>
      </c>
      <c r="G21" s="104">
        <f>SUM('Draw #14'!G21)+F21</f>
        <v>0</v>
      </c>
      <c r="H21" s="109">
        <f t="shared" si="0"/>
        <v>0</v>
      </c>
      <c r="I21" s="110">
        <v>0</v>
      </c>
      <c r="J21" s="109">
        <f>SUM(I21+'Draw #14'!J21)</f>
        <v>0</v>
      </c>
      <c r="K21" s="101" t="str">
        <f t="shared" si="1"/>
        <v/>
      </c>
      <c r="L21" s="9"/>
      <c r="M21" s="9"/>
    </row>
    <row r="22" spans="1:13" ht="14.1" customHeight="1">
      <c r="A22" s="4">
        <f>'SCHEDULE OF VALUE WORKSHEET'!A19</f>
        <v>13</v>
      </c>
      <c r="B22" s="142" t="str">
        <f>'SCHEDULE OF VALUE WORKSHEET'!B19</f>
        <v>Structural Observation</v>
      </c>
      <c r="C22" s="143"/>
      <c r="D22" s="104">
        <f>SUM('SCHEDULE OF VALUE WORKSHEET'!E19)</f>
        <v>8000</v>
      </c>
      <c r="E22" s="104">
        <f>SUM('Draw #14'!E22:F22)</f>
        <v>0</v>
      </c>
      <c r="F22" s="105">
        <v>0</v>
      </c>
      <c r="G22" s="104">
        <f>SUM('Draw #14'!G22)+F22</f>
        <v>8000</v>
      </c>
      <c r="H22" s="109">
        <f t="shared" si="0"/>
        <v>8000</v>
      </c>
      <c r="I22" s="110">
        <v>0</v>
      </c>
      <c r="J22" s="109">
        <f>SUM(I22+'Draw #14'!J22)</f>
        <v>0</v>
      </c>
      <c r="K22" s="101" t="str">
        <f t="shared" si="1"/>
        <v/>
      </c>
      <c r="L22" s="9"/>
      <c r="M22" s="9"/>
    </row>
    <row r="23" spans="1:13" ht="14.1" customHeight="1">
      <c r="A23" s="4">
        <f>'SCHEDULE OF VALUE WORKSHEET'!A20</f>
        <v>14</v>
      </c>
      <c r="B23" s="142" t="str">
        <f>'SCHEDULE OF VALUE WORKSHEET'!B20</f>
        <v>Civil Engineering</v>
      </c>
      <c r="C23" s="143"/>
      <c r="D23" s="104">
        <f>SUM('SCHEDULE OF VALUE WORKSHEET'!E20)</f>
        <v>0</v>
      </c>
      <c r="E23" s="104">
        <f>SUM('Draw #14'!E23:F23)</f>
        <v>0</v>
      </c>
      <c r="F23" s="105">
        <v>0</v>
      </c>
      <c r="G23" s="104">
        <f>SUM('Draw #14'!G23)+F23</f>
        <v>0</v>
      </c>
      <c r="H23" s="109">
        <f t="shared" si="0"/>
        <v>0</v>
      </c>
      <c r="I23" s="110">
        <v>0</v>
      </c>
      <c r="J23" s="109">
        <f>SUM(I23+'Draw #14'!J23)</f>
        <v>0</v>
      </c>
      <c r="K23" s="101" t="str">
        <f t="shared" si="1"/>
        <v/>
      </c>
      <c r="L23" s="9"/>
      <c r="M23" s="9"/>
    </row>
    <row r="24" spans="1:13" ht="14.1" customHeight="1">
      <c r="A24" s="4">
        <f>'SCHEDULE OF VALUE WORKSHEET'!A21</f>
        <v>15</v>
      </c>
      <c r="B24" s="142" t="str">
        <f>'SCHEDULE OF VALUE WORKSHEET'!B21</f>
        <v>Grading Permit</v>
      </c>
      <c r="C24" s="143"/>
      <c r="D24" s="104">
        <f>SUM('SCHEDULE OF VALUE WORKSHEET'!E21)</f>
        <v>0</v>
      </c>
      <c r="E24" s="104">
        <f>SUM('Draw #14'!E24:F24)</f>
        <v>0</v>
      </c>
      <c r="F24" s="105">
        <v>0</v>
      </c>
      <c r="G24" s="104">
        <f>SUM('Draw #14'!G24)+F24</f>
        <v>0</v>
      </c>
      <c r="H24" s="109">
        <f t="shared" si="0"/>
        <v>0</v>
      </c>
      <c r="I24" s="110">
        <v>0</v>
      </c>
      <c r="J24" s="109">
        <f>SUM(I24+'Draw #14'!J24)</f>
        <v>0</v>
      </c>
      <c r="K24" s="101" t="str">
        <f t="shared" si="1"/>
        <v/>
      </c>
      <c r="L24" s="9"/>
      <c r="M24" s="9"/>
    </row>
    <row r="25" spans="1:13" ht="14.1" customHeight="1">
      <c r="A25" s="4">
        <f>'SCHEDULE OF VALUE WORKSHEET'!A22</f>
        <v>16</v>
      </c>
      <c r="B25" s="142" t="str">
        <f>'SCHEDULE OF VALUE WORKSHEET'!B22</f>
        <v>Landscape Architect/Designer</v>
      </c>
      <c r="C25" s="143"/>
      <c r="D25" s="104">
        <f>SUM('SCHEDULE OF VALUE WORKSHEET'!E22)</f>
        <v>0</v>
      </c>
      <c r="E25" s="104">
        <f>SUM('Draw #14'!E25:F25)</f>
        <v>0</v>
      </c>
      <c r="F25" s="105">
        <v>0</v>
      </c>
      <c r="G25" s="104">
        <f>SUM('Draw #14'!G25)+F25</f>
        <v>0</v>
      </c>
      <c r="H25" s="109">
        <f t="shared" si="0"/>
        <v>0</v>
      </c>
      <c r="I25" s="110">
        <v>0</v>
      </c>
      <c r="J25" s="109">
        <f>SUM(I25+'Draw #14'!J25)</f>
        <v>0</v>
      </c>
      <c r="K25" s="101" t="str">
        <f t="shared" si="1"/>
        <v/>
      </c>
      <c r="L25" s="9"/>
      <c r="M25" s="9"/>
    </row>
    <row r="26" spans="1:13" ht="14.1" customHeight="1">
      <c r="A26" s="4">
        <f>'SCHEDULE OF VALUE WORKSHEET'!A23</f>
        <v>17</v>
      </c>
      <c r="B26" s="142" t="str">
        <f>'SCHEDULE OF VALUE WORKSHEET'!B23</f>
        <v>Driveway Apron Permit</v>
      </c>
      <c r="C26" s="143"/>
      <c r="D26" s="104">
        <f>SUM('SCHEDULE OF VALUE WORKSHEET'!E23)</f>
        <v>2500</v>
      </c>
      <c r="E26" s="104">
        <f>SUM('Draw #14'!E26:F26)</f>
        <v>0</v>
      </c>
      <c r="F26" s="105">
        <v>0</v>
      </c>
      <c r="G26" s="104">
        <f>SUM('Draw #14'!G26)+F26</f>
        <v>2500</v>
      </c>
      <c r="H26" s="109">
        <f t="shared" si="0"/>
        <v>2500</v>
      </c>
      <c r="I26" s="110">
        <v>0</v>
      </c>
      <c r="J26" s="109">
        <f>SUM(I26+'Draw #14'!J26)</f>
        <v>0</v>
      </c>
      <c r="K26" s="101" t="str">
        <f t="shared" si="1"/>
        <v/>
      </c>
      <c r="L26" s="9"/>
      <c r="M26" s="9"/>
    </row>
    <row r="27" spans="1:13" ht="14.1" customHeight="1">
      <c r="A27" s="4">
        <f>'SCHEDULE OF VALUE WORKSHEET'!A24</f>
        <v>18</v>
      </c>
      <c r="B27" s="142" t="str">
        <f>'SCHEDULE OF VALUE WORKSHEET'!B24</f>
        <v>Punch List - Misc.</v>
      </c>
      <c r="C27" s="143"/>
      <c r="D27" s="104">
        <f>SUM('SCHEDULE OF VALUE WORKSHEET'!E24)</f>
        <v>21962.77</v>
      </c>
      <c r="E27" s="104">
        <f>SUM('Draw #14'!E27:F27)</f>
        <v>0</v>
      </c>
      <c r="F27" s="105">
        <v>0</v>
      </c>
      <c r="G27" s="104">
        <f>SUM('Draw #14'!G27)+F27</f>
        <v>21962.77</v>
      </c>
      <c r="H27" s="109">
        <f t="shared" si="0"/>
        <v>21962.77</v>
      </c>
      <c r="I27" s="110">
        <v>0</v>
      </c>
      <c r="J27" s="109">
        <f>SUM(I27+'Draw #14'!J27)</f>
        <v>0</v>
      </c>
      <c r="K27" s="101" t="str">
        <f t="shared" si="1"/>
        <v/>
      </c>
      <c r="L27" s="9"/>
      <c r="M27" s="9"/>
    </row>
    <row r="28" spans="1:13" ht="14.1" customHeight="1">
      <c r="A28" s="4">
        <f>'SCHEDULE OF VALUE WORKSHEET'!A25</f>
        <v>19</v>
      </c>
      <c r="B28" s="142" t="str">
        <f>'SCHEDULE OF VALUE WORKSHEET'!B25</f>
        <v>EBM, Low Voltage, Landscape, Waterproofing CA</v>
      </c>
      <c r="C28" s="143"/>
      <c r="D28" s="104">
        <f>SUM('SCHEDULE OF VALUE WORKSHEET'!E25)</f>
        <v>0</v>
      </c>
      <c r="E28" s="104">
        <f>SUM('Draw #14'!E28:F28)</f>
        <v>0</v>
      </c>
      <c r="F28" s="105">
        <v>0</v>
      </c>
      <c r="G28" s="104">
        <f>SUM('Draw #14'!G28)+F28</f>
        <v>0</v>
      </c>
      <c r="H28" s="109">
        <f t="shared" si="0"/>
        <v>0</v>
      </c>
      <c r="I28" s="110">
        <v>0</v>
      </c>
      <c r="J28" s="109">
        <f>SUM(I28+'Draw #14'!J28)</f>
        <v>0</v>
      </c>
      <c r="K28" s="101" t="str">
        <f t="shared" si="1"/>
        <v/>
      </c>
      <c r="L28" s="9"/>
      <c r="M28" s="9"/>
    </row>
    <row r="29" spans="1:13" ht="14.1" customHeight="1">
      <c r="A29" s="4">
        <f>'SCHEDULE OF VALUE WORKSHEET'!A26</f>
        <v>20</v>
      </c>
      <c r="B29" s="142" t="str">
        <f>'SCHEDULE OF VALUE WORKSHEET'!B26</f>
        <v>Project Accounting/Tax Filing</v>
      </c>
      <c r="C29" s="143"/>
      <c r="D29" s="104">
        <f>SUM('SCHEDULE OF VALUE WORKSHEET'!E26)</f>
        <v>12994.01</v>
      </c>
      <c r="E29" s="104">
        <f>SUM('Draw #14'!E29:F29)</f>
        <v>0</v>
      </c>
      <c r="F29" s="105">
        <v>0</v>
      </c>
      <c r="G29" s="104">
        <f>SUM('Draw #14'!G29)+F29</f>
        <v>12994.01</v>
      </c>
      <c r="H29" s="109">
        <f t="shared" si="0"/>
        <v>12994.01</v>
      </c>
      <c r="I29" s="110">
        <v>0</v>
      </c>
      <c r="J29" s="109">
        <f>SUM(I29+'Draw #14'!J29)</f>
        <v>0</v>
      </c>
      <c r="K29" s="101" t="str">
        <f t="shared" si="1"/>
        <v/>
      </c>
      <c r="L29" s="9"/>
      <c r="M29" s="9"/>
    </row>
    <row r="30" spans="1:13" ht="14.1" customHeight="1">
      <c r="A30" s="4">
        <f>'SCHEDULE OF VALUE WORKSHEET'!A27</f>
        <v>21</v>
      </c>
      <c r="B30" s="142" t="str">
        <f>'SCHEDULE OF VALUE WORKSHEET'!B27</f>
        <v>Legal &amp; Professional Fees</v>
      </c>
      <c r="C30" s="143"/>
      <c r="D30" s="104">
        <f>SUM('SCHEDULE OF VALUE WORKSHEET'!E27)</f>
        <v>873.38999999999942</v>
      </c>
      <c r="E30" s="104">
        <f>SUM('Draw #14'!E30:F30)</f>
        <v>0</v>
      </c>
      <c r="F30" s="105">
        <v>0</v>
      </c>
      <c r="G30" s="104">
        <f>SUM('Draw #14'!G30)+F30</f>
        <v>873.38999999999942</v>
      </c>
      <c r="H30" s="109">
        <f t="shared" si="0"/>
        <v>873.38999999999942</v>
      </c>
      <c r="I30" s="110">
        <v>0</v>
      </c>
      <c r="J30" s="109">
        <f>SUM(I30+'Draw #14'!J30)</f>
        <v>0</v>
      </c>
      <c r="K30" s="101" t="str">
        <f t="shared" si="1"/>
        <v/>
      </c>
      <c r="L30" s="9"/>
      <c r="M30" s="9"/>
    </row>
    <row r="31" spans="1:13" ht="14.1" customHeight="1">
      <c r="A31" s="4">
        <f>'SCHEDULE OF VALUE WORKSHEET'!A28</f>
        <v>22</v>
      </c>
      <c r="B31" s="142" t="str">
        <f>'SCHEDULE OF VALUE WORKSHEET'!B28</f>
        <v>Sewer CCTV and inspection</v>
      </c>
      <c r="C31" s="143"/>
      <c r="D31" s="104">
        <f>SUM('SCHEDULE OF VALUE WORKSHEET'!E28)</f>
        <v>0</v>
      </c>
      <c r="E31" s="104">
        <f>SUM('Draw #14'!E31:F31)</f>
        <v>0</v>
      </c>
      <c r="F31" s="105">
        <v>0</v>
      </c>
      <c r="G31" s="104">
        <f>SUM('Draw #14'!G31)+F31</f>
        <v>0</v>
      </c>
      <c r="H31" s="109">
        <f t="shared" si="0"/>
        <v>0</v>
      </c>
      <c r="I31" s="110">
        <v>0</v>
      </c>
      <c r="J31" s="109">
        <f>SUM(I31+'Draw #14'!J31)</f>
        <v>0</v>
      </c>
      <c r="K31" s="101" t="str">
        <f t="shared" si="1"/>
        <v/>
      </c>
      <c r="L31" s="9"/>
      <c r="M31" s="9"/>
    </row>
    <row r="32" spans="1:13" ht="14.1" customHeight="1">
      <c r="A32" s="4">
        <f>'SCHEDULE OF VALUE WORKSHEET'!A29</f>
        <v>23</v>
      </c>
      <c r="B32" s="142" t="str">
        <f>'SCHEDULE OF VALUE WORKSHEET'!B29</f>
        <v>Environmental Phase I</v>
      </c>
      <c r="C32" s="143"/>
      <c r="D32" s="104">
        <f>SUM('SCHEDULE OF VALUE WORKSHEET'!E29)</f>
        <v>0</v>
      </c>
      <c r="E32" s="104">
        <f>SUM('Draw #14'!E32:F32)</f>
        <v>0</v>
      </c>
      <c r="F32" s="105">
        <v>0</v>
      </c>
      <c r="G32" s="104">
        <f>SUM('Draw #14'!G32)+F32</f>
        <v>0</v>
      </c>
      <c r="H32" s="109">
        <f t="shared" si="0"/>
        <v>0</v>
      </c>
      <c r="I32" s="110">
        <v>0</v>
      </c>
      <c r="J32" s="109">
        <f>SUM(I32+'Draw #14'!J32)</f>
        <v>0</v>
      </c>
      <c r="K32" s="101" t="str">
        <f t="shared" si="1"/>
        <v/>
      </c>
      <c r="L32" s="9"/>
      <c r="M32" s="9"/>
    </row>
    <row r="33" spans="1:13" ht="14.1" customHeight="1">
      <c r="A33" s="4">
        <f>'SCHEDULE OF VALUE WORKSHEET'!A30</f>
        <v>24</v>
      </c>
      <c r="B33" s="142" t="str">
        <f>'SCHEDULE OF VALUE WORKSHEET'!B30</f>
        <v>Dry Utility Consultant</v>
      </c>
      <c r="C33" s="143"/>
      <c r="D33" s="104">
        <f>SUM('SCHEDULE OF VALUE WORKSHEET'!E30)</f>
        <v>0</v>
      </c>
      <c r="E33" s="104">
        <f>SUM('Draw #14'!E33:F33)</f>
        <v>0</v>
      </c>
      <c r="F33" s="105">
        <v>0</v>
      </c>
      <c r="G33" s="104">
        <f>SUM('Draw #14'!G33)+F33</f>
        <v>0</v>
      </c>
      <c r="H33" s="109">
        <f t="shared" si="0"/>
        <v>0</v>
      </c>
      <c r="I33" s="110">
        <v>0</v>
      </c>
      <c r="J33" s="109">
        <f>SUM(I33+'Draw #14'!J33)</f>
        <v>0</v>
      </c>
      <c r="K33" s="101" t="str">
        <f t="shared" si="1"/>
        <v/>
      </c>
      <c r="L33" s="9"/>
      <c r="M33" s="9"/>
    </row>
    <row r="34" spans="1:13" ht="14.1" customHeight="1">
      <c r="A34" s="4">
        <f>'SCHEDULE OF VALUE WORKSHEET'!A31</f>
        <v>25</v>
      </c>
      <c r="B34" s="142" t="str">
        <f>'SCHEDULE OF VALUE WORKSHEET'!B31</f>
        <v>Dry Utility Survey</v>
      </c>
      <c r="C34" s="143"/>
      <c r="D34" s="104">
        <f>SUM('SCHEDULE OF VALUE WORKSHEET'!E31)</f>
        <v>5000</v>
      </c>
      <c r="E34" s="104">
        <f>SUM('Draw #14'!E34:F34)</f>
        <v>0</v>
      </c>
      <c r="F34" s="105">
        <v>0</v>
      </c>
      <c r="G34" s="104">
        <f>SUM('Draw #14'!G34)+F34</f>
        <v>5000</v>
      </c>
      <c r="H34" s="109">
        <f t="shared" si="0"/>
        <v>5000</v>
      </c>
      <c r="I34" s="110">
        <v>0</v>
      </c>
      <c r="J34" s="109">
        <f>SUM(I34+'Draw #14'!J34)</f>
        <v>0</v>
      </c>
      <c r="K34" s="101" t="str">
        <f t="shared" si="1"/>
        <v/>
      </c>
      <c r="L34" s="9"/>
      <c r="M34" s="9"/>
    </row>
    <row r="35" spans="1:13" ht="14.1" customHeight="1">
      <c r="A35" s="4">
        <f>'SCHEDULE OF VALUE WORKSHEET'!A32</f>
        <v>26</v>
      </c>
      <c r="B35" s="142" t="str">
        <f>'SCHEDULE OF VALUE WORKSHEET'!B32</f>
        <v>MEP</v>
      </c>
      <c r="C35" s="143"/>
      <c r="D35" s="104">
        <f>SUM('SCHEDULE OF VALUE WORKSHEET'!E32)</f>
        <v>0</v>
      </c>
      <c r="E35" s="104">
        <f>SUM('Draw #14'!E35:F35)</f>
        <v>0</v>
      </c>
      <c r="F35" s="105">
        <v>0</v>
      </c>
      <c r="G35" s="104">
        <f>SUM('Draw #14'!G35)+F35</f>
        <v>0</v>
      </c>
      <c r="H35" s="109">
        <f t="shared" si="0"/>
        <v>0</v>
      </c>
      <c r="I35" s="110">
        <v>0</v>
      </c>
      <c r="J35" s="109">
        <f>SUM(I35+'Draw #14'!J35)</f>
        <v>0</v>
      </c>
      <c r="K35" s="101" t="str">
        <f t="shared" si="1"/>
        <v/>
      </c>
      <c r="L35" s="9"/>
      <c r="M35" s="9"/>
    </row>
    <row r="36" spans="1:13" ht="14.1" customHeight="1">
      <c r="A36" s="4">
        <f>'SCHEDULE OF VALUE WORKSHEET'!A33</f>
        <v>27</v>
      </c>
      <c r="B36" s="142" t="str">
        <f>'SCHEDULE OF VALUE WORKSHEET'!B33</f>
        <v>Civil Construction Administration</v>
      </c>
      <c r="C36" s="143"/>
      <c r="D36" s="104">
        <f>SUM('SCHEDULE OF VALUE WORKSHEET'!E33)</f>
        <v>5000</v>
      </c>
      <c r="E36" s="104">
        <f>SUM('Draw #14'!E36:F36)</f>
        <v>0</v>
      </c>
      <c r="F36" s="105">
        <v>0</v>
      </c>
      <c r="G36" s="104">
        <f>SUM('Draw #14'!G36)+F36</f>
        <v>5000</v>
      </c>
      <c r="H36" s="109">
        <f t="shared" si="0"/>
        <v>5000</v>
      </c>
      <c r="I36" s="110">
        <v>0</v>
      </c>
      <c r="J36" s="109">
        <f>SUM(I36+'Draw #14'!J36)</f>
        <v>0</v>
      </c>
      <c r="K36" s="101" t="str">
        <f t="shared" si="1"/>
        <v/>
      </c>
      <c r="L36" s="9"/>
      <c r="M36" s="9"/>
    </row>
    <row r="37" spans="1:13" ht="14.1" customHeight="1">
      <c r="A37" s="4">
        <f>'SCHEDULE OF VALUE WORKSHEET'!A34</f>
        <v>28</v>
      </c>
      <c r="B37" s="142" t="str">
        <f>'SCHEDULE OF VALUE WORKSHEET'!B34</f>
        <v>Permit Clearances &amp; Agency Reviews</v>
      </c>
      <c r="C37" s="143"/>
      <c r="D37" s="104">
        <f>SUM('SCHEDULE OF VALUE WORKSHEET'!E34)</f>
        <v>0</v>
      </c>
      <c r="E37" s="104">
        <f>SUM('Draw #14'!E37:F37)</f>
        <v>0</v>
      </c>
      <c r="F37" s="105">
        <v>0</v>
      </c>
      <c r="G37" s="104">
        <f>SUM('Draw #14'!G37)+F37</f>
        <v>0</v>
      </c>
      <c r="H37" s="109">
        <f t="shared" si="0"/>
        <v>0</v>
      </c>
      <c r="I37" s="110">
        <v>0</v>
      </c>
      <c r="J37" s="109">
        <f>SUM(I37+'Draw #14'!J37)</f>
        <v>0</v>
      </c>
      <c r="K37" s="101" t="str">
        <f t="shared" si="1"/>
        <v/>
      </c>
      <c r="L37" s="9"/>
      <c r="M37" s="9"/>
    </row>
    <row r="38" spans="1:13" ht="14.1" customHeight="1">
      <c r="A38" s="4">
        <f>'SCHEDULE OF VALUE WORKSHEET'!A35</f>
        <v>29</v>
      </c>
      <c r="B38" s="142" t="str">
        <f>'SCHEDULE OF VALUE WORKSHEET'!B35</f>
        <v>Demo Permit Fees</v>
      </c>
      <c r="C38" s="143"/>
      <c r="D38" s="104">
        <f>SUM('SCHEDULE OF VALUE WORKSHEET'!E35)</f>
        <v>500</v>
      </c>
      <c r="E38" s="104">
        <f>SUM('Draw #14'!E38:F38)</f>
        <v>0</v>
      </c>
      <c r="F38" s="105">
        <v>0</v>
      </c>
      <c r="G38" s="104">
        <f>SUM('Draw #14'!G38)+F38</f>
        <v>500</v>
      </c>
      <c r="H38" s="109">
        <f t="shared" si="0"/>
        <v>500</v>
      </c>
      <c r="I38" s="110">
        <v>0</v>
      </c>
      <c r="J38" s="109">
        <f>SUM(I38+'Draw #14'!J38)</f>
        <v>0</v>
      </c>
      <c r="K38" s="101" t="str">
        <f t="shared" si="1"/>
        <v/>
      </c>
      <c r="L38" s="9"/>
      <c r="M38" s="9"/>
    </row>
    <row r="39" spans="1:13" ht="14.1" customHeight="1">
      <c r="A39" s="4">
        <f>'SCHEDULE OF VALUE WORKSHEET'!A36</f>
        <v>30</v>
      </c>
      <c r="B39" s="142" t="str">
        <f>'SCHEDULE OF VALUE WORKSHEET'!B36</f>
        <v>MEP Fees</v>
      </c>
      <c r="C39" s="143"/>
      <c r="D39" s="104">
        <f>SUM('SCHEDULE OF VALUE WORKSHEET'!E36)</f>
        <v>0</v>
      </c>
      <c r="E39" s="104">
        <f>SUM('Draw #14'!E39:F39)</f>
        <v>0</v>
      </c>
      <c r="F39" s="105">
        <v>0</v>
      </c>
      <c r="G39" s="104">
        <f>SUM('Draw #14'!G39)+F39</f>
        <v>0</v>
      </c>
      <c r="H39" s="109">
        <f t="shared" si="0"/>
        <v>0</v>
      </c>
      <c r="I39" s="110">
        <v>0</v>
      </c>
      <c r="J39" s="109">
        <f>SUM(I39+'Draw #14'!J39)</f>
        <v>0</v>
      </c>
      <c r="K39" s="101" t="str">
        <f t="shared" si="1"/>
        <v/>
      </c>
      <c r="L39" s="9"/>
      <c r="M39" s="9"/>
    </row>
    <row r="40" spans="1:13" ht="14.1" customHeight="1">
      <c r="A40" s="4">
        <f>'SCHEDULE OF VALUE WORKSHEET'!A37</f>
        <v>31</v>
      </c>
      <c r="B40" s="142" t="str">
        <f>'SCHEDULE OF VALUE WORKSHEET'!B37</f>
        <v>Agency Signoffs</v>
      </c>
      <c r="C40" s="143"/>
      <c r="D40" s="104">
        <f>SUM('SCHEDULE OF VALUE WORKSHEET'!E37)</f>
        <v>0</v>
      </c>
      <c r="E40" s="104">
        <f>SUM('Draw #14'!E40:F40)</f>
        <v>0</v>
      </c>
      <c r="F40" s="105">
        <v>0</v>
      </c>
      <c r="G40" s="104">
        <f>SUM('Draw #14'!G40)+F40</f>
        <v>0</v>
      </c>
      <c r="H40" s="109">
        <f t="shared" si="0"/>
        <v>0</v>
      </c>
      <c r="I40" s="110">
        <v>0</v>
      </c>
      <c r="J40" s="109">
        <f>SUM(I40+'Draw #14'!J40)</f>
        <v>0</v>
      </c>
      <c r="K40" s="101" t="str">
        <f t="shared" si="1"/>
        <v/>
      </c>
      <c r="L40" s="9"/>
      <c r="M40" s="9"/>
    </row>
    <row r="41" spans="1:13" ht="14.1" customHeight="1">
      <c r="A41" s="4">
        <f>'SCHEDULE OF VALUE WORKSHEET'!A38</f>
        <v>32</v>
      </c>
      <c r="B41" s="142" t="str">
        <f>'SCHEDULE OF VALUE WORKSHEET'!B38</f>
        <v>Specifications Writer Consultant</v>
      </c>
      <c r="C41" s="143"/>
      <c r="D41" s="104">
        <f>SUM('SCHEDULE OF VALUE WORKSHEET'!E38)</f>
        <v>2000</v>
      </c>
      <c r="E41" s="104">
        <f>SUM('Draw #14'!E41:F41)</f>
        <v>0</v>
      </c>
      <c r="F41" s="105">
        <v>0</v>
      </c>
      <c r="G41" s="104">
        <f>SUM('Draw #14'!G41)+F41</f>
        <v>2000</v>
      </c>
      <c r="H41" s="109">
        <f t="shared" si="0"/>
        <v>2000</v>
      </c>
      <c r="I41" s="110">
        <v>0</v>
      </c>
      <c r="J41" s="109">
        <f>SUM(I41+'Draw #14'!J41)</f>
        <v>0</v>
      </c>
      <c r="K41" s="101" t="str">
        <f t="shared" si="1"/>
        <v/>
      </c>
      <c r="L41" s="9"/>
      <c r="M41" s="9"/>
    </row>
    <row r="42" spans="1:13" ht="14.1" customHeight="1">
      <c r="A42" s="4">
        <f>'SCHEDULE OF VALUE WORKSHEET'!A39</f>
        <v>33</v>
      </c>
      <c r="B42" s="142" t="str">
        <f>'SCHEDULE OF VALUE WORKSHEET'!B39</f>
        <v>Construction Consultant</v>
      </c>
      <c r="C42" s="143"/>
      <c r="D42" s="104">
        <f>SUM('SCHEDULE OF VALUE WORKSHEET'!E39)</f>
        <v>0</v>
      </c>
      <c r="E42" s="104">
        <f>SUM('Draw #14'!E42:F42)</f>
        <v>0</v>
      </c>
      <c r="F42" s="105">
        <v>0</v>
      </c>
      <c r="G42" s="104">
        <f>SUM('Draw #14'!G42)+F42</f>
        <v>0</v>
      </c>
      <c r="H42" s="109">
        <f t="shared" si="0"/>
        <v>0</v>
      </c>
      <c r="I42" s="110">
        <v>0</v>
      </c>
      <c r="J42" s="109">
        <f>SUM(I42+'Draw #14'!J42)</f>
        <v>0</v>
      </c>
      <c r="K42" s="101" t="str">
        <f t="shared" si="1"/>
        <v/>
      </c>
      <c r="L42" s="9"/>
      <c r="M42" s="9"/>
    </row>
    <row r="43" spans="1:13" ht="14.1" customHeight="1">
      <c r="A43" s="4">
        <f>'SCHEDULE OF VALUE WORKSHEET'!A40</f>
        <v>34</v>
      </c>
      <c r="B43" s="142" t="str">
        <f>'SCHEDULE OF VALUE WORKSHEET'!B40</f>
        <v>Low Voltage Consultant</v>
      </c>
      <c r="C43" s="143"/>
      <c r="D43" s="104">
        <f>SUM('SCHEDULE OF VALUE WORKSHEET'!E40)</f>
        <v>15524</v>
      </c>
      <c r="E43" s="104">
        <f>SUM('Draw #14'!E43:F43)</f>
        <v>0</v>
      </c>
      <c r="F43" s="105">
        <v>0</v>
      </c>
      <c r="G43" s="104">
        <f>SUM('Draw #14'!G43)+F43</f>
        <v>15524</v>
      </c>
      <c r="H43" s="109">
        <f t="shared" si="0"/>
        <v>15524</v>
      </c>
      <c r="I43" s="110">
        <v>0</v>
      </c>
      <c r="J43" s="109">
        <f>SUM(I43+'Draw #14'!J43)</f>
        <v>0</v>
      </c>
      <c r="K43" s="101" t="str">
        <f t="shared" si="1"/>
        <v/>
      </c>
      <c r="L43" s="9"/>
      <c r="M43" s="9"/>
    </row>
    <row r="44" spans="1:13" ht="14.1" customHeight="1">
      <c r="A44" s="4">
        <f>'SCHEDULE OF VALUE WORKSHEET'!A41</f>
        <v>35</v>
      </c>
      <c r="B44" s="142" t="str">
        <f>'SCHEDULE OF VALUE WORKSHEET'!B41</f>
        <v>Photovoltaic Consultant</v>
      </c>
      <c r="C44" s="143"/>
      <c r="D44" s="104">
        <f>SUM('SCHEDULE OF VALUE WORKSHEET'!E41)</f>
        <v>5000</v>
      </c>
      <c r="E44" s="104">
        <f>SUM('Draw #14'!E44:F44)</f>
        <v>0</v>
      </c>
      <c r="F44" s="105">
        <v>0</v>
      </c>
      <c r="G44" s="104">
        <f>SUM('Draw #14'!G44)+F44</f>
        <v>5000</v>
      </c>
      <c r="H44" s="109">
        <f t="shared" si="0"/>
        <v>5000</v>
      </c>
      <c r="I44" s="110">
        <v>0</v>
      </c>
      <c r="J44" s="109">
        <f>SUM(I44+'Draw #14'!J44)</f>
        <v>0</v>
      </c>
      <c r="K44" s="101" t="str">
        <f t="shared" si="1"/>
        <v/>
      </c>
      <c r="L44" s="9"/>
      <c r="M44" s="9"/>
    </row>
    <row r="45" spans="1:13" ht="14.1" customHeight="1">
      <c r="A45" s="4">
        <f>'SCHEDULE OF VALUE WORKSHEET'!A42</f>
        <v>36</v>
      </c>
      <c r="B45" s="142" t="str">
        <f>'SCHEDULE OF VALUE WORKSHEET'!B42</f>
        <v>Construction Management / Observation (OO)</v>
      </c>
      <c r="C45" s="143"/>
      <c r="D45" s="104">
        <f>SUM('SCHEDULE OF VALUE WORKSHEET'!E42)</f>
        <v>49427.9</v>
      </c>
      <c r="E45" s="104">
        <f>SUM('Draw #14'!E45:F45)</f>
        <v>0</v>
      </c>
      <c r="F45" s="105">
        <v>0</v>
      </c>
      <c r="G45" s="104">
        <f>SUM('Draw #14'!G45)+F45</f>
        <v>49427.9</v>
      </c>
      <c r="H45" s="109">
        <f t="shared" si="0"/>
        <v>49427.9</v>
      </c>
      <c r="I45" s="110">
        <v>0</v>
      </c>
      <c r="J45" s="109">
        <f>SUM(I45+'Draw #14'!J45)</f>
        <v>0</v>
      </c>
      <c r="K45" s="101" t="str">
        <f t="shared" si="1"/>
        <v/>
      </c>
      <c r="L45" s="9"/>
      <c r="M45" s="9"/>
    </row>
    <row r="46" spans="1:13" ht="14.1" customHeight="1">
      <c r="A46" s="4" t="e">
        <f>'SCHEDULE OF VALUE WORKSHEET'!#REF!</f>
        <v>#REF!</v>
      </c>
      <c r="B46" s="142" t="e">
        <f>'SCHEDULE OF VALUE WORKSHEET'!#REF!</f>
        <v>#REF!</v>
      </c>
      <c r="C46" s="143"/>
      <c r="D46" s="104" t="e">
        <f>SUM('SCHEDULE OF VALUE WORKSHEET'!#REF!)</f>
        <v>#REF!</v>
      </c>
      <c r="E46" s="104">
        <f>SUM('Draw #14'!E46:F46)</f>
        <v>0</v>
      </c>
      <c r="F46" s="105">
        <v>0</v>
      </c>
      <c r="G46" s="104" t="e">
        <f>SUM('Draw #14'!G46)+F46</f>
        <v>#REF!</v>
      </c>
      <c r="H46" s="109" t="e">
        <f t="shared" si="0"/>
        <v>#REF!</v>
      </c>
      <c r="I46" s="110">
        <v>0</v>
      </c>
      <c r="J46" s="109">
        <f>SUM(I46+'Draw #14'!J46)</f>
        <v>0</v>
      </c>
      <c r="K46" s="101" t="str">
        <f t="shared" si="1"/>
        <v/>
      </c>
      <c r="L46" s="9"/>
      <c r="M46" s="9"/>
    </row>
    <row r="47" spans="1:13" ht="14.1" customHeight="1">
      <c r="A47" s="4">
        <f>'SCHEDULE OF VALUE WORKSHEET'!A43</f>
        <v>37</v>
      </c>
      <c r="B47" s="142" t="str">
        <f>'SCHEDULE OF VALUE WORKSHEET'!B43</f>
        <v>CMFA Startup Fee</v>
      </c>
      <c r="C47" s="143"/>
      <c r="D47" s="104">
        <f>SUM('SCHEDULE OF VALUE WORKSHEET'!E43)</f>
        <v>22800</v>
      </c>
      <c r="E47" s="104">
        <f>SUM('Draw #14'!E47:F47)</f>
        <v>0</v>
      </c>
      <c r="F47" s="105">
        <v>0</v>
      </c>
      <c r="G47" s="104">
        <f>SUM('Draw #14'!G47)+F47</f>
        <v>22800</v>
      </c>
      <c r="H47" s="109">
        <f t="shared" si="0"/>
        <v>22800</v>
      </c>
      <c r="I47" s="110">
        <v>0</v>
      </c>
      <c r="J47" s="109">
        <f>SUM(I47+'Draw #14'!J47)</f>
        <v>0</v>
      </c>
      <c r="K47" s="101" t="str">
        <f t="shared" si="1"/>
        <v/>
      </c>
      <c r="L47" s="9"/>
      <c r="M47" s="9"/>
    </row>
    <row r="48" spans="1:13" ht="14.1" customHeight="1">
      <c r="A48" s="4">
        <f>'SCHEDULE OF VALUE WORKSHEET'!A44</f>
        <v>38</v>
      </c>
      <c r="B48" s="142" t="str">
        <f>'SCHEDULE OF VALUE WORKSHEET'!B44</f>
        <v>Non-Profit Start Up Fee</v>
      </c>
      <c r="C48" s="143"/>
      <c r="D48" s="104">
        <f>SUM('SCHEDULE OF VALUE WORKSHEET'!E44)</f>
        <v>25000</v>
      </c>
      <c r="E48" s="104">
        <f>SUM('Draw #14'!E48:F48)</f>
        <v>0</v>
      </c>
      <c r="F48" s="105">
        <v>0</v>
      </c>
      <c r="G48" s="104">
        <f>SUM('Draw #14'!G48)+F48</f>
        <v>25000</v>
      </c>
      <c r="H48" s="109">
        <f t="shared" si="0"/>
        <v>25000</v>
      </c>
      <c r="I48" s="110">
        <v>0</v>
      </c>
      <c r="J48" s="109">
        <f>SUM(I48+'Draw #14'!J48)</f>
        <v>0</v>
      </c>
      <c r="K48" s="101" t="str">
        <f t="shared" si="1"/>
        <v/>
      </c>
      <c r="L48" s="9"/>
      <c r="M48" s="9"/>
    </row>
    <row r="49" spans="1:13" ht="14.1" customHeight="1">
      <c r="A49" s="4">
        <f>'SCHEDULE OF VALUE WORKSHEET'!A45</f>
        <v>39</v>
      </c>
      <c r="B49" s="142" t="str">
        <f>'SCHEDULE OF VALUE WORKSHEET'!B45</f>
        <v>CMFA Construction Fee</v>
      </c>
      <c r="C49" s="143"/>
      <c r="D49" s="104">
        <f>SUM('SCHEDULE OF VALUE WORKSHEET'!E45)</f>
        <v>12000</v>
      </c>
      <c r="E49" s="104">
        <f>SUM('Draw #14'!E49:F49)</f>
        <v>0</v>
      </c>
      <c r="F49" s="105">
        <v>0</v>
      </c>
      <c r="G49" s="104">
        <f>SUM('Draw #14'!G49)+F49</f>
        <v>12000</v>
      </c>
      <c r="H49" s="109">
        <f t="shared" si="0"/>
        <v>12000</v>
      </c>
      <c r="I49" s="110">
        <v>0</v>
      </c>
      <c r="J49" s="109">
        <f>SUM(I49+'Draw #14'!J49)</f>
        <v>0</v>
      </c>
      <c r="K49" s="101" t="str">
        <f t="shared" si="1"/>
        <v/>
      </c>
      <c r="L49" s="9"/>
      <c r="M49" s="9"/>
    </row>
    <row r="50" spans="1:13" ht="14.1" customHeight="1">
      <c r="A50" s="4">
        <f>'SCHEDULE OF VALUE WORKSHEET'!A46</f>
        <v>40</v>
      </c>
      <c r="B50" s="142" t="str">
        <f>'SCHEDULE OF VALUE WORKSHEET'!B46</f>
        <v>Non-Profit Construction Fee</v>
      </c>
      <c r="C50" s="143"/>
      <c r="D50" s="104">
        <f>SUM('SCHEDULE OF VALUE WORKSHEET'!E46)</f>
        <v>10000</v>
      </c>
      <c r="E50" s="104">
        <f>SUM('Draw #14'!E50:F50)</f>
        <v>0</v>
      </c>
      <c r="F50" s="105">
        <v>0</v>
      </c>
      <c r="G50" s="104">
        <f>SUM('Draw #14'!G50)+F50</f>
        <v>10000</v>
      </c>
      <c r="H50" s="109">
        <f t="shared" si="0"/>
        <v>10000</v>
      </c>
      <c r="I50" s="110">
        <v>0</v>
      </c>
      <c r="J50" s="109">
        <f>SUM(I50+'Draw #14'!J50)</f>
        <v>0</v>
      </c>
      <c r="K50" s="101" t="str">
        <f t="shared" si="1"/>
        <v/>
      </c>
      <c r="L50" s="9"/>
      <c r="M50" s="9"/>
    </row>
    <row r="51" spans="1:13" ht="14.1" customHeight="1">
      <c r="A51" s="4">
        <f>'SCHEDULE OF VALUE WORKSHEET'!A47</f>
        <v>41</v>
      </c>
      <c r="B51" s="142" t="str">
        <f>'SCHEDULE OF VALUE WORKSHEET'!B47</f>
        <v>WTE Legal Costs for CMFA &amp; Non-Profit Partner</v>
      </c>
      <c r="C51" s="143"/>
      <c r="D51" s="104">
        <f>SUM('SCHEDULE OF VALUE WORKSHEET'!E47)</f>
        <v>20000</v>
      </c>
      <c r="E51" s="104">
        <f>SUM('Draw #14'!E51:F51)</f>
        <v>0</v>
      </c>
      <c r="F51" s="105">
        <v>0</v>
      </c>
      <c r="G51" s="104">
        <f>SUM('Draw #14'!G51)+F51</f>
        <v>20000</v>
      </c>
      <c r="H51" s="109">
        <f t="shared" si="0"/>
        <v>20000</v>
      </c>
      <c r="I51" s="110">
        <v>0</v>
      </c>
      <c r="J51" s="109">
        <f>SUM(I51+'Draw #14'!J51)</f>
        <v>0</v>
      </c>
      <c r="K51" s="101" t="str">
        <f t="shared" si="1"/>
        <v/>
      </c>
      <c r="L51" s="9"/>
      <c r="M51" s="9"/>
    </row>
    <row r="52" spans="1:13" ht="14.1" customHeight="1">
      <c r="A52" s="4" t="e">
        <f>'SCHEDULE OF VALUE WORKSHEET'!#REF!</f>
        <v>#REF!</v>
      </c>
      <c r="B52" s="142" t="e">
        <f>'SCHEDULE OF VALUE WORKSHEET'!#REF!</f>
        <v>#REF!</v>
      </c>
      <c r="C52" s="143"/>
      <c r="D52" s="104" t="e">
        <f>SUM('SCHEDULE OF VALUE WORKSHEET'!#REF!)</f>
        <v>#REF!</v>
      </c>
      <c r="E52" s="104">
        <f>SUM('Draw #14'!E52:F52)</f>
        <v>0</v>
      </c>
      <c r="F52" s="105">
        <v>0</v>
      </c>
      <c r="G52" s="104" t="e">
        <f>SUM('Draw #14'!G52)+F52</f>
        <v>#REF!</v>
      </c>
      <c r="H52" s="109" t="e">
        <f t="shared" si="0"/>
        <v>#REF!</v>
      </c>
      <c r="I52" s="110">
        <v>0</v>
      </c>
      <c r="J52" s="109">
        <f>SUM(I52+'Draw #14'!J52)</f>
        <v>0</v>
      </c>
      <c r="K52" s="101" t="str">
        <f t="shared" si="1"/>
        <v/>
      </c>
      <c r="L52" s="9"/>
      <c r="M52" s="9"/>
    </row>
    <row r="53" spans="1:13" ht="14.1" customHeight="1">
      <c r="A53" s="4">
        <f>'SCHEDULE OF VALUE WORKSHEET'!A49</f>
        <v>43</v>
      </c>
      <c r="B53" s="142" t="str">
        <f>'SCHEDULE OF VALUE WORKSHEET'!B49</f>
        <v>GENERAL CONDITIONS</v>
      </c>
      <c r="C53" s="143"/>
      <c r="D53" s="104">
        <f>SUM('SCHEDULE OF VALUE WORKSHEET'!E49)</f>
        <v>362115.24</v>
      </c>
      <c r="E53" s="104">
        <f>SUM('Draw #14'!E53:F53)</f>
        <v>0</v>
      </c>
      <c r="F53" s="105">
        <v>0</v>
      </c>
      <c r="G53" s="104">
        <f>SUM('Draw #14'!G53)+F53</f>
        <v>362115.24</v>
      </c>
      <c r="H53" s="109">
        <f t="shared" si="0"/>
        <v>362115.24</v>
      </c>
      <c r="I53" s="110">
        <v>0</v>
      </c>
      <c r="J53" s="109">
        <f>SUM(I53+'Draw #14'!J53)</f>
        <v>0</v>
      </c>
      <c r="K53" s="101" t="str">
        <f t="shared" si="1"/>
        <v/>
      </c>
      <c r="L53" s="9"/>
      <c r="M53" s="9"/>
    </row>
    <row r="54" spans="1:13" ht="14.1" customHeight="1">
      <c r="A54" s="4">
        <f>'SCHEDULE OF VALUE WORKSHEET'!A50</f>
        <v>44</v>
      </c>
      <c r="B54" s="142" t="str">
        <f>'SCHEDULE OF VALUE WORKSHEET'!B50</f>
        <v>GENERAL REQUIREMENT</v>
      </c>
      <c r="C54" s="143"/>
      <c r="D54" s="104">
        <f>SUM('SCHEDULE OF VALUE WORKSHEET'!E50)</f>
        <v>124657.88</v>
      </c>
      <c r="E54" s="104">
        <f>SUM('Draw #14'!E54:F54)</f>
        <v>0</v>
      </c>
      <c r="F54" s="105">
        <v>0</v>
      </c>
      <c r="G54" s="104">
        <f>SUM('Draw #14'!G54)+F54</f>
        <v>124657.88</v>
      </c>
      <c r="H54" s="109">
        <f t="shared" si="0"/>
        <v>124657.88</v>
      </c>
      <c r="I54" s="110">
        <v>0</v>
      </c>
      <c r="J54" s="109">
        <f>SUM(I54+'Draw #14'!J54)</f>
        <v>0</v>
      </c>
      <c r="K54" s="101" t="str">
        <f t="shared" si="1"/>
        <v/>
      </c>
      <c r="L54" s="9"/>
      <c r="M54" s="9"/>
    </row>
    <row r="55" spans="1:13" ht="14.1" customHeight="1">
      <c r="A55" s="4">
        <f>'SCHEDULE OF VALUE WORKSHEET'!A51</f>
        <v>45</v>
      </c>
      <c r="B55" s="142" t="str">
        <f>'SCHEDULE OF VALUE WORKSHEET'!B51</f>
        <v>SITE WORK</v>
      </c>
      <c r="C55" s="143"/>
      <c r="D55" s="104">
        <f>SUM('SCHEDULE OF VALUE WORKSHEET'!E51)</f>
        <v>139049.51</v>
      </c>
      <c r="E55" s="104">
        <f>SUM('Draw #14'!E55:F55)</f>
        <v>0</v>
      </c>
      <c r="F55" s="105">
        <v>0</v>
      </c>
      <c r="G55" s="104">
        <f>SUM('Draw #14'!G55)+F55</f>
        <v>139049.51</v>
      </c>
      <c r="H55" s="109">
        <f t="shared" si="0"/>
        <v>139049.51</v>
      </c>
      <c r="I55" s="110">
        <v>0</v>
      </c>
      <c r="J55" s="109">
        <f>SUM(I55+'Draw #14'!J55)</f>
        <v>0</v>
      </c>
      <c r="K55" s="101" t="str">
        <f t="shared" si="1"/>
        <v/>
      </c>
      <c r="L55" s="9"/>
      <c r="M55" s="9"/>
    </row>
    <row r="56" spans="1:13" ht="14.1" customHeight="1">
      <c r="A56" s="4">
        <f>'SCHEDULE OF VALUE WORKSHEET'!A52</f>
        <v>46</v>
      </c>
      <c r="B56" s="142" t="str">
        <f>'SCHEDULE OF VALUE WORKSHEET'!B52</f>
        <v>CONCRETE</v>
      </c>
      <c r="C56" s="143"/>
      <c r="D56" s="104">
        <f>SUM('SCHEDULE OF VALUE WORKSHEET'!E52)</f>
        <v>253182</v>
      </c>
      <c r="E56" s="104">
        <f>SUM('Draw #14'!E56:F56)</f>
        <v>0</v>
      </c>
      <c r="F56" s="105">
        <v>0</v>
      </c>
      <c r="G56" s="104">
        <f>SUM('Draw #14'!G56)+F56</f>
        <v>253182</v>
      </c>
      <c r="H56" s="109">
        <f t="shared" si="0"/>
        <v>253182</v>
      </c>
      <c r="I56" s="110">
        <v>0</v>
      </c>
      <c r="J56" s="109">
        <f>SUM(I56+'Draw #14'!J56)</f>
        <v>0</v>
      </c>
      <c r="K56" s="101" t="str">
        <f t="shared" si="1"/>
        <v/>
      </c>
      <c r="L56" s="9"/>
      <c r="M56" s="9"/>
    </row>
    <row r="57" spans="1:13" ht="14.1" customHeight="1">
      <c r="A57" s="4">
        <f>'SCHEDULE OF VALUE WORKSHEET'!A53</f>
        <v>47</v>
      </c>
      <c r="B57" s="142" t="str">
        <f>'SCHEDULE OF VALUE WORKSHEET'!B53</f>
        <v>MASONRY</v>
      </c>
      <c r="C57" s="143"/>
      <c r="D57" s="104">
        <f>SUM('SCHEDULE OF VALUE WORKSHEET'!E53)</f>
        <v>3562.64</v>
      </c>
      <c r="E57" s="104">
        <f>SUM('Draw #14'!E57:F57)</f>
        <v>0</v>
      </c>
      <c r="F57" s="105">
        <v>0</v>
      </c>
      <c r="G57" s="104">
        <f>SUM('Draw #14'!G57)+F57</f>
        <v>3562.64</v>
      </c>
      <c r="H57" s="109">
        <f t="shared" si="0"/>
        <v>3562.64</v>
      </c>
      <c r="I57" s="110">
        <v>0</v>
      </c>
      <c r="J57" s="109">
        <f>SUM(I57+'Draw #14'!J57)</f>
        <v>0</v>
      </c>
      <c r="K57" s="101" t="str">
        <f t="shared" si="1"/>
        <v/>
      </c>
      <c r="L57" s="9"/>
      <c r="M57" s="9"/>
    </row>
    <row r="58" spans="1:13" ht="14.1" customHeight="1">
      <c r="A58" s="4">
        <f>'SCHEDULE OF VALUE WORKSHEET'!A54</f>
        <v>48</v>
      </c>
      <c r="B58" s="142" t="str">
        <f>'SCHEDULE OF VALUE WORKSHEET'!B54</f>
        <v>METALS</v>
      </c>
      <c r="C58" s="143"/>
      <c r="D58" s="104">
        <f>SUM('SCHEDULE OF VALUE WORKSHEET'!E54)</f>
        <v>324100</v>
      </c>
      <c r="E58" s="104">
        <f>SUM('Draw #14'!E58:F58)</f>
        <v>0</v>
      </c>
      <c r="F58" s="105">
        <v>0</v>
      </c>
      <c r="G58" s="104">
        <f>SUM('Draw #14'!G58)+F58</f>
        <v>324100</v>
      </c>
      <c r="H58" s="109">
        <f t="shared" si="0"/>
        <v>324100</v>
      </c>
      <c r="I58" s="110">
        <v>0</v>
      </c>
      <c r="J58" s="109">
        <f>SUM(I58+'Draw #14'!J58)</f>
        <v>0</v>
      </c>
      <c r="K58" s="101" t="str">
        <f t="shared" si="1"/>
        <v/>
      </c>
      <c r="L58" s="9"/>
      <c r="M58" s="9"/>
    </row>
    <row r="59" spans="1:13" ht="14.1" customHeight="1">
      <c r="A59" s="4">
        <f>'SCHEDULE OF VALUE WORKSHEET'!A55</f>
        <v>49</v>
      </c>
      <c r="B59" s="142" t="str">
        <f>'SCHEDULE OF VALUE WORKSHEET'!B55</f>
        <v>FRAMING</v>
      </c>
      <c r="C59" s="143"/>
      <c r="D59" s="104">
        <f>SUM('SCHEDULE OF VALUE WORKSHEET'!E55)</f>
        <v>818554</v>
      </c>
      <c r="E59" s="104">
        <f>SUM('Draw #14'!E59:F59)</f>
        <v>0</v>
      </c>
      <c r="F59" s="105">
        <v>0</v>
      </c>
      <c r="G59" s="104">
        <f>SUM('Draw #14'!G59)+F59</f>
        <v>818554</v>
      </c>
      <c r="H59" s="109">
        <f t="shared" si="0"/>
        <v>818554</v>
      </c>
      <c r="I59" s="110">
        <v>0</v>
      </c>
      <c r="J59" s="109">
        <f>SUM(I59+'Draw #14'!J59)</f>
        <v>0</v>
      </c>
      <c r="K59" s="101" t="str">
        <f t="shared" si="1"/>
        <v/>
      </c>
      <c r="L59" s="9"/>
      <c r="M59" s="9"/>
    </row>
    <row r="60" spans="1:13" ht="14.1" customHeight="1">
      <c r="A60" s="4">
        <f>'SCHEDULE OF VALUE WORKSHEET'!A56</f>
        <v>50</v>
      </c>
      <c r="B60" s="142" t="str">
        <f>'SCHEDULE OF VALUE WORKSHEET'!B56</f>
        <v>COUNTERTOPS</v>
      </c>
      <c r="C60" s="143"/>
      <c r="D60" s="104">
        <f>SUM('SCHEDULE OF VALUE WORKSHEET'!E56)</f>
        <v>56930</v>
      </c>
      <c r="E60" s="104">
        <f>SUM('Draw #14'!E60:F60)</f>
        <v>0</v>
      </c>
      <c r="F60" s="105">
        <v>0</v>
      </c>
      <c r="G60" s="104">
        <f>SUM('Draw #14'!G60)+F60</f>
        <v>56930</v>
      </c>
      <c r="H60" s="109">
        <f t="shared" si="0"/>
        <v>56930</v>
      </c>
      <c r="I60" s="110">
        <v>0</v>
      </c>
      <c r="J60" s="109">
        <f>SUM(I60+'Draw #14'!J60)</f>
        <v>0</v>
      </c>
      <c r="K60" s="101" t="str">
        <f t="shared" si="1"/>
        <v/>
      </c>
      <c r="L60" s="9"/>
      <c r="M60" s="9"/>
    </row>
    <row r="61" spans="1:13" ht="14.1" customHeight="1">
      <c r="A61" s="4">
        <f>'SCHEDULE OF VALUE WORKSHEET'!A57</f>
        <v>51</v>
      </c>
      <c r="B61" s="142" t="str">
        <f>'SCHEDULE OF VALUE WORKSHEET'!B57</f>
        <v>CABINETS</v>
      </c>
      <c r="C61" s="143"/>
      <c r="D61" s="104">
        <f>SUM('SCHEDULE OF VALUE WORKSHEET'!E57)</f>
        <v>56930</v>
      </c>
      <c r="E61" s="104">
        <f>SUM('Draw #14'!E61:F61)</f>
        <v>0</v>
      </c>
      <c r="F61" s="105">
        <v>0</v>
      </c>
      <c r="G61" s="104">
        <f>SUM('Draw #14'!G61)+F61</f>
        <v>56930</v>
      </c>
      <c r="H61" s="109">
        <f t="shared" si="0"/>
        <v>56930</v>
      </c>
      <c r="I61" s="110">
        <v>0</v>
      </c>
      <c r="J61" s="109">
        <f>SUM(I61+'Draw #14'!J61)</f>
        <v>0</v>
      </c>
      <c r="K61" s="101" t="str">
        <f t="shared" si="1"/>
        <v/>
      </c>
      <c r="L61" s="9"/>
      <c r="M61" s="9"/>
    </row>
    <row r="62" spans="1:13" ht="14.1" customHeight="1">
      <c r="A62" s="4">
        <f>'SCHEDULE OF VALUE WORKSHEET'!A58</f>
        <v>52</v>
      </c>
      <c r="B62" s="142" t="str">
        <f>'SCHEDULE OF VALUE WORKSHEET'!B58</f>
        <v>THERMAL MOISTURE PROTECTION</v>
      </c>
      <c r="C62" s="143"/>
      <c r="D62" s="104">
        <f>SUM('SCHEDULE OF VALUE WORKSHEET'!E58)</f>
        <v>173148</v>
      </c>
      <c r="E62" s="104">
        <f>SUM('Draw #14'!E62:F62)</f>
        <v>0</v>
      </c>
      <c r="F62" s="105">
        <v>0</v>
      </c>
      <c r="G62" s="104">
        <f>SUM('Draw #14'!G62)+F62</f>
        <v>173148</v>
      </c>
      <c r="H62" s="109">
        <f t="shared" si="0"/>
        <v>173148</v>
      </c>
      <c r="I62" s="110">
        <v>0</v>
      </c>
      <c r="J62" s="109">
        <f>SUM(I62+'Draw #14'!J62)</f>
        <v>0</v>
      </c>
      <c r="K62" s="101" t="str">
        <f t="shared" si="1"/>
        <v/>
      </c>
      <c r="L62" s="9"/>
      <c r="M62" s="9"/>
    </row>
    <row r="63" spans="1:13" ht="14.1" customHeight="1">
      <c r="A63" s="4">
        <f>'SCHEDULE OF VALUE WORKSHEET'!A59</f>
        <v>53</v>
      </c>
      <c r="B63" s="142" t="str">
        <f>'SCHEDULE OF VALUE WORKSHEET'!B59</f>
        <v>DOORS</v>
      </c>
      <c r="C63" s="143"/>
      <c r="D63" s="104">
        <f>SUM('SCHEDULE OF VALUE WORKSHEET'!E59)</f>
        <v>204087.33</v>
      </c>
      <c r="E63" s="104">
        <f>SUM('Draw #14'!E63:F63)</f>
        <v>0</v>
      </c>
      <c r="F63" s="105">
        <v>0</v>
      </c>
      <c r="G63" s="104">
        <f>SUM('Draw #14'!G63)+F63</f>
        <v>204087.33</v>
      </c>
      <c r="H63" s="109">
        <f t="shared" si="0"/>
        <v>204087.33</v>
      </c>
      <c r="I63" s="110">
        <v>0</v>
      </c>
      <c r="J63" s="109">
        <f>SUM(I63+'Draw #14'!J63)</f>
        <v>0</v>
      </c>
      <c r="K63" s="101" t="str">
        <f t="shared" si="1"/>
        <v/>
      </c>
      <c r="L63" s="9"/>
      <c r="M63" s="9"/>
    </row>
    <row r="64" spans="1:13" ht="14.1" customHeight="1">
      <c r="A64" s="4">
        <f>'SCHEDULE OF VALUE WORKSHEET'!A60</f>
        <v>54</v>
      </c>
      <c r="B64" s="142" t="str">
        <f>'SCHEDULE OF VALUE WORKSHEET'!B60</f>
        <v>WINDOWS</v>
      </c>
      <c r="C64" s="143"/>
      <c r="D64" s="104">
        <f>SUM('SCHEDULE OF VALUE WORKSHEET'!E60)</f>
        <v>106274.25</v>
      </c>
      <c r="E64" s="104">
        <f>SUM('Draw #14'!E64:F64)</f>
        <v>0</v>
      </c>
      <c r="F64" s="105">
        <v>0</v>
      </c>
      <c r="G64" s="104">
        <f>SUM('Draw #14'!G64)+F64</f>
        <v>106274.25</v>
      </c>
      <c r="H64" s="109">
        <f t="shared" si="0"/>
        <v>106274.25</v>
      </c>
      <c r="I64" s="110">
        <v>0</v>
      </c>
      <c r="J64" s="109">
        <f>SUM(I64+'Draw #14'!J64)</f>
        <v>0</v>
      </c>
      <c r="K64" s="101" t="str">
        <f t="shared" si="1"/>
        <v/>
      </c>
      <c r="L64" s="9"/>
      <c r="M64" s="9"/>
    </row>
    <row r="65" spans="1:13" ht="14.1" customHeight="1">
      <c r="A65" s="4">
        <f>'SCHEDULE OF VALUE WORKSHEET'!A61</f>
        <v>55</v>
      </c>
      <c r="B65" s="142" t="str">
        <f>'SCHEDULE OF VALUE WORKSHEET'!B61</f>
        <v>STUCCO</v>
      </c>
      <c r="C65" s="143"/>
      <c r="D65" s="104">
        <f>SUM('SCHEDULE OF VALUE WORKSHEET'!E61)</f>
        <v>208002</v>
      </c>
      <c r="E65" s="104">
        <f>SUM('Draw #14'!E65:F65)</f>
        <v>0</v>
      </c>
      <c r="F65" s="105">
        <v>0</v>
      </c>
      <c r="G65" s="104">
        <f>SUM('Draw #14'!G65)+F65</f>
        <v>208002</v>
      </c>
      <c r="H65" s="109">
        <f t="shared" si="0"/>
        <v>208002</v>
      </c>
      <c r="I65" s="110">
        <v>0</v>
      </c>
      <c r="J65" s="109">
        <f>SUM(I65+'Draw #14'!J65)</f>
        <v>0</v>
      </c>
      <c r="K65" s="101" t="str">
        <f t="shared" si="1"/>
        <v/>
      </c>
      <c r="L65" s="9"/>
      <c r="M65" s="9"/>
    </row>
    <row r="66" spans="1:13" ht="14.1" customHeight="1">
      <c r="A66" s="4">
        <f>'SCHEDULE OF VALUE WORKSHEET'!A62</f>
        <v>56</v>
      </c>
      <c r="B66" s="142" t="str">
        <f>'SCHEDULE OF VALUE WORKSHEET'!B62</f>
        <v>DRYWALL</v>
      </c>
      <c r="C66" s="143"/>
      <c r="D66" s="104">
        <f>SUM('SCHEDULE OF VALUE WORKSHEET'!E62)</f>
        <v>416355</v>
      </c>
      <c r="E66" s="104">
        <f>SUM('Draw #14'!E66:F66)</f>
        <v>0</v>
      </c>
      <c r="F66" s="105">
        <v>0</v>
      </c>
      <c r="G66" s="104">
        <f>SUM('Draw #14'!G66)+F66</f>
        <v>416355</v>
      </c>
      <c r="H66" s="109">
        <f t="shared" si="0"/>
        <v>416355</v>
      </c>
      <c r="I66" s="110">
        <v>0</v>
      </c>
      <c r="J66" s="109">
        <f>SUM(I66+'Draw #14'!J66)</f>
        <v>0</v>
      </c>
      <c r="K66" s="101" t="str">
        <f t="shared" si="1"/>
        <v/>
      </c>
      <c r="L66" s="9"/>
      <c r="M66" s="9"/>
    </row>
    <row r="67" spans="1:13" ht="14.1" customHeight="1">
      <c r="A67" s="4">
        <f>'SCHEDULE OF VALUE WORKSHEET'!A63</f>
        <v>57</v>
      </c>
      <c r="B67" s="142" t="str">
        <f>'SCHEDULE OF VALUE WORKSHEET'!B63</f>
        <v>PAINTING</v>
      </c>
      <c r="C67" s="143"/>
      <c r="D67" s="104">
        <f>SUM('SCHEDULE OF VALUE WORKSHEET'!E63)</f>
        <v>120700</v>
      </c>
      <c r="E67" s="104">
        <f>SUM('Draw #14'!E67:F67)</f>
        <v>0</v>
      </c>
      <c r="F67" s="105">
        <v>0</v>
      </c>
      <c r="G67" s="104">
        <f>SUM('Draw #14'!G67)+F67</f>
        <v>120700</v>
      </c>
      <c r="H67" s="109">
        <f t="shared" si="0"/>
        <v>120700</v>
      </c>
      <c r="I67" s="110">
        <v>0</v>
      </c>
      <c r="J67" s="109">
        <f>SUM(I67+'Draw #14'!J67)</f>
        <v>0</v>
      </c>
      <c r="K67" s="101" t="str">
        <f t="shared" si="1"/>
        <v/>
      </c>
      <c r="L67" s="9"/>
      <c r="M67" s="9"/>
    </row>
    <row r="68" spans="1:13" ht="14.1" customHeight="1">
      <c r="A68" s="4">
        <f>'SCHEDULE OF VALUE WORKSHEET'!A64</f>
        <v>58</v>
      </c>
      <c r="B68" s="142" t="str">
        <f>'SCHEDULE OF VALUE WORKSHEET'!B64</f>
        <v>FLOORING - common areas</v>
      </c>
      <c r="C68" s="143"/>
      <c r="D68" s="104">
        <f>SUM('SCHEDULE OF VALUE WORKSHEET'!E64)</f>
        <v>45150</v>
      </c>
      <c r="E68" s="104">
        <f>SUM('Draw #14'!E68:F68)</f>
        <v>0</v>
      </c>
      <c r="F68" s="105">
        <v>0</v>
      </c>
      <c r="G68" s="104">
        <f>SUM('Draw #14'!G68)+F68</f>
        <v>45150</v>
      </c>
      <c r="H68" s="109">
        <f t="shared" si="0"/>
        <v>45150</v>
      </c>
      <c r="I68" s="110">
        <v>0</v>
      </c>
      <c r="J68" s="109">
        <f>SUM(I68+'Draw #14'!J68)</f>
        <v>0</v>
      </c>
      <c r="K68" s="101" t="str">
        <f t="shared" si="1"/>
        <v/>
      </c>
      <c r="L68" s="9"/>
      <c r="M68" s="9"/>
    </row>
    <row r="69" spans="1:13" ht="14.1" customHeight="1">
      <c r="A69" s="4">
        <f>'SCHEDULE OF VALUE WORKSHEET'!A65</f>
        <v>59</v>
      </c>
      <c r="B69" s="142" t="str">
        <f>'SCHEDULE OF VALUE WORKSHEET'!B65</f>
        <v>FLOORING - Units with baseboards</v>
      </c>
      <c r="C69" s="143"/>
      <c r="D69" s="104">
        <f>SUM('SCHEDULE OF VALUE WORKSHEET'!E65)</f>
        <v>93335</v>
      </c>
      <c r="E69" s="104">
        <f>SUM('Draw #14'!E69:F69)</f>
        <v>0</v>
      </c>
      <c r="F69" s="105">
        <v>0</v>
      </c>
      <c r="G69" s="104">
        <f>SUM('Draw #14'!G69)+F69</f>
        <v>93335</v>
      </c>
      <c r="H69" s="109">
        <f t="shared" si="0"/>
        <v>93335</v>
      </c>
      <c r="I69" s="110">
        <v>0</v>
      </c>
      <c r="J69" s="109">
        <f>SUM(I69+'Draw #14'!J69)</f>
        <v>0</v>
      </c>
      <c r="K69" s="101" t="str">
        <f t="shared" si="1"/>
        <v/>
      </c>
      <c r="L69" s="9"/>
      <c r="M69" s="9"/>
    </row>
    <row r="70" spans="1:13" ht="14.1" customHeight="1">
      <c r="A70" s="4">
        <f>'SCHEDULE OF VALUE WORKSHEET'!A66</f>
        <v>60</v>
      </c>
      <c r="B70" s="142" t="str">
        <f>'SCHEDULE OF VALUE WORKSHEET'!B66</f>
        <v>SPECIALTIES</v>
      </c>
      <c r="C70" s="143"/>
      <c r="D70" s="104">
        <f>SUM('SCHEDULE OF VALUE WORKSHEET'!E66)</f>
        <v>25109.21</v>
      </c>
      <c r="E70" s="104">
        <f>SUM('Draw #14'!E70:F70)</f>
        <v>0</v>
      </c>
      <c r="F70" s="105">
        <v>0</v>
      </c>
      <c r="G70" s="104">
        <f>SUM('Draw #14'!G70)+F70</f>
        <v>25109.21</v>
      </c>
      <c r="H70" s="109">
        <f t="shared" si="0"/>
        <v>25109.21</v>
      </c>
      <c r="I70" s="110">
        <v>0</v>
      </c>
      <c r="J70" s="109">
        <f>SUM(I70+'Draw #14'!J70)</f>
        <v>0</v>
      </c>
      <c r="K70" s="101" t="str">
        <f t="shared" si="1"/>
        <v/>
      </c>
      <c r="L70" s="9"/>
      <c r="M70" s="9"/>
    </row>
    <row r="71" spans="1:13" ht="14.1" customHeight="1">
      <c r="A71" s="4">
        <f>'SCHEDULE OF VALUE WORKSHEET'!A67</f>
        <v>61</v>
      </c>
      <c r="B71" s="142" t="str">
        <f>'SCHEDULE OF VALUE WORKSHEET'!B67</f>
        <v>EQUIPMENT</v>
      </c>
      <c r="C71" s="143"/>
      <c r="D71" s="104">
        <f>SUM('SCHEDULE OF VALUE WORKSHEET'!E67)</f>
        <v>153636</v>
      </c>
      <c r="E71" s="104">
        <f>SUM('Draw #14'!E71:F71)</f>
        <v>0</v>
      </c>
      <c r="F71" s="105">
        <v>0</v>
      </c>
      <c r="G71" s="104">
        <f>SUM('Draw #14'!G71)+F71</f>
        <v>153636</v>
      </c>
      <c r="H71" s="109">
        <f t="shared" si="0"/>
        <v>153636</v>
      </c>
      <c r="I71" s="110">
        <v>0</v>
      </c>
      <c r="J71" s="109">
        <f>SUM(I71+'Draw #14'!J71)</f>
        <v>0</v>
      </c>
      <c r="K71" s="101" t="str">
        <f t="shared" si="1"/>
        <v/>
      </c>
      <c r="L71" s="9"/>
      <c r="M71" s="9"/>
    </row>
    <row r="72" spans="1:13" ht="14.1" customHeight="1">
      <c r="A72" s="4">
        <f>'SCHEDULE OF VALUE WORKSHEET'!A68</f>
        <v>62</v>
      </c>
      <c r="B72" s="142" t="str">
        <f>'SCHEDULE OF VALUE WORKSHEET'!B68</f>
        <v>FURNISHING</v>
      </c>
      <c r="C72" s="143"/>
      <c r="D72" s="104">
        <f>SUM('SCHEDULE OF VALUE WORKSHEET'!E68)</f>
        <v>0</v>
      </c>
      <c r="E72" s="104">
        <f>SUM('Draw #14'!E72:F72)</f>
        <v>0</v>
      </c>
      <c r="F72" s="105">
        <v>0</v>
      </c>
      <c r="G72" s="104">
        <f>SUM('Draw #14'!G72)+F72</f>
        <v>0</v>
      </c>
      <c r="H72" s="109">
        <f t="shared" si="0"/>
        <v>0</v>
      </c>
      <c r="I72" s="110">
        <v>0</v>
      </c>
      <c r="J72" s="109">
        <f>SUM(I72+'Draw #14'!J72)</f>
        <v>0</v>
      </c>
      <c r="K72" s="101" t="str">
        <f t="shared" si="1"/>
        <v/>
      </c>
      <c r="L72" s="9"/>
      <c r="M72" s="9"/>
    </row>
    <row r="73" spans="1:13" ht="14.1" customHeight="1">
      <c r="A73" s="4">
        <f>'SCHEDULE OF VALUE WORKSHEET'!A69</f>
        <v>63</v>
      </c>
      <c r="B73" s="142" t="str">
        <f>'SCHEDULE OF VALUE WORKSHEET'!B69</f>
        <v>FIRE SPRINKLERS</v>
      </c>
      <c r="C73" s="143"/>
      <c r="D73" s="104">
        <f>SUM('SCHEDULE OF VALUE WORKSHEET'!E69)</f>
        <v>108500</v>
      </c>
      <c r="E73" s="104">
        <f>SUM('Draw #14'!E73:F73)</f>
        <v>0</v>
      </c>
      <c r="F73" s="105">
        <v>0</v>
      </c>
      <c r="G73" s="104">
        <f>SUM('Draw #14'!G73)+F73</f>
        <v>108500</v>
      </c>
      <c r="H73" s="109">
        <f t="shared" si="0"/>
        <v>108500</v>
      </c>
      <c r="I73" s="110">
        <v>0</v>
      </c>
      <c r="J73" s="109">
        <f>SUM(I73+'Draw #14'!J73)</f>
        <v>0</v>
      </c>
      <c r="K73" s="101" t="str">
        <f t="shared" si="1"/>
        <v/>
      </c>
      <c r="L73" s="9"/>
      <c r="M73" s="9"/>
    </row>
    <row r="74" spans="1:13" ht="14.1" customHeight="1">
      <c r="A74" s="4">
        <f>'SCHEDULE OF VALUE WORKSHEET'!A70</f>
        <v>64</v>
      </c>
      <c r="B74" s="142" t="str">
        <f>'SCHEDULE OF VALUE WORKSHEET'!B70</f>
        <v>FIRE ALARM</v>
      </c>
      <c r="C74" s="143"/>
      <c r="D74" s="104">
        <f>SUM('SCHEDULE OF VALUE WORKSHEET'!E70)</f>
        <v>68401</v>
      </c>
      <c r="E74" s="104">
        <f>SUM('Draw #14'!E74:F74)</f>
        <v>0</v>
      </c>
      <c r="F74" s="105">
        <v>0</v>
      </c>
      <c r="G74" s="104">
        <f>SUM('Draw #14'!G74)+F74</f>
        <v>68401</v>
      </c>
      <c r="H74" s="109">
        <f t="shared" si="0"/>
        <v>68401</v>
      </c>
      <c r="I74" s="110">
        <v>0</v>
      </c>
      <c r="J74" s="109">
        <f>SUM(I74+'Draw #14'!J74)</f>
        <v>0</v>
      </c>
      <c r="K74" s="101" t="str">
        <f t="shared" si="1"/>
        <v/>
      </c>
      <c r="L74" s="9"/>
      <c r="M74" s="9"/>
    </row>
    <row r="75" spans="1:13" ht="14.1" customHeight="1">
      <c r="A75" s="4">
        <f>'SCHEDULE OF VALUE WORKSHEET'!A71</f>
        <v>65</v>
      </c>
      <c r="B75" s="142" t="str">
        <f>'SCHEDULE OF VALUE WORKSHEET'!B71</f>
        <v>SOLAR PANELS</v>
      </c>
      <c r="C75" s="143"/>
      <c r="D75" s="104">
        <f>SUM('SCHEDULE OF VALUE WORKSHEET'!E71)</f>
        <v>97000</v>
      </c>
      <c r="E75" s="104">
        <f>SUM('Draw #14'!E75:F75)</f>
        <v>0</v>
      </c>
      <c r="F75" s="105">
        <v>0</v>
      </c>
      <c r="G75" s="104">
        <f>SUM('Draw #14'!G75)+F75</f>
        <v>97000</v>
      </c>
      <c r="H75" s="109">
        <f t="shared" ref="H75:H135" si="2">SUM(G75-J75)</f>
        <v>97000</v>
      </c>
      <c r="I75" s="110">
        <v>0</v>
      </c>
      <c r="J75" s="109">
        <f>SUM(I75+'Draw #14'!J75)</f>
        <v>0</v>
      </c>
      <c r="K75" s="101" t="str">
        <f t="shared" ref="K75:K135" si="3">IF(J75=0,"",J75/G75)</f>
        <v/>
      </c>
      <c r="L75" s="9"/>
      <c r="M75" s="9"/>
    </row>
    <row r="76" spans="1:13" ht="14.1" customHeight="1">
      <c r="A76" s="4">
        <f>'SCHEDULE OF VALUE WORKSHEET'!A72</f>
        <v>66</v>
      </c>
      <c r="B76" s="142" t="str">
        <f>'SCHEDULE OF VALUE WORKSHEET'!B72</f>
        <v>SECURITY ACCESS &amp; SURVEILLANCE</v>
      </c>
      <c r="C76" s="143"/>
      <c r="D76" s="104">
        <f>SUM('SCHEDULE OF VALUE WORKSHEET'!E72)</f>
        <v>136430</v>
      </c>
      <c r="E76" s="104">
        <f>SUM('Draw #14'!E76:F76)</f>
        <v>0</v>
      </c>
      <c r="F76" s="105">
        <v>0</v>
      </c>
      <c r="G76" s="104">
        <f>SUM('Draw #14'!G76)+F76</f>
        <v>136430</v>
      </c>
      <c r="H76" s="109">
        <f t="shared" si="2"/>
        <v>136430</v>
      </c>
      <c r="I76" s="110">
        <v>0</v>
      </c>
      <c r="J76" s="109">
        <f>SUM(I76+'Draw #14'!J76)</f>
        <v>0</v>
      </c>
      <c r="K76" s="101" t="str">
        <f t="shared" si="3"/>
        <v/>
      </c>
      <c r="L76" s="9"/>
      <c r="M76" s="9"/>
    </row>
    <row r="77" spans="1:13" ht="14.1" customHeight="1">
      <c r="A77" s="4">
        <f>'SCHEDULE OF VALUE WORKSHEET'!A73</f>
        <v>67</v>
      </c>
      <c r="B77" s="142" t="str">
        <f>'SCHEDULE OF VALUE WORKSHEET'!B73</f>
        <v>ELEVATORS &amp; LIFT</v>
      </c>
      <c r="C77" s="143"/>
      <c r="D77" s="104">
        <f>SUM('SCHEDULE OF VALUE WORKSHEET'!E73)</f>
        <v>174882</v>
      </c>
      <c r="E77" s="104">
        <f>SUM('Draw #14'!E77:F77)</f>
        <v>0</v>
      </c>
      <c r="F77" s="105">
        <v>0</v>
      </c>
      <c r="G77" s="104">
        <f>SUM('Draw #14'!G77)+F77</f>
        <v>174882</v>
      </c>
      <c r="H77" s="109">
        <f t="shared" si="2"/>
        <v>174882</v>
      </c>
      <c r="I77" s="110">
        <v>0</v>
      </c>
      <c r="J77" s="109">
        <f>SUM(I77+'Draw #14'!J77)</f>
        <v>0</v>
      </c>
      <c r="K77" s="101" t="str">
        <f t="shared" si="3"/>
        <v/>
      </c>
      <c r="L77" s="9"/>
      <c r="M77" s="9"/>
    </row>
    <row r="78" spans="1:13" ht="14.1" customHeight="1">
      <c r="A78" s="4">
        <f>'SCHEDULE OF VALUE WORKSHEET'!A74</f>
        <v>68</v>
      </c>
      <c r="B78" s="142" t="str">
        <f>'SCHEDULE OF VALUE WORKSHEET'!B74</f>
        <v>WATER SUBMETER (material)</v>
      </c>
      <c r="C78" s="143"/>
      <c r="D78" s="104">
        <f>SUM('SCHEDULE OF VALUE WORKSHEET'!E74)</f>
        <v>12273</v>
      </c>
      <c r="E78" s="104">
        <f>SUM('Draw #14'!E78:F78)</f>
        <v>0</v>
      </c>
      <c r="F78" s="105">
        <v>0</v>
      </c>
      <c r="G78" s="104">
        <f>SUM('Draw #14'!G78)+F78</f>
        <v>12273</v>
      </c>
      <c r="H78" s="109">
        <f t="shared" si="2"/>
        <v>12273</v>
      </c>
      <c r="I78" s="110">
        <v>0</v>
      </c>
      <c r="J78" s="109">
        <f>SUM(I78+'Draw #14'!J78)</f>
        <v>0</v>
      </c>
      <c r="K78" s="101" t="str">
        <f t="shared" si="3"/>
        <v/>
      </c>
      <c r="L78" s="9"/>
      <c r="M78" s="9"/>
    </row>
    <row r="79" spans="1:13" ht="14.1" customHeight="1">
      <c r="A79" s="4">
        <f>'SCHEDULE OF VALUE WORKSHEET'!A75</f>
        <v>69</v>
      </c>
      <c r="B79" s="142" t="str">
        <f>'SCHEDULE OF VALUE WORKSHEET'!B75</f>
        <v>WATER SUBMETER (labor)</v>
      </c>
      <c r="C79" s="143"/>
      <c r="D79" s="104">
        <f>SUM('SCHEDULE OF VALUE WORKSHEET'!E75)</f>
        <v>0</v>
      </c>
      <c r="E79" s="104">
        <f>SUM('Draw #14'!E79:F79)</f>
        <v>0</v>
      </c>
      <c r="F79" s="105">
        <v>0</v>
      </c>
      <c r="G79" s="104">
        <f>SUM('Draw #14'!G79)+F79</f>
        <v>0</v>
      </c>
      <c r="H79" s="109">
        <f t="shared" si="2"/>
        <v>0</v>
      </c>
      <c r="I79" s="110">
        <v>0</v>
      </c>
      <c r="J79" s="109">
        <f>SUM(I79+'Draw #14'!J79)</f>
        <v>0</v>
      </c>
      <c r="K79" s="101" t="str">
        <f t="shared" si="3"/>
        <v/>
      </c>
      <c r="L79" s="9"/>
      <c r="M79" s="9"/>
    </row>
    <row r="80" spans="1:13" ht="14.1" customHeight="1">
      <c r="A80" s="4">
        <f>'SCHEDULE OF VALUE WORKSHEET'!A76</f>
        <v>70</v>
      </c>
      <c r="B80" s="142" t="str">
        <f>'SCHEDULE OF VALUE WORKSHEET'!B76</f>
        <v>ROUGH PLUMBING</v>
      </c>
      <c r="C80" s="143"/>
      <c r="D80" s="104">
        <f>SUM('SCHEDULE OF VALUE WORKSHEET'!E76)</f>
        <v>751927</v>
      </c>
      <c r="E80" s="104">
        <f>SUM('Draw #14'!E80:F80)</f>
        <v>0</v>
      </c>
      <c r="F80" s="105">
        <v>0</v>
      </c>
      <c r="G80" s="104">
        <f>SUM('Draw #14'!G80)+F80</f>
        <v>751927</v>
      </c>
      <c r="H80" s="109">
        <f t="shared" si="2"/>
        <v>751927</v>
      </c>
      <c r="I80" s="110">
        <v>0</v>
      </c>
      <c r="J80" s="109">
        <f>SUM(I80+'Draw #14'!J80)</f>
        <v>0</v>
      </c>
      <c r="K80" s="101" t="str">
        <f t="shared" si="3"/>
        <v/>
      </c>
      <c r="L80" s="9"/>
      <c r="M80" s="9"/>
    </row>
    <row r="81" spans="1:13" ht="14.1" customHeight="1">
      <c r="A81" s="4">
        <f>'SCHEDULE OF VALUE WORKSHEET'!A77</f>
        <v>71</v>
      </c>
      <c r="B81" s="142" t="str">
        <f>'SCHEDULE OF VALUE WORKSHEET'!B77</f>
        <v>FINISH PLUMBING</v>
      </c>
      <c r="C81" s="143"/>
      <c r="D81" s="104">
        <f>SUM('SCHEDULE OF VALUE WORKSHEET'!E77)</f>
        <v>90000</v>
      </c>
      <c r="E81" s="104">
        <f>SUM('Draw #14'!E81:F81)</f>
        <v>0</v>
      </c>
      <c r="F81" s="105">
        <v>0</v>
      </c>
      <c r="G81" s="104">
        <f>SUM('Draw #14'!G81)+F81</f>
        <v>90000</v>
      </c>
      <c r="H81" s="109">
        <f t="shared" si="2"/>
        <v>90000</v>
      </c>
      <c r="I81" s="110">
        <v>0</v>
      </c>
      <c r="J81" s="109">
        <f>SUM(I81+'Draw #14'!J81)</f>
        <v>0</v>
      </c>
      <c r="K81" s="101" t="str">
        <f t="shared" si="3"/>
        <v/>
      </c>
      <c r="L81" s="9"/>
      <c r="M81" s="9"/>
    </row>
    <row r="82" spans="1:13" ht="14.1" customHeight="1">
      <c r="A82" s="4">
        <f>'SCHEDULE OF VALUE WORKSHEET'!A78</f>
        <v>72</v>
      </c>
      <c r="B82" s="142" t="str">
        <f>'SCHEDULE OF VALUE WORKSHEET'!B78</f>
        <v>HVAC</v>
      </c>
      <c r="C82" s="143"/>
      <c r="D82" s="104">
        <f>SUM('SCHEDULE OF VALUE WORKSHEET'!E78)</f>
        <v>259000</v>
      </c>
      <c r="E82" s="104">
        <f>SUM('Draw #14'!E82:F82)</f>
        <v>0</v>
      </c>
      <c r="F82" s="105">
        <v>0</v>
      </c>
      <c r="G82" s="104">
        <f>SUM('Draw #14'!G82)+F82</f>
        <v>259000</v>
      </c>
      <c r="H82" s="109">
        <f t="shared" si="2"/>
        <v>259000</v>
      </c>
      <c r="I82" s="110">
        <v>0</v>
      </c>
      <c r="J82" s="109">
        <f>SUM(I82+'Draw #14'!J82)</f>
        <v>0</v>
      </c>
      <c r="K82" s="101" t="str">
        <f t="shared" si="3"/>
        <v/>
      </c>
      <c r="L82" s="9"/>
      <c r="M82" s="9"/>
    </row>
    <row r="83" spans="1:13" ht="14.1" customHeight="1">
      <c r="A83" s="4">
        <f>'SCHEDULE OF VALUE WORKSHEET'!A79</f>
        <v>73</v>
      </c>
      <c r="B83" s="142" t="str">
        <f>'SCHEDULE OF VALUE WORKSHEET'!B79</f>
        <v>ELECTRICAL</v>
      </c>
      <c r="C83" s="143"/>
      <c r="D83" s="104">
        <f>SUM('SCHEDULE OF VALUE WORKSHEET'!E79)</f>
        <v>880486.32</v>
      </c>
      <c r="E83" s="104">
        <f>SUM('Draw #14'!E83:F83)</f>
        <v>0</v>
      </c>
      <c r="F83" s="105">
        <v>0</v>
      </c>
      <c r="G83" s="104">
        <f>SUM('Draw #14'!G83)+F83</f>
        <v>880486.32</v>
      </c>
      <c r="H83" s="109">
        <f t="shared" si="2"/>
        <v>880486.32</v>
      </c>
      <c r="I83" s="110">
        <v>0</v>
      </c>
      <c r="J83" s="109">
        <f>SUM(I83+'Draw #14'!J83)</f>
        <v>0</v>
      </c>
      <c r="K83" s="101" t="str">
        <f t="shared" si="3"/>
        <v/>
      </c>
      <c r="L83" s="9"/>
      <c r="M83" s="9"/>
    </row>
    <row r="84" spans="1:13" ht="14.1" customHeight="1">
      <c r="A84" s="4">
        <f>'SCHEDULE OF VALUE WORKSHEET'!A80</f>
        <v>74</v>
      </c>
      <c r="B84" s="142" t="str">
        <f>'SCHEDULE OF VALUE WORKSHEET'!B80</f>
        <v xml:space="preserve">CONTINGENCY </v>
      </c>
      <c r="C84" s="143"/>
      <c r="D84" s="104">
        <f>SUM('SCHEDULE OF VALUE WORKSHEET'!E80)</f>
        <v>529215.20000000007</v>
      </c>
      <c r="E84" s="104">
        <f>SUM('Draw #14'!E84:F84)</f>
        <v>0</v>
      </c>
      <c r="F84" s="105">
        <v>0</v>
      </c>
      <c r="G84" s="104">
        <f>SUM('Draw #14'!G84)+F84</f>
        <v>529215.20000000007</v>
      </c>
      <c r="H84" s="109">
        <f t="shared" si="2"/>
        <v>529215.20000000007</v>
      </c>
      <c r="I84" s="110">
        <v>0</v>
      </c>
      <c r="J84" s="109">
        <f>SUM(I84+'Draw #14'!J84)</f>
        <v>0</v>
      </c>
      <c r="K84" s="101" t="str">
        <f t="shared" si="3"/>
        <v/>
      </c>
      <c r="L84" s="9"/>
      <c r="M84" s="9"/>
    </row>
    <row r="85" spans="1:13" ht="14.1" customHeight="1">
      <c r="A85" s="4">
        <f>'SCHEDULE OF VALUE WORKSHEET'!A81</f>
        <v>75</v>
      </c>
      <c r="B85" s="142" t="str">
        <f>'SCHEDULE OF VALUE WORKSHEET'!B81</f>
        <v>INSURANCE (GL w/auto, workers compl)</v>
      </c>
      <c r="C85" s="143"/>
      <c r="D85" s="104">
        <f>SUM('SCHEDULE OF VALUE WORKSHEET'!E81)</f>
        <v>97177.07</v>
      </c>
      <c r="E85" s="104">
        <f>SUM('Draw #14'!E85:F85)</f>
        <v>0</v>
      </c>
      <c r="F85" s="105">
        <v>0</v>
      </c>
      <c r="G85" s="104">
        <f>SUM('Draw #14'!G85)+F85</f>
        <v>97177.07</v>
      </c>
      <c r="H85" s="109">
        <f t="shared" si="2"/>
        <v>97177.07</v>
      </c>
      <c r="I85" s="110">
        <v>0</v>
      </c>
      <c r="J85" s="109">
        <f>SUM(I85+'Draw #14'!J85)</f>
        <v>0</v>
      </c>
      <c r="K85" s="101" t="str">
        <f t="shared" si="3"/>
        <v/>
      </c>
      <c r="L85" s="9"/>
      <c r="M85" s="9"/>
    </row>
    <row r="86" spans="1:13" ht="14.1" customHeight="1">
      <c r="A86" s="4">
        <f>'SCHEDULE OF VALUE WORKSHEET'!A82</f>
        <v>76</v>
      </c>
      <c r="B86" s="142" t="str">
        <f>'SCHEDULE OF VALUE WORKSHEET'!B82</f>
        <v>GROSS RECEIPT TAX</v>
      </c>
      <c r="C86" s="143"/>
      <c r="D86" s="104">
        <f>SUM('SCHEDULE OF VALUE WORKSHEET'!E82)</f>
        <v>6543.26</v>
      </c>
      <c r="E86" s="104">
        <f>SUM('Draw #14'!E86:F86)</f>
        <v>0</v>
      </c>
      <c r="F86" s="105">
        <v>0</v>
      </c>
      <c r="G86" s="104">
        <f>SUM('Draw #14'!G86)+F86</f>
        <v>6543.26</v>
      </c>
      <c r="H86" s="109">
        <f t="shared" si="2"/>
        <v>6543.26</v>
      </c>
      <c r="I86" s="110">
        <v>0</v>
      </c>
      <c r="J86" s="109">
        <f>SUM(I86+'Draw #14'!J86)</f>
        <v>0</v>
      </c>
      <c r="K86" s="101" t="str">
        <f t="shared" si="3"/>
        <v/>
      </c>
      <c r="L86" s="9"/>
      <c r="M86" s="9"/>
    </row>
    <row r="87" spans="1:13" ht="14.1" customHeight="1">
      <c r="A87" s="4">
        <f>'SCHEDULE OF VALUE WORKSHEET'!A83</f>
        <v>77</v>
      </c>
      <c r="B87" s="142" t="str">
        <f>'SCHEDULE OF VALUE WORKSHEET'!B83</f>
        <v>GC FEE</v>
      </c>
      <c r="C87" s="143"/>
      <c r="D87" s="104">
        <f>SUM('SCHEDULE OF VALUE WORKSHEET'!E83)</f>
        <v>388708.28</v>
      </c>
      <c r="E87" s="104">
        <f>SUM('Draw #14'!E87:F87)</f>
        <v>0</v>
      </c>
      <c r="F87" s="105">
        <v>0</v>
      </c>
      <c r="G87" s="104">
        <f>SUM('Draw #14'!G87)+F87</f>
        <v>388708.28</v>
      </c>
      <c r="H87" s="109">
        <f t="shared" si="2"/>
        <v>388708.28</v>
      </c>
      <c r="I87" s="110">
        <v>0</v>
      </c>
      <c r="J87" s="109">
        <f>SUM(I87+'Draw #14'!J87)</f>
        <v>0</v>
      </c>
      <c r="K87" s="101" t="str">
        <f t="shared" si="3"/>
        <v/>
      </c>
      <c r="L87" s="9"/>
      <c r="M87" s="9"/>
    </row>
    <row r="88" spans="1:13" ht="14.1" customHeight="1">
      <c r="A88" s="4">
        <f>'SCHEDULE OF VALUE WORKSHEET'!A84</f>
        <v>78</v>
      </c>
      <c r="B88" s="142" t="str">
        <f>'SCHEDULE OF VALUE WORKSHEET'!B84</f>
        <v>DEVELOPMENT FEE</v>
      </c>
      <c r="C88" s="143"/>
      <c r="D88" s="104">
        <f>SUM('SCHEDULE OF VALUE WORKSHEET'!E84)</f>
        <v>180523.5</v>
      </c>
      <c r="E88" s="104">
        <f>SUM('Draw #14'!E88:F88)</f>
        <v>0</v>
      </c>
      <c r="F88" s="105">
        <v>0</v>
      </c>
      <c r="G88" s="104">
        <f>SUM('Draw #14'!G88)+F88</f>
        <v>180523.5</v>
      </c>
      <c r="H88" s="109">
        <f t="shared" si="2"/>
        <v>180523.5</v>
      </c>
      <c r="I88" s="110">
        <v>0</v>
      </c>
      <c r="J88" s="109">
        <f>SUM(I88+'Draw #14'!J88)</f>
        <v>0</v>
      </c>
      <c r="K88" s="101" t="str">
        <f t="shared" si="3"/>
        <v/>
      </c>
      <c r="L88" s="9"/>
      <c r="M88" s="9"/>
    </row>
    <row r="89" spans="1:13" ht="14.1" customHeight="1">
      <c r="A89" s="4">
        <f>'SCHEDULE OF VALUE WORKSHEET'!A85</f>
        <v>79</v>
      </c>
      <c r="B89" s="142" t="str">
        <f>'SCHEDULE OF VALUE WORKSHEET'!B85</f>
        <v>CARRYING COSTS</v>
      </c>
      <c r="C89" s="143"/>
      <c r="D89" s="104">
        <f>SUM('SCHEDULE OF VALUE WORKSHEET'!E85)</f>
        <v>92885.53</v>
      </c>
      <c r="E89" s="104">
        <f>SUM('Draw #14'!E89:F89)</f>
        <v>0</v>
      </c>
      <c r="F89" s="105">
        <v>0</v>
      </c>
      <c r="G89" s="104">
        <f>SUM('Draw #14'!G89)+F89</f>
        <v>92885.53</v>
      </c>
      <c r="H89" s="109">
        <f t="shared" si="2"/>
        <v>92885.53</v>
      </c>
      <c r="I89" s="110">
        <v>0</v>
      </c>
      <c r="J89" s="109">
        <f>SUM(I89+'Draw #14'!J89)</f>
        <v>0</v>
      </c>
      <c r="K89" s="101" t="str">
        <f t="shared" si="3"/>
        <v/>
      </c>
      <c r="L89" s="9"/>
      <c r="M89" s="9"/>
    </row>
    <row r="90" spans="1:13" ht="14.1" customHeight="1">
      <c r="A90" s="4">
        <f>'SCHEDULE OF VALUE WORKSHEET'!A86</f>
        <v>80</v>
      </c>
      <c r="B90" s="142" t="str">
        <f>'SCHEDULE OF VALUE WORKSHEET'!B86</f>
        <v>FINANCING COSTS</v>
      </c>
      <c r="C90" s="143"/>
      <c r="D90" s="104">
        <f>SUM('SCHEDULE OF VALUE WORKSHEET'!E86)</f>
        <v>0</v>
      </c>
      <c r="E90" s="104">
        <f>SUM('Draw #14'!E90:F90)</f>
        <v>0</v>
      </c>
      <c r="F90" s="105">
        <v>0</v>
      </c>
      <c r="G90" s="104">
        <f>SUM('Draw #14'!G90)+F90</f>
        <v>0</v>
      </c>
      <c r="H90" s="109">
        <f t="shared" si="2"/>
        <v>0</v>
      </c>
      <c r="I90" s="110">
        <v>0</v>
      </c>
      <c r="J90" s="109">
        <f>SUM(I90+'Draw #14'!J90)</f>
        <v>0</v>
      </c>
      <c r="K90" s="101" t="str">
        <f t="shared" si="3"/>
        <v/>
      </c>
      <c r="L90" s="9"/>
      <c r="M90" s="9"/>
    </row>
    <row r="91" spans="1:13" ht="14.1" customHeight="1">
      <c r="A91" s="4" t="e">
        <f>'SCHEDULE OF VALUE WORKSHEET'!#REF!</f>
        <v>#REF!</v>
      </c>
      <c r="B91" s="142" t="e">
        <f>'SCHEDULE OF VALUE WORKSHEET'!#REF!</f>
        <v>#REF!</v>
      </c>
      <c r="C91" s="143"/>
      <c r="D91" s="104" t="e">
        <f>SUM('SCHEDULE OF VALUE WORKSHEET'!#REF!)</f>
        <v>#REF!</v>
      </c>
      <c r="E91" s="104">
        <f>SUM('Draw #14'!E91:F91)</f>
        <v>0</v>
      </c>
      <c r="F91" s="105">
        <v>0</v>
      </c>
      <c r="G91" s="104" t="e">
        <f>SUM('Draw #14'!G91)+F91</f>
        <v>#REF!</v>
      </c>
      <c r="H91" s="109" t="e">
        <f t="shared" si="2"/>
        <v>#REF!</v>
      </c>
      <c r="I91" s="110">
        <v>0</v>
      </c>
      <c r="J91" s="109">
        <f>SUM(I91+'Draw #14'!J91)</f>
        <v>0</v>
      </c>
      <c r="K91" s="101" t="str">
        <f t="shared" si="3"/>
        <v/>
      </c>
      <c r="L91" s="9"/>
      <c r="M91" s="9"/>
    </row>
    <row r="92" spans="1:13" ht="14.1" customHeight="1">
      <c r="A92" s="4" t="e">
        <f>'SCHEDULE OF VALUE WORKSHEET'!#REF!</f>
        <v>#REF!</v>
      </c>
      <c r="B92" s="142" t="e">
        <f>'SCHEDULE OF VALUE WORKSHEET'!#REF!</f>
        <v>#REF!</v>
      </c>
      <c r="C92" s="143"/>
      <c r="D92" s="104" t="e">
        <f>SUM('SCHEDULE OF VALUE WORKSHEET'!#REF!)</f>
        <v>#REF!</v>
      </c>
      <c r="E92" s="104">
        <f>SUM('Draw #14'!E92:F92)</f>
        <v>0</v>
      </c>
      <c r="F92" s="105">
        <v>0</v>
      </c>
      <c r="G92" s="104" t="e">
        <f>SUM('Draw #14'!G92)+F92</f>
        <v>#REF!</v>
      </c>
      <c r="H92" s="109" t="e">
        <f t="shared" si="2"/>
        <v>#REF!</v>
      </c>
      <c r="I92" s="110">
        <v>0</v>
      </c>
      <c r="J92" s="109">
        <f>SUM(I92+'Draw #14'!J92)</f>
        <v>0</v>
      </c>
      <c r="K92" s="101" t="str">
        <f t="shared" si="3"/>
        <v/>
      </c>
      <c r="L92" s="9"/>
      <c r="M92" s="9"/>
    </row>
    <row r="93" spans="1:13" ht="14.1" customHeight="1">
      <c r="A93" s="4" t="e">
        <f>'SCHEDULE OF VALUE WORKSHEET'!#REF!</f>
        <v>#REF!</v>
      </c>
      <c r="B93" s="142" t="e">
        <f>'SCHEDULE OF VALUE WORKSHEET'!#REF!</f>
        <v>#REF!</v>
      </c>
      <c r="C93" s="143"/>
      <c r="D93" s="104" t="e">
        <f>SUM('SCHEDULE OF VALUE WORKSHEET'!#REF!)</f>
        <v>#REF!</v>
      </c>
      <c r="E93" s="104">
        <f>SUM('Draw #14'!E93:F93)</f>
        <v>0</v>
      </c>
      <c r="F93" s="105">
        <v>0</v>
      </c>
      <c r="G93" s="104" t="e">
        <f>SUM('Draw #14'!G93)+F93</f>
        <v>#REF!</v>
      </c>
      <c r="H93" s="109" t="e">
        <f t="shared" si="2"/>
        <v>#REF!</v>
      </c>
      <c r="I93" s="110">
        <v>0</v>
      </c>
      <c r="J93" s="109">
        <f>SUM(I93+'Draw #14'!J93)</f>
        <v>0</v>
      </c>
      <c r="K93" s="101" t="str">
        <f t="shared" si="3"/>
        <v/>
      </c>
      <c r="L93" s="9"/>
      <c r="M93" s="9"/>
    </row>
    <row r="94" spans="1:13" ht="14.1" customHeight="1">
      <c r="A94" s="4" t="e">
        <f>'SCHEDULE OF VALUE WORKSHEET'!#REF!</f>
        <v>#REF!</v>
      </c>
      <c r="B94" s="142" t="e">
        <f>'SCHEDULE OF VALUE WORKSHEET'!#REF!</f>
        <v>#REF!</v>
      </c>
      <c r="C94" s="143"/>
      <c r="D94" s="104" t="e">
        <f>SUM('SCHEDULE OF VALUE WORKSHEET'!#REF!)</f>
        <v>#REF!</v>
      </c>
      <c r="E94" s="104">
        <f>SUM('Draw #14'!E94:F94)</f>
        <v>0</v>
      </c>
      <c r="F94" s="105">
        <v>0</v>
      </c>
      <c r="G94" s="104" t="e">
        <f>SUM('Draw #14'!G94)+F94</f>
        <v>#REF!</v>
      </c>
      <c r="H94" s="109" t="e">
        <f t="shared" si="2"/>
        <v>#REF!</v>
      </c>
      <c r="I94" s="110">
        <v>0</v>
      </c>
      <c r="J94" s="109">
        <f>SUM(I94+'Draw #14'!J94)</f>
        <v>0</v>
      </c>
      <c r="K94" s="101" t="str">
        <f t="shared" si="3"/>
        <v/>
      </c>
      <c r="L94" s="9"/>
      <c r="M94" s="9"/>
    </row>
    <row r="95" spans="1:13" ht="14.1" customHeight="1">
      <c r="A95" s="4" t="e">
        <f>'SCHEDULE OF VALUE WORKSHEET'!#REF!</f>
        <v>#REF!</v>
      </c>
      <c r="B95" s="142" t="e">
        <f>'SCHEDULE OF VALUE WORKSHEET'!#REF!</f>
        <v>#REF!</v>
      </c>
      <c r="C95" s="143"/>
      <c r="D95" s="104" t="e">
        <f>SUM('SCHEDULE OF VALUE WORKSHEET'!#REF!)</f>
        <v>#REF!</v>
      </c>
      <c r="E95" s="104">
        <f>SUM('Draw #14'!E95:F95)</f>
        <v>0</v>
      </c>
      <c r="F95" s="105">
        <v>0</v>
      </c>
      <c r="G95" s="104" t="e">
        <f>SUM('Draw #14'!G95)+F95</f>
        <v>#REF!</v>
      </c>
      <c r="H95" s="109" t="e">
        <f t="shared" si="2"/>
        <v>#REF!</v>
      </c>
      <c r="I95" s="110">
        <v>0</v>
      </c>
      <c r="J95" s="109">
        <f>SUM(I95+'Draw #14'!J95)</f>
        <v>0</v>
      </c>
      <c r="K95" s="101" t="str">
        <f t="shared" si="3"/>
        <v/>
      </c>
      <c r="L95" s="9"/>
      <c r="M95" s="9"/>
    </row>
    <row r="96" spans="1:13" ht="14.1" customHeight="1">
      <c r="A96" s="4" t="e">
        <f>'SCHEDULE OF VALUE WORKSHEET'!#REF!</f>
        <v>#REF!</v>
      </c>
      <c r="B96" s="142" t="e">
        <f>'SCHEDULE OF VALUE WORKSHEET'!#REF!</f>
        <v>#REF!</v>
      </c>
      <c r="C96" s="143"/>
      <c r="D96" s="104" t="e">
        <f>SUM('SCHEDULE OF VALUE WORKSHEET'!#REF!)</f>
        <v>#REF!</v>
      </c>
      <c r="E96" s="104">
        <f>SUM('Draw #14'!E96:F96)</f>
        <v>0</v>
      </c>
      <c r="F96" s="105">
        <v>0</v>
      </c>
      <c r="G96" s="104" t="e">
        <f>SUM('Draw #14'!G96)+F96</f>
        <v>#REF!</v>
      </c>
      <c r="H96" s="109" t="e">
        <f t="shared" si="2"/>
        <v>#REF!</v>
      </c>
      <c r="I96" s="110">
        <v>0</v>
      </c>
      <c r="J96" s="109">
        <f>SUM(I96+'Draw #14'!J96)</f>
        <v>0</v>
      </c>
      <c r="K96" s="101" t="str">
        <f t="shared" si="3"/>
        <v/>
      </c>
      <c r="L96" s="9"/>
      <c r="M96" s="9"/>
    </row>
    <row r="97" spans="1:13" ht="14.1" customHeight="1">
      <c r="A97" s="4" t="e">
        <f>'SCHEDULE OF VALUE WORKSHEET'!#REF!</f>
        <v>#REF!</v>
      </c>
      <c r="B97" s="142" t="e">
        <f>'SCHEDULE OF VALUE WORKSHEET'!#REF!</f>
        <v>#REF!</v>
      </c>
      <c r="C97" s="143"/>
      <c r="D97" s="104" t="e">
        <f>SUM('SCHEDULE OF VALUE WORKSHEET'!#REF!)</f>
        <v>#REF!</v>
      </c>
      <c r="E97" s="104">
        <f>SUM('Draw #14'!E97:F97)</f>
        <v>0</v>
      </c>
      <c r="F97" s="105">
        <v>0</v>
      </c>
      <c r="G97" s="104" t="e">
        <f>SUM('Draw #14'!G97)+F97</f>
        <v>#REF!</v>
      </c>
      <c r="H97" s="109" t="e">
        <f t="shared" si="2"/>
        <v>#REF!</v>
      </c>
      <c r="I97" s="110">
        <v>0</v>
      </c>
      <c r="J97" s="109">
        <f>SUM(I97+'Draw #14'!J97)</f>
        <v>0</v>
      </c>
      <c r="K97" s="101" t="str">
        <f t="shared" si="3"/>
        <v/>
      </c>
      <c r="L97" s="9"/>
      <c r="M97" s="9"/>
    </row>
    <row r="98" spans="1:13" ht="14.1" customHeight="1">
      <c r="A98" s="4" t="e">
        <f>'SCHEDULE OF VALUE WORKSHEET'!#REF!</f>
        <v>#REF!</v>
      </c>
      <c r="B98" s="142" t="e">
        <f>'SCHEDULE OF VALUE WORKSHEET'!#REF!</f>
        <v>#REF!</v>
      </c>
      <c r="C98" s="143"/>
      <c r="D98" s="104" t="e">
        <f>SUM('SCHEDULE OF VALUE WORKSHEET'!#REF!)</f>
        <v>#REF!</v>
      </c>
      <c r="E98" s="104">
        <f>SUM('Draw #14'!E98:F98)</f>
        <v>0</v>
      </c>
      <c r="F98" s="105">
        <v>0</v>
      </c>
      <c r="G98" s="104" t="e">
        <f>SUM('Draw #14'!G98)+F98</f>
        <v>#REF!</v>
      </c>
      <c r="H98" s="109" t="e">
        <f t="shared" si="2"/>
        <v>#REF!</v>
      </c>
      <c r="I98" s="110">
        <v>0</v>
      </c>
      <c r="J98" s="109">
        <f>SUM(I98+'Draw #14'!J98)</f>
        <v>0</v>
      </c>
      <c r="K98" s="101" t="str">
        <f t="shared" si="3"/>
        <v/>
      </c>
      <c r="L98" s="9"/>
      <c r="M98" s="9"/>
    </row>
    <row r="99" spans="1:13" ht="14.1" customHeight="1">
      <c r="A99" s="4" t="e">
        <f>'SCHEDULE OF VALUE WORKSHEET'!#REF!</f>
        <v>#REF!</v>
      </c>
      <c r="B99" s="142" t="e">
        <f>'SCHEDULE OF VALUE WORKSHEET'!#REF!</f>
        <v>#REF!</v>
      </c>
      <c r="C99" s="143"/>
      <c r="D99" s="104" t="e">
        <f>SUM('SCHEDULE OF VALUE WORKSHEET'!#REF!)</f>
        <v>#REF!</v>
      </c>
      <c r="E99" s="104">
        <f>SUM('Draw #14'!E99:F99)</f>
        <v>0</v>
      </c>
      <c r="F99" s="105">
        <v>0</v>
      </c>
      <c r="G99" s="104" t="e">
        <f>SUM('Draw #14'!G99)+F99</f>
        <v>#REF!</v>
      </c>
      <c r="H99" s="109" t="e">
        <f t="shared" si="2"/>
        <v>#REF!</v>
      </c>
      <c r="I99" s="110">
        <v>0</v>
      </c>
      <c r="J99" s="109">
        <f>SUM(I99+'Draw #14'!J99)</f>
        <v>0</v>
      </c>
      <c r="K99" s="101" t="str">
        <f t="shared" si="3"/>
        <v/>
      </c>
      <c r="L99" s="9"/>
      <c r="M99" s="9"/>
    </row>
    <row r="100" spans="1:13" ht="14.1" customHeight="1">
      <c r="A100" s="4" t="e">
        <f>'SCHEDULE OF VALUE WORKSHEET'!#REF!</f>
        <v>#REF!</v>
      </c>
      <c r="B100" s="142" t="e">
        <f>'SCHEDULE OF VALUE WORKSHEET'!#REF!</f>
        <v>#REF!</v>
      </c>
      <c r="C100" s="143"/>
      <c r="D100" s="104" t="e">
        <f>SUM('SCHEDULE OF VALUE WORKSHEET'!#REF!)</f>
        <v>#REF!</v>
      </c>
      <c r="E100" s="104">
        <f>SUM('Draw #14'!E100:F100)</f>
        <v>0</v>
      </c>
      <c r="F100" s="105">
        <v>0</v>
      </c>
      <c r="G100" s="104" t="e">
        <f>SUM('Draw #14'!G100)+F100</f>
        <v>#REF!</v>
      </c>
      <c r="H100" s="109" t="e">
        <f t="shared" si="2"/>
        <v>#REF!</v>
      </c>
      <c r="I100" s="110">
        <v>0</v>
      </c>
      <c r="J100" s="109">
        <f>SUM(I100+'Draw #14'!J100)</f>
        <v>0</v>
      </c>
      <c r="K100" s="101" t="str">
        <f t="shared" si="3"/>
        <v/>
      </c>
      <c r="L100" s="9"/>
      <c r="M100" s="9"/>
    </row>
    <row r="101" spans="1:13" ht="14.1" customHeight="1">
      <c r="A101" s="4" t="e">
        <f>'SCHEDULE OF VALUE WORKSHEET'!#REF!</f>
        <v>#REF!</v>
      </c>
      <c r="B101" s="142" t="e">
        <f>'SCHEDULE OF VALUE WORKSHEET'!#REF!</f>
        <v>#REF!</v>
      </c>
      <c r="C101" s="143"/>
      <c r="D101" s="104" t="e">
        <f>SUM('SCHEDULE OF VALUE WORKSHEET'!#REF!)</f>
        <v>#REF!</v>
      </c>
      <c r="E101" s="104">
        <f>SUM('Draw #14'!E101:F101)</f>
        <v>0</v>
      </c>
      <c r="F101" s="105">
        <v>0</v>
      </c>
      <c r="G101" s="104" t="e">
        <f>SUM('Draw #14'!G101)+F101</f>
        <v>#REF!</v>
      </c>
      <c r="H101" s="109" t="e">
        <f t="shared" si="2"/>
        <v>#REF!</v>
      </c>
      <c r="I101" s="110">
        <v>0</v>
      </c>
      <c r="J101" s="109">
        <f>SUM(I101+'Draw #14'!J101)</f>
        <v>0</v>
      </c>
      <c r="K101" s="101" t="str">
        <f t="shared" si="3"/>
        <v/>
      </c>
      <c r="L101" s="9"/>
      <c r="M101" s="9"/>
    </row>
    <row r="102" spans="1:13" ht="14.1" customHeight="1">
      <c r="A102" s="4" t="e">
        <f>'SCHEDULE OF VALUE WORKSHEET'!#REF!</f>
        <v>#REF!</v>
      </c>
      <c r="B102" s="142" t="e">
        <f>'SCHEDULE OF VALUE WORKSHEET'!#REF!</f>
        <v>#REF!</v>
      </c>
      <c r="C102" s="143"/>
      <c r="D102" s="104" t="e">
        <f>SUM('SCHEDULE OF VALUE WORKSHEET'!#REF!)</f>
        <v>#REF!</v>
      </c>
      <c r="E102" s="104">
        <f>SUM('Draw #14'!E102:F102)</f>
        <v>0</v>
      </c>
      <c r="F102" s="105">
        <v>0</v>
      </c>
      <c r="G102" s="104" t="e">
        <f>SUM('Draw #14'!G102)+F102</f>
        <v>#REF!</v>
      </c>
      <c r="H102" s="109" t="e">
        <f t="shared" si="2"/>
        <v>#REF!</v>
      </c>
      <c r="I102" s="110">
        <v>0</v>
      </c>
      <c r="J102" s="109">
        <f>SUM(I102+'Draw #14'!J102)</f>
        <v>0</v>
      </c>
      <c r="K102" s="101" t="str">
        <f t="shared" si="3"/>
        <v/>
      </c>
      <c r="L102" s="9"/>
      <c r="M102" s="9"/>
    </row>
    <row r="103" spans="1:13" ht="14.1" customHeight="1">
      <c r="A103" s="4" t="e">
        <f>'SCHEDULE OF VALUE WORKSHEET'!#REF!</f>
        <v>#REF!</v>
      </c>
      <c r="B103" s="142" t="e">
        <f>'SCHEDULE OF VALUE WORKSHEET'!#REF!</f>
        <v>#REF!</v>
      </c>
      <c r="C103" s="143"/>
      <c r="D103" s="104" t="e">
        <f>SUM('SCHEDULE OF VALUE WORKSHEET'!#REF!)</f>
        <v>#REF!</v>
      </c>
      <c r="E103" s="104">
        <f>SUM('Draw #14'!E103:F103)</f>
        <v>0</v>
      </c>
      <c r="F103" s="105">
        <v>0</v>
      </c>
      <c r="G103" s="104" t="e">
        <f>SUM('Draw #14'!G103)+F103</f>
        <v>#REF!</v>
      </c>
      <c r="H103" s="109" t="e">
        <f t="shared" si="2"/>
        <v>#REF!</v>
      </c>
      <c r="I103" s="110">
        <v>0</v>
      </c>
      <c r="J103" s="109">
        <f>SUM(I103+'Draw #14'!J103)</f>
        <v>0</v>
      </c>
      <c r="K103" s="101" t="str">
        <f t="shared" si="3"/>
        <v/>
      </c>
      <c r="L103" s="9"/>
      <c r="M103" s="9"/>
    </row>
    <row r="104" spans="1:13" ht="14.1" customHeight="1">
      <c r="A104" s="4" t="e">
        <f>'SCHEDULE OF VALUE WORKSHEET'!#REF!</f>
        <v>#REF!</v>
      </c>
      <c r="B104" s="142" t="e">
        <f>'SCHEDULE OF VALUE WORKSHEET'!#REF!</f>
        <v>#REF!</v>
      </c>
      <c r="C104" s="143"/>
      <c r="D104" s="104" t="e">
        <f>SUM('SCHEDULE OF VALUE WORKSHEET'!#REF!)</f>
        <v>#REF!</v>
      </c>
      <c r="E104" s="104">
        <f>SUM('Draw #14'!E104:F104)</f>
        <v>0</v>
      </c>
      <c r="F104" s="105">
        <v>0</v>
      </c>
      <c r="G104" s="104" t="e">
        <f>SUM('Draw #14'!G104)+F104</f>
        <v>#REF!</v>
      </c>
      <c r="H104" s="109" t="e">
        <f t="shared" si="2"/>
        <v>#REF!</v>
      </c>
      <c r="I104" s="110">
        <v>0</v>
      </c>
      <c r="J104" s="109">
        <f>SUM(I104+'Draw #14'!J104)</f>
        <v>0</v>
      </c>
      <c r="K104" s="101" t="str">
        <f t="shared" si="3"/>
        <v/>
      </c>
      <c r="L104" s="9"/>
      <c r="M104" s="9"/>
    </row>
    <row r="105" spans="1:13" ht="14.1" customHeight="1">
      <c r="A105" s="4" t="e">
        <f>'SCHEDULE OF VALUE WORKSHEET'!#REF!</f>
        <v>#REF!</v>
      </c>
      <c r="B105" s="142" t="e">
        <f>'SCHEDULE OF VALUE WORKSHEET'!#REF!</f>
        <v>#REF!</v>
      </c>
      <c r="C105" s="143"/>
      <c r="D105" s="104" t="e">
        <f>SUM('SCHEDULE OF VALUE WORKSHEET'!#REF!)</f>
        <v>#REF!</v>
      </c>
      <c r="E105" s="104">
        <f>SUM('Draw #14'!E105:F105)</f>
        <v>0</v>
      </c>
      <c r="F105" s="105">
        <v>0</v>
      </c>
      <c r="G105" s="104" t="e">
        <f>SUM('Draw #14'!G105)+F105</f>
        <v>#REF!</v>
      </c>
      <c r="H105" s="109" t="e">
        <f t="shared" si="2"/>
        <v>#REF!</v>
      </c>
      <c r="I105" s="110">
        <v>0</v>
      </c>
      <c r="J105" s="109">
        <f>SUM(I105+'Draw #14'!J105)</f>
        <v>0</v>
      </c>
      <c r="K105" s="101" t="str">
        <f t="shared" si="3"/>
        <v/>
      </c>
      <c r="L105" s="9"/>
      <c r="M105" s="9"/>
    </row>
    <row r="106" spans="1:13" ht="14.1" customHeight="1">
      <c r="A106" s="4" t="e">
        <f>'SCHEDULE OF VALUE WORKSHEET'!#REF!</f>
        <v>#REF!</v>
      </c>
      <c r="B106" s="142" t="e">
        <f>'SCHEDULE OF VALUE WORKSHEET'!#REF!</f>
        <v>#REF!</v>
      </c>
      <c r="C106" s="143"/>
      <c r="D106" s="104" t="e">
        <f>SUM('SCHEDULE OF VALUE WORKSHEET'!#REF!)</f>
        <v>#REF!</v>
      </c>
      <c r="E106" s="104">
        <f>SUM('Draw #14'!E106:F106)</f>
        <v>0</v>
      </c>
      <c r="F106" s="105">
        <v>0</v>
      </c>
      <c r="G106" s="104" t="e">
        <f>SUM('Draw #14'!G106)+F106</f>
        <v>#REF!</v>
      </c>
      <c r="H106" s="109" t="e">
        <f t="shared" si="2"/>
        <v>#REF!</v>
      </c>
      <c r="I106" s="110">
        <v>0</v>
      </c>
      <c r="J106" s="109">
        <f>SUM(I106+'Draw #14'!J106)</f>
        <v>0</v>
      </c>
      <c r="K106" s="101" t="str">
        <f t="shared" si="3"/>
        <v/>
      </c>
      <c r="L106" s="9"/>
      <c r="M106" s="9"/>
    </row>
    <row r="107" spans="1:13" ht="14.1" customHeight="1">
      <c r="A107" s="4" t="e">
        <f>'SCHEDULE OF VALUE WORKSHEET'!#REF!</f>
        <v>#REF!</v>
      </c>
      <c r="B107" s="142" t="e">
        <f>'SCHEDULE OF VALUE WORKSHEET'!#REF!</f>
        <v>#REF!</v>
      </c>
      <c r="C107" s="143"/>
      <c r="D107" s="104" t="e">
        <f>SUM('SCHEDULE OF VALUE WORKSHEET'!#REF!)</f>
        <v>#REF!</v>
      </c>
      <c r="E107" s="104">
        <f>SUM('Draw #14'!E107:F107)</f>
        <v>0</v>
      </c>
      <c r="F107" s="105">
        <v>0</v>
      </c>
      <c r="G107" s="104" t="e">
        <f>SUM('Draw #14'!G107)+F107</f>
        <v>#REF!</v>
      </c>
      <c r="H107" s="109" t="e">
        <f t="shared" si="2"/>
        <v>#REF!</v>
      </c>
      <c r="I107" s="110">
        <v>0</v>
      </c>
      <c r="J107" s="109">
        <f>SUM(I107+'Draw #14'!J107)</f>
        <v>0</v>
      </c>
      <c r="K107" s="101" t="str">
        <f t="shared" si="3"/>
        <v/>
      </c>
      <c r="L107" s="9"/>
      <c r="M107" s="9"/>
    </row>
    <row r="108" spans="1:13" ht="14.1" customHeight="1">
      <c r="A108" s="4" t="e">
        <f>'SCHEDULE OF VALUE WORKSHEET'!#REF!</f>
        <v>#REF!</v>
      </c>
      <c r="B108" s="142" t="e">
        <f>'SCHEDULE OF VALUE WORKSHEET'!#REF!</f>
        <v>#REF!</v>
      </c>
      <c r="C108" s="143"/>
      <c r="D108" s="104" t="e">
        <f>SUM('SCHEDULE OF VALUE WORKSHEET'!#REF!)</f>
        <v>#REF!</v>
      </c>
      <c r="E108" s="104">
        <f>SUM('Draw #14'!E108:F108)</f>
        <v>0</v>
      </c>
      <c r="F108" s="105">
        <v>0</v>
      </c>
      <c r="G108" s="104" t="e">
        <f>SUM('Draw #14'!G108)+F108</f>
        <v>#REF!</v>
      </c>
      <c r="H108" s="109" t="e">
        <f t="shared" si="2"/>
        <v>#REF!</v>
      </c>
      <c r="I108" s="110">
        <v>0</v>
      </c>
      <c r="J108" s="109">
        <f>SUM(I108+'Draw #14'!J108)</f>
        <v>0</v>
      </c>
      <c r="K108" s="101" t="str">
        <f t="shared" si="3"/>
        <v/>
      </c>
      <c r="L108" s="9"/>
      <c r="M108" s="9"/>
    </row>
    <row r="109" spans="1:13" ht="14.1" customHeight="1">
      <c r="A109" s="4" t="e">
        <f>'SCHEDULE OF VALUE WORKSHEET'!#REF!</f>
        <v>#REF!</v>
      </c>
      <c r="B109" s="142" t="e">
        <f>'SCHEDULE OF VALUE WORKSHEET'!#REF!</f>
        <v>#REF!</v>
      </c>
      <c r="C109" s="143"/>
      <c r="D109" s="104" t="e">
        <f>SUM('SCHEDULE OF VALUE WORKSHEET'!#REF!)</f>
        <v>#REF!</v>
      </c>
      <c r="E109" s="104">
        <f>SUM('Draw #14'!E109:F109)</f>
        <v>0</v>
      </c>
      <c r="F109" s="105">
        <v>0</v>
      </c>
      <c r="G109" s="104" t="e">
        <f>SUM('Draw #14'!G109)+F109</f>
        <v>#REF!</v>
      </c>
      <c r="H109" s="109" t="e">
        <f t="shared" si="2"/>
        <v>#REF!</v>
      </c>
      <c r="I109" s="110">
        <v>0</v>
      </c>
      <c r="J109" s="109">
        <f>SUM(I109+'Draw #14'!J109)</f>
        <v>0</v>
      </c>
      <c r="K109" s="101" t="str">
        <f t="shared" si="3"/>
        <v/>
      </c>
      <c r="L109" s="9"/>
      <c r="M109" s="9"/>
    </row>
    <row r="110" spans="1:13" ht="14.1" customHeight="1">
      <c r="A110" s="4" t="e">
        <f>'SCHEDULE OF VALUE WORKSHEET'!#REF!</f>
        <v>#REF!</v>
      </c>
      <c r="B110" s="142" t="e">
        <f>'SCHEDULE OF VALUE WORKSHEET'!#REF!</f>
        <v>#REF!</v>
      </c>
      <c r="C110" s="143"/>
      <c r="D110" s="104" t="e">
        <f>SUM('SCHEDULE OF VALUE WORKSHEET'!#REF!)</f>
        <v>#REF!</v>
      </c>
      <c r="E110" s="104">
        <f>SUM('Draw #14'!E110:F110)</f>
        <v>0</v>
      </c>
      <c r="F110" s="105">
        <v>0</v>
      </c>
      <c r="G110" s="104" t="e">
        <f>SUM('Draw #14'!G110)+F110</f>
        <v>#REF!</v>
      </c>
      <c r="H110" s="109" t="e">
        <f t="shared" si="2"/>
        <v>#REF!</v>
      </c>
      <c r="I110" s="110">
        <v>0</v>
      </c>
      <c r="J110" s="109">
        <f>SUM(I110+'Draw #14'!J110)</f>
        <v>0</v>
      </c>
      <c r="K110" s="101" t="str">
        <f t="shared" si="3"/>
        <v/>
      </c>
      <c r="L110" s="9"/>
      <c r="M110" s="9"/>
    </row>
    <row r="111" spans="1:13" ht="14.1" customHeight="1">
      <c r="A111" s="4" t="e">
        <f>'SCHEDULE OF VALUE WORKSHEET'!#REF!</f>
        <v>#REF!</v>
      </c>
      <c r="B111" s="142" t="e">
        <f>'SCHEDULE OF VALUE WORKSHEET'!#REF!</f>
        <v>#REF!</v>
      </c>
      <c r="C111" s="143"/>
      <c r="D111" s="104" t="e">
        <f>SUM('SCHEDULE OF VALUE WORKSHEET'!#REF!)</f>
        <v>#REF!</v>
      </c>
      <c r="E111" s="104">
        <f>SUM('Draw #14'!E111:F111)</f>
        <v>0</v>
      </c>
      <c r="F111" s="105">
        <v>0</v>
      </c>
      <c r="G111" s="104" t="e">
        <f>SUM('Draw #14'!G111)+F111</f>
        <v>#REF!</v>
      </c>
      <c r="H111" s="109" t="e">
        <f t="shared" si="2"/>
        <v>#REF!</v>
      </c>
      <c r="I111" s="110">
        <v>0</v>
      </c>
      <c r="J111" s="109">
        <f>SUM(I111+'Draw #14'!J111)</f>
        <v>0</v>
      </c>
      <c r="K111" s="101" t="str">
        <f t="shared" si="3"/>
        <v/>
      </c>
      <c r="L111" s="9"/>
      <c r="M111" s="9"/>
    </row>
    <row r="112" spans="1:13" ht="14.1" customHeight="1">
      <c r="A112" s="4" t="e">
        <f>'SCHEDULE OF VALUE WORKSHEET'!#REF!</f>
        <v>#REF!</v>
      </c>
      <c r="B112" s="142" t="e">
        <f>'SCHEDULE OF VALUE WORKSHEET'!#REF!</f>
        <v>#REF!</v>
      </c>
      <c r="C112" s="143"/>
      <c r="D112" s="104" t="e">
        <f>SUM('SCHEDULE OF VALUE WORKSHEET'!#REF!)</f>
        <v>#REF!</v>
      </c>
      <c r="E112" s="104">
        <f>SUM('Draw #14'!E112:F112)</f>
        <v>0</v>
      </c>
      <c r="F112" s="105">
        <v>0</v>
      </c>
      <c r="G112" s="104" t="e">
        <f>SUM('Draw #14'!G112)+F112</f>
        <v>#REF!</v>
      </c>
      <c r="H112" s="109" t="e">
        <f t="shared" si="2"/>
        <v>#REF!</v>
      </c>
      <c r="I112" s="110">
        <v>0</v>
      </c>
      <c r="J112" s="109">
        <f>SUM(I112+'Draw #14'!J112)</f>
        <v>0</v>
      </c>
      <c r="K112" s="101" t="str">
        <f t="shared" si="3"/>
        <v/>
      </c>
      <c r="L112" s="9"/>
      <c r="M112" s="9"/>
    </row>
    <row r="113" spans="1:13" ht="14.1" customHeight="1">
      <c r="A113" s="4" t="e">
        <f>'SCHEDULE OF VALUE WORKSHEET'!#REF!</f>
        <v>#REF!</v>
      </c>
      <c r="B113" s="142" t="e">
        <f>'SCHEDULE OF VALUE WORKSHEET'!#REF!</f>
        <v>#REF!</v>
      </c>
      <c r="C113" s="143"/>
      <c r="D113" s="104" t="e">
        <f>SUM('SCHEDULE OF VALUE WORKSHEET'!#REF!)</f>
        <v>#REF!</v>
      </c>
      <c r="E113" s="104">
        <f>SUM('Draw #14'!E113:F113)</f>
        <v>0</v>
      </c>
      <c r="F113" s="105">
        <v>0</v>
      </c>
      <c r="G113" s="104" t="e">
        <f>SUM('Draw #14'!G113)+F113</f>
        <v>#REF!</v>
      </c>
      <c r="H113" s="109" t="e">
        <f t="shared" si="2"/>
        <v>#REF!</v>
      </c>
      <c r="I113" s="110">
        <v>0</v>
      </c>
      <c r="J113" s="109">
        <f>SUM(I113+'Draw #14'!J113)</f>
        <v>0</v>
      </c>
      <c r="K113" s="101" t="str">
        <f t="shared" si="3"/>
        <v/>
      </c>
      <c r="L113" s="9"/>
      <c r="M113" s="9"/>
    </row>
    <row r="114" spans="1:13" ht="14.1" customHeight="1">
      <c r="A114" s="4" t="e">
        <f>'SCHEDULE OF VALUE WORKSHEET'!#REF!</f>
        <v>#REF!</v>
      </c>
      <c r="B114" s="142" t="e">
        <f>'SCHEDULE OF VALUE WORKSHEET'!#REF!</f>
        <v>#REF!</v>
      </c>
      <c r="C114" s="143"/>
      <c r="D114" s="104" t="e">
        <f>SUM('SCHEDULE OF VALUE WORKSHEET'!#REF!)</f>
        <v>#REF!</v>
      </c>
      <c r="E114" s="104">
        <f>SUM('Draw #14'!E114:F114)</f>
        <v>0</v>
      </c>
      <c r="F114" s="105">
        <v>0</v>
      </c>
      <c r="G114" s="104" t="e">
        <f>SUM('Draw #14'!G114)+F114</f>
        <v>#REF!</v>
      </c>
      <c r="H114" s="109" t="e">
        <f t="shared" si="2"/>
        <v>#REF!</v>
      </c>
      <c r="I114" s="110">
        <v>0</v>
      </c>
      <c r="J114" s="109">
        <f>SUM(I114+'Draw #14'!J114)</f>
        <v>0</v>
      </c>
      <c r="K114" s="101" t="str">
        <f t="shared" si="3"/>
        <v/>
      </c>
      <c r="L114" s="9"/>
      <c r="M114" s="9"/>
    </row>
    <row r="115" spans="1:13" ht="14.1" customHeight="1">
      <c r="A115" s="4" t="e">
        <f>'SCHEDULE OF VALUE WORKSHEET'!#REF!</f>
        <v>#REF!</v>
      </c>
      <c r="B115" s="142" t="e">
        <f>'SCHEDULE OF VALUE WORKSHEET'!#REF!</f>
        <v>#REF!</v>
      </c>
      <c r="C115" s="143"/>
      <c r="D115" s="104" t="e">
        <f>SUM('SCHEDULE OF VALUE WORKSHEET'!#REF!)</f>
        <v>#REF!</v>
      </c>
      <c r="E115" s="104">
        <f>SUM('Draw #14'!E115:F115)</f>
        <v>0</v>
      </c>
      <c r="F115" s="105">
        <v>0</v>
      </c>
      <c r="G115" s="104" t="e">
        <f>SUM('Draw #14'!G115)+F115</f>
        <v>#REF!</v>
      </c>
      <c r="H115" s="109" t="e">
        <f t="shared" si="2"/>
        <v>#REF!</v>
      </c>
      <c r="I115" s="110">
        <v>0</v>
      </c>
      <c r="J115" s="109">
        <f>SUM(I115+'Draw #14'!J115)</f>
        <v>0</v>
      </c>
      <c r="K115" s="101" t="str">
        <f t="shared" si="3"/>
        <v/>
      </c>
      <c r="L115" s="9"/>
      <c r="M115" s="9"/>
    </row>
    <row r="116" spans="1:13" ht="14.1" customHeight="1">
      <c r="A116" s="4" t="e">
        <f>'SCHEDULE OF VALUE WORKSHEET'!#REF!</f>
        <v>#REF!</v>
      </c>
      <c r="B116" s="142" t="e">
        <f>'SCHEDULE OF VALUE WORKSHEET'!#REF!</f>
        <v>#REF!</v>
      </c>
      <c r="C116" s="143"/>
      <c r="D116" s="104" t="e">
        <f>SUM('SCHEDULE OF VALUE WORKSHEET'!#REF!)</f>
        <v>#REF!</v>
      </c>
      <c r="E116" s="104">
        <f>SUM('Draw #14'!E116:F116)</f>
        <v>0</v>
      </c>
      <c r="F116" s="105">
        <v>0</v>
      </c>
      <c r="G116" s="104" t="e">
        <f>SUM('Draw #14'!G116)+F116</f>
        <v>#REF!</v>
      </c>
      <c r="H116" s="109" t="e">
        <f t="shared" si="2"/>
        <v>#REF!</v>
      </c>
      <c r="I116" s="110">
        <v>0</v>
      </c>
      <c r="J116" s="109">
        <f>SUM(I116+'Draw #14'!J116)</f>
        <v>0</v>
      </c>
      <c r="K116" s="101" t="str">
        <f t="shared" si="3"/>
        <v/>
      </c>
      <c r="L116" s="9"/>
      <c r="M116" s="9"/>
    </row>
    <row r="117" spans="1:13" ht="14.1" customHeight="1">
      <c r="A117" s="4">
        <f>'SCHEDULE OF VALUE WORKSHEET'!A87</f>
        <v>82</v>
      </c>
      <c r="B117" s="142" t="str">
        <f>'SCHEDULE OF VALUE WORKSHEET'!B87</f>
        <v xml:space="preserve">Open Item </v>
      </c>
      <c r="C117" s="143"/>
      <c r="D117" s="104">
        <f>SUM('SCHEDULE OF VALUE WORKSHEET'!E87)</f>
        <v>0</v>
      </c>
      <c r="E117" s="104">
        <f>SUM('Draw #14'!E117:F117)</f>
        <v>0</v>
      </c>
      <c r="F117" s="105">
        <v>0</v>
      </c>
      <c r="G117" s="104">
        <f>SUM('Draw #14'!G117)+F117</f>
        <v>0</v>
      </c>
      <c r="H117" s="109">
        <f t="shared" si="2"/>
        <v>0</v>
      </c>
      <c r="I117" s="110">
        <v>0</v>
      </c>
      <c r="J117" s="109">
        <f>SUM(I117+'Draw #14'!J117)</f>
        <v>0</v>
      </c>
      <c r="K117" s="101" t="str">
        <f t="shared" si="3"/>
        <v/>
      </c>
      <c r="L117" s="9"/>
      <c r="M117" s="9"/>
    </row>
    <row r="118" spans="1:13" ht="14.1" customHeight="1">
      <c r="A118" s="4">
        <f>'SCHEDULE OF VALUE WORKSHEET'!A88</f>
        <v>83</v>
      </c>
      <c r="B118" s="142" t="str">
        <f>'SCHEDULE OF VALUE WORKSHEET'!B88</f>
        <v xml:space="preserve">Open Item </v>
      </c>
      <c r="C118" s="143"/>
      <c r="D118" s="104">
        <f>SUM('SCHEDULE OF VALUE WORKSHEET'!E88)</f>
        <v>0</v>
      </c>
      <c r="E118" s="104">
        <f>SUM('Draw #14'!E118:F118)</f>
        <v>0</v>
      </c>
      <c r="F118" s="105">
        <v>0</v>
      </c>
      <c r="G118" s="104">
        <f>SUM('Draw #14'!G118)+F118</f>
        <v>0</v>
      </c>
      <c r="H118" s="109">
        <f t="shared" si="2"/>
        <v>0</v>
      </c>
      <c r="I118" s="110">
        <v>0</v>
      </c>
      <c r="J118" s="109">
        <f>SUM(I118+'Draw #14'!J118)</f>
        <v>0</v>
      </c>
      <c r="K118" s="101" t="str">
        <f t="shared" si="3"/>
        <v/>
      </c>
      <c r="L118" s="9"/>
      <c r="M118" s="9"/>
    </row>
    <row r="119" spans="1:13" ht="14.1" customHeight="1">
      <c r="A119" s="4">
        <f>'SCHEDULE OF VALUE WORKSHEET'!A89</f>
        <v>84</v>
      </c>
      <c r="B119" s="142" t="str">
        <f>'SCHEDULE OF VALUE WORKSHEET'!B89</f>
        <v xml:space="preserve">Open Item </v>
      </c>
      <c r="C119" s="143"/>
      <c r="D119" s="104">
        <f>SUM('SCHEDULE OF VALUE WORKSHEET'!E89)</f>
        <v>0</v>
      </c>
      <c r="E119" s="104">
        <f>SUM('Draw #14'!E119:F119)</f>
        <v>0</v>
      </c>
      <c r="F119" s="105">
        <v>0</v>
      </c>
      <c r="G119" s="104">
        <f>SUM('Draw #14'!G119)+F119</f>
        <v>0</v>
      </c>
      <c r="H119" s="109">
        <f t="shared" si="2"/>
        <v>0</v>
      </c>
      <c r="I119" s="110">
        <v>0</v>
      </c>
      <c r="J119" s="109">
        <f>SUM(I119+'Draw #14'!J119)</f>
        <v>0</v>
      </c>
      <c r="K119" s="101" t="str">
        <f t="shared" si="3"/>
        <v/>
      </c>
      <c r="L119" s="9"/>
      <c r="M119" s="9"/>
    </row>
    <row r="120" spans="1:13" ht="14.1" customHeight="1">
      <c r="A120" s="4">
        <f>'SCHEDULE OF VALUE WORKSHEET'!A90</f>
        <v>85</v>
      </c>
      <c r="B120" s="142" t="str">
        <f>'SCHEDULE OF VALUE WORKSHEET'!B90</f>
        <v xml:space="preserve">Open Item </v>
      </c>
      <c r="C120" s="143"/>
      <c r="D120" s="104">
        <f>SUM('SCHEDULE OF VALUE WORKSHEET'!E90)</f>
        <v>0</v>
      </c>
      <c r="E120" s="104">
        <f>SUM('Draw #14'!E120:F120)</f>
        <v>0</v>
      </c>
      <c r="F120" s="105">
        <v>0</v>
      </c>
      <c r="G120" s="104">
        <f>SUM('Draw #14'!G120)+F120</f>
        <v>0</v>
      </c>
      <c r="H120" s="109">
        <f t="shared" si="2"/>
        <v>0</v>
      </c>
      <c r="I120" s="110">
        <v>0</v>
      </c>
      <c r="J120" s="109">
        <f>SUM(I120+'Draw #14'!J120)</f>
        <v>0</v>
      </c>
      <c r="K120" s="101" t="str">
        <f t="shared" si="3"/>
        <v/>
      </c>
      <c r="L120" s="9"/>
      <c r="M120" s="9"/>
    </row>
    <row r="121" spans="1:13" ht="14.1" customHeight="1">
      <c r="A121" s="4">
        <f>'SCHEDULE OF VALUE WORKSHEET'!A91</f>
        <v>86</v>
      </c>
      <c r="B121" s="142" t="str">
        <f>'SCHEDULE OF VALUE WORKSHEET'!B91</f>
        <v xml:space="preserve">Open Item </v>
      </c>
      <c r="C121" s="143"/>
      <c r="D121" s="104">
        <f>SUM('SCHEDULE OF VALUE WORKSHEET'!E91)</f>
        <v>0</v>
      </c>
      <c r="E121" s="104">
        <f>SUM('Draw #14'!E121:F121)</f>
        <v>0</v>
      </c>
      <c r="F121" s="105">
        <v>0</v>
      </c>
      <c r="G121" s="104">
        <f>SUM('Draw #14'!G121)+F121</f>
        <v>0</v>
      </c>
      <c r="H121" s="109">
        <f t="shared" si="2"/>
        <v>0</v>
      </c>
      <c r="I121" s="110">
        <v>0</v>
      </c>
      <c r="J121" s="109">
        <f>SUM(I121+'Draw #14'!J121)</f>
        <v>0</v>
      </c>
      <c r="K121" s="101" t="str">
        <f t="shared" si="3"/>
        <v/>
      </c>
      <c r="L121" s="9"/>
      <c r="M121" s="9"/>
    </row>
    <row r="122" spans="1:13" ht="14.1" customHeight="1">
      <c r="A122" s="4">
        <f>'SCHEDULE OF VALUE WORKSHEET'!A92</f>
        <v>87</v>
      </c>
      <c r="B122" s="142" t="str">
        <f>'SCHEDULE OF VALUE WORKSHEET'!B92</f>
        <v xml:space="preserve">Open Item </v>
      </c>
      <c r="C122" s="143"/>
      <c r="D122" s="104">
        <f>SUM('SCHEDULE OF VALUE WORKSHEET'!E92)</f>
        <v>0</v>
      </c>
      <c r="E122" s="104">
        <f>SUM('Draw #14'!E122:F122)</f>
        <v>0</v>
      </c>
      <c r="F122" s="105">
        <v>0</v>
      </c>
      <c r="G122" s="104">
        <f>SUM('Draw #14'!G122)+F122</f>
        <v>0</v>
      </c>
      <c r="H122" s="109">
        <f t="shared" si="2"/>
        <v>0</v>
      </c>
      <c r="I122" s="110">
        <v>0</v>
      </c>
      <c r="J122" s="109">
        <f>SUM(I122+'Draw #14'!J122)</f>
        <v>0</v>
      </c>
      <c r="K122" s="101" t="str">
        <f t="shared" si="3"/>
        <v/>
      </c>
      <c r="L122" s="9"/>
      <c r="M122" s="9"/>
    </row>
    <row r="123" spans="1:13" ht="14.1" customHeight="1">
      <c r="A123" s="4">
        <f>'SCHEDULE OF VALUE WORKSHEET'!A93</f>
        <v>88</v>
      </c>
      <c r="B123" s="142" t="str">
        <f>'SCHEDULE OF VALUE WORKSHEET'!B93</f>
        <v xml:space="preserve">Open Item </v>
      </c>
      <c r="C123" s="143"/>
      <c r="D123" s="104">
        <f>SUM('SCHEDULE OF VALUE WORKSHEET'!E93)</f>
        <v>0</v>
      </c>
      <c r="E123" s="104">
        <f>SUM('Draw #14'!E123:F123)</f>
        <v>0</v>
      </c>
      <c r="F123" s="105">
        <v>0</v>
      </c>
      <c r="G123" s="104">
        <f>SUM('Draw #14'!G123)+F123</f>
        <v>0</v>
      </c>
      <c r="H123" s="109">
        <f t="shared" si="2"/>
        <v>0</v>
      </c>
      <c r="I123" s="110">
        <v>0</v>
      </c>
      <c r="J123" s="109">
        <f>SUM(I123+'Draw #14'!J123)</f>
        <v>0</v>
      </c>
      <c r="K123" s="101" t="str">
        <f t="shared" si="3"/>
        <v/>
      </c>
      <c r="L123" s="9"/>
      <c r="M123" s="9"/>
    </row>
    <row r="124" spans="1:13" ht="14.1" customHeight="1">
      <c r="A124" s="4">
        <f>'SCHEDULE OF VALUE WORKSHEET'!A94</f>
        <v>89</v>
      </c>
      <c r="B124" s="142" t="str">
        <f>'SCHEDULE OF VALUE WORKSHEET'!B94</f>
        <v xml:space="preserve">Open Item </v>
      </c>
      <c r="C124" s="143"/>
      <c r="D124" s="104">
        <f>SUM('SCHEDULE OF VALUE WORKSHEET'!E94)</f>
        <v>0</v>
      </c>
      <c r="E124" s="104">
        <f>SUM('Draw #14'!E124:F124)</f>
        <v>0</v>
      </c>
      <c r="F124" s="105">
        <v>0</v>
      </c>
      <c r="G124" s="104">
        <f>SUM('Draw #14'!G124)+F124</f>
        <v>0</v>
      </c>
      <c r="H124" s="109">
        <f t="shared" si="2"/>
        <v>0</v>
      </c>
      <c r="I124" s="110">
        <v>0</v>
      </c>
      <c r="J124" s="109">
        <f>SUM(I124+'Draw #14'!J124)</f>
        <v>0</v>
      </c>
      <c r="K124" s="101" t="str">
        <f t="shared" si="3"/>
        <v/>
      </c>
      <c r="L124" s="9"/>
      <c r="M124" s="9"/>
    </row>
    <row r="125" spans="1:13" ht="14.1" customHeight="1">
      <c r="A125" s="4">
        <f>'SCHEDULE OF VALUE WORKSHEET'!A95</f>
        <v>90</v>
      </c>
      <c r="B125" s="142" t="str">
        <f>'SCHEDULE OF VALUE WORKSHEET'!B95</f>
        <v xml:space="preserve">Open Item </v>
      </c>
      <c r="C125" s="143"/>
      <c r="D125" s="104">
        <f>SUM('SCHEDULE OF VALUE WORKSHEET'!E95)</f>
        <v>0</v>
      </c>
      <c r="E125" s="104">
        <f>SUM('Draw #14'!E125:F125)</f>
        <v>0</v>
      </c>
      <c r="F125" s="105">
        <v>0</v>
      </c>
      <c r="G125" s="104">
        <f>SUM('Draw #14'!G125)+F125</f>
        <v>0</v>
      </c>
      <c r="H125" s="109">
        <f t="shared" si="2"/>
        <v>0</v>
      </c>
      <c r="I125" s="110">
        <v>0</v>
      </c>
      <c r="J125" s="109">
        <f>SUM(I125+'Draw #14'!J125)</f>
        <v>0</v>
      </c>
      <c r="K125" s="101" t="str">
        <f t="shared" si="3"/>
        <v/>
      </c>
      <c r="L125" s="9"/>
      <c r="M125" s="9"/>
    </row>
    <row r="126" spans="1:13" ht="14.1" customHeight="1">
      <c r="A126" s="4">
        <f>'SCHEDULE OF VALUE WORKSHEET'!A96</f>
        <v>91</v>
      </c>
      <c r="B126" s="142" t="str">
        <f>'SCHEDULE OF VALUE WORKSHEET'!B96</f>
        <v xml:space="preserve">Open Item </v>
      </c>
      <c r="C126" s="143"/>
      <c r="D126" s="104">
        <f>SUM('SCHEDULE OF VALUE WORKSHEET'!E96)</f>
        <v>0</v>
      </c>
      <c r="E126" s="104">
        <f>SUM('Draw #14'!E126:F126)</f>
        <v>0</v>
      </c>
      <c r="F126" s="105">
        <v>0</v>
      </c>
      <c r="G126" s="104">
        <f>SUM('Draw #14'!G126)+F126</f>
        <v>0</v>
      </c>
      <c r="H126" s="109">
        <f t="shared" si="2"/>
        <v>0</v>
      </c>
      <c r="I126" s="110">
        <v>0</v>
      </c>
      <c r="J126" s="109">
        <f>SUM(I126+'Draw #14'!J126)</f>
        <v>0</v>
      </c>
      <c r="K126" s="101" t="str">
        <f t="shared" si="3"/>
        <v/>
      </c>
      <c r="L126" s="9"/>
      <c r="M126" s="9"/>
    </row>
    <row r="127" spans="1:13" ht="14.1" customHeight="1">
      <c r="A127" s="4">
        <f>'SCHEDULE OF VALUE WORKSHEET'!A97</f>
        <v>92</v>
      </c>
      <c r="B127" s="142" t="str">
        <f>'SCHEDULE OF VALUE WORKSHEET'!B97</f>
        <v xml:space="preserve">Open Item </v>
      </c>
      <c r="C127" s="143"/>
      <c r="D127" s="104">
        <f>SUM('SCHEDULE OF VALUE WORKSHEET'!E97)</f>
        <v>0</v>
      </c>
      <c r="E127" s="104">
        <f>SUM('Draw #14'!E127:F127)</f>
        <v>0</v>
      </c>
      <c r="F127" s="105">
        <v>0</v>
      </c>
      <c r="G127" s="104">
        <f>SUM('Draw #14'!G127)+F127</f>
        <v>0</v>
      </c>
      <c r="H127" s="109">
        <f t="shared" si="2"/>
        <v>0</v>
      </c>
      <c r="I127" s="110">
        <v>0</v>
      </c>
      <c r="J127" s="109">
        <f>SUM(I127+'Draw #14'!J127)</f>
        <v>0</v>
      </c>
      <c r="K127" s="101" t="str">
        <f t="shared" si="3"/>
        <v/>
      </c>
      <c r="L127" s="9"/>
      <c r="M127" s="9"/>
    </row>
    <row r="128" spans="1:13" ht="14.1" customHeight="1">
      <c r="A128" s="4">
        <f>'SCHEDULE OF VALUE WORKSHEET'!A98</f>
        <v>93</v>
      </c>
      <c r="B128" s="142" t="str">
        <f>'SCHEDULE OF VALUE WORKSHEET'!B98</f>
        <v xml:space="preserve">Open Item </v>
      </c>
      <c r="C128" s="143"/>
      <c r="D128" s="104">
        <f>SUM('SCHEDULE OF VALUE WORKSHEET'!E98)</f>
        <v>0</v>
      </c>
      <c r="E128" s="104">
        <f>SUM('Draw #14'!E128:F128)</f>
        <v>0</v>
      </c>
      <c r="F128" s="105">
        <v>0</v>
      </c>
      <c r="G128" s="104">
        <f>SUM('Draw #14'!G128)+F128</f>
        <v>0</v>
      </c>
      <c r="H128" s="109">
        <f t="shared" si="2"/>
        <v>0</v>
      </c>
      <c r="I128" s="110">
        <v>0</v>
      </c>
      <c r="J128" s="109">
        <f>SUM(I128+'Draw #14'!J128)</f>
        <v>0</v>
      </c>
      <c r="K128" s="101" t="str">
        <f t="shared" si="3"/>
        <v/>
      </c>
      <c r="L128" s="9"/>
      <c r="M128" s="9"/>
    </row>
    <row r="129" spans="1:13" ht="14.1" customHeight="1">
      <c r="A129" s="4">
        <f>'SCHEDULE OF VALUE WORKSHEET'!A99</f>
        <v>94</v>
      </c>
      <c r="B129" s="142" t="str">
        <f>'SCHEDULE OF VALUE WORKSHEET'!B99</f>
        <v xml:space="preserve">Open Item </v>
      </c>
      <c r="C129" s="143"/>
      <c r="D129" s="104">
        <f>SUM('SCHEDULE OF VALUE WORKSHEET'!E99)</f>
        <v>0</v>
      </c>
      <c r="E129" s="104">
        <f>SUM('Draw #14'!E129:F129)</f>
        <v>0</v>
      </c>
      <c r="F129" s="105">
        <v>0</v>
      </c>
      <c r="G129" s="104">
        <f>SUM('Draw #14'!G129)+F129</f>
        <v>0</v>
      </c>
      <c r="H129" s="109">
        <f t="shared" si="2"/>
        <v>0</v>
      </c>
      <c r="I129" s="110">
        <v>0</v>
      </c>
      <c r="J129" s="109">
        <f>SUM(I129+'Draw #14'!J129)</f>
        <v>0</v>
      </c>
      <c r="K129" s="101" t="str">
        <f t="shared" si="3"/>
        <v/>
      </c>
      <c r="L129" s="9"/>
      <c r="M129" s="9"/>
    </row>
    <row r="130" spans="1:13" ht="14.1" customHeight="1">
      <c r="A130" s="4">
        <f>'SCHEDULE OF VALUE WORKSHEET'!A100</f>
        <v>95</v>
      </c>
      <c r="B130" s="142" t="str">
        <f>'SCHEDULE OF VALUE WORKSHEET'!B100</f>
        <v xml:space="preserve">Open Item </v>
      </c>
      <c r="C130" s="143"/>
      <c r="D130" s="104">
        <f>SUM('SCHEDULE OF VALUE WORKSHEET'!E100)</f>
        <v>0</v>
      </c>
      <c r="E130" s="104">
        <f>SUM('Draw #14'!E130:F130)</f>
        <v>0</v>
      </c>
      <c r="F130" s="105">
        <v>0</v>
      </c>
      <c r="G130" s="104">
        <f>SUM('Draw #14'!G130)+F130</f>
        <v>0</v>
      </c>
      <c r="H130" s="109">
        <f t="shared" si="2"/>
        <v>0</v>
      </c>
      <c r="I130" s="110">
        <v>0</v>
      </c>
      <c r="J130" s="109">
        <f>SUM(I130+'Draw #14'!J130)</f>
        <v>0</v>
      </c>
      <c r="K130" s="101" t="str">
        <f t="shared" si="3"/>
        <v/>
      </c>
      <c r="L130" s="9"/>
      <c r="M130" s="9"/>
    </row>
    <row r="131" spans="1:13" ht="14.1" customHeight="1">
      <c r="A131" s="4">
        <f>'SCHEDULE OF VALUE WORKSHEET'!A101</f>
        <v>96</v>
      </c>
      <c r="B131" s="142" t="str">
        <f>'SCHEDULE OF VALUE WORKSHEET'!B101</f>
        <v xml:space="preserve">Open Item </v>
      </c>
      <c r="C131" s="143"/>
      <c r="D131" s="104">
        <f>SUM('SCHEDULE OF VALUE WORKSHEET'!E101)</f>
        <v>0</v>
      </c>
      <c r="E131" s="104">
        <f>SUM('Draw #14'!E131:F131)</f>
        <v>0</v>
      </c>
      <c r="F131" s="105">
        <v>0</v>
      </c>
      <c r="G131" s="104">
        <f>SUM('Draw #14'!G131)+F131</f>
        <v>0</v>
      </c>
      <c r="H131" s="109">
        <f t="shared" si="2"/>
        <v>0</v>
      </c>
      <c r="I131" s="110">
        <v>0</v>
      </c>
      <c r="J131" s="109">
        <f>SUM(I131+'Draw #14'!J131)</f>
        <v>0</v>
      </c>
      <c r="K131" s="101" t="str">
        <f t="shared" si="3"/>
        <v/>
      </c>
      <c r="L131" s="9"/>
      <c r="M131" s="9"/>
    </row>
    <row r="132" spans="1:13" ht="14.1" customHeight="1">
      <c r="A132" s="4">
        <f>'SCHEDULE OF VALUE WORKSHEET'!A102</f>
        <v>97</v>
      </c>
      <c r="B132" s="142" t="str">
        <f>'SCHEDULE OF VALUE WORKSHEET'!B102</f>
        <v xml:space="preserve">Open Item </v>
      </c>
      <c r="C132" s="143"/>
      <c r="D132" s="104">
        <f>SUM('SCHEDULE OF VALUE WORKSHEET'!E102)</f>
        <v>0</v>
      </c>
      <c r="E132" s="104">
        <f>SUM('Draw #14'!E132:F132)</f>
        <v>0</v>
      </c>
      <c r="F132" s="105">
        <v>0</v>
      </c>
      <c r="G132" s="104">
        <f>SUM('Draw #14'!G132)+F132</f>
        <v>0</v>
      </c>
      <c r="H132" s="109">
        <f t="shared" si="2"/>
        <v>0</v>
      </c>
      <c r="I132" s="110">
        <v>0</v>
      </c>
      <c r="J132" s="109">
        <f>SUM(I132+'Draw #14'!J132)</f>
        <v>0</v>
      </c>
      <c r="K132" s="101" t="str">
        <f t="shared" si="3"/>
        <v/>
      </c>
      <c r="L132" s="9"/>
      <c r="M132" s="9"/>
    </row>
    <row r="133" spans="1:13" ht="14.1" customHeight="1">
      <c r="A133" s="4">
        <f>'SCHEDULE OF VALUE WORKSHEET'!A103</f>
        <v>98</v>
      </c>
      <c r="B133" s="142" t="str">
        <f>'SCHEDULE OF VALUE WORKSHEET'!B103</f>
        <v xml:space="preserve">Open Item </v>
      </c>
      <c r="C133" s="143"/>
      <c r="D133" s="104">
        <f>SUM('SCHEDULE OF VALUE WORKSHEET'!E103)</f>
        <v>0</v>
      </c>
      <c r="E133" s="104">
        <f>SUM('Draw #14'!E133:F133)</f>
        <v>0</v>
      </c>
      <c r="F133" s="105">
        <v>0</v>
      </c>
      <c r="G133" s="104">
        <f>SUM('Draw #14'!G133)+F133</f>
        <v>0</v>
      </c>
      <c r="H133" s="109">
        <f t="shared" si="2"/>
        <v>0</v>
      </c>
      <c r="I133" s="110">
        <v>0</v>
      </c>
      <c r="J133" s="109">
        <f>SUM(I133+'Draw #14'!J133)</f>
        <v>0</v>
      </c>
      <c r="K133" s="101" t="str">
        <f t="shared" si="3"/>
        <v/>
      </c>
      <c r="L133" s="9"/>
      <c r="M133" s="9"/>
    </row>
    <row r="134" spans="1:13" ht="14.1" customHeight="1">
      <c r="A134" s="4">
        <f>'SCHEDULE OF VALUE WORKSHEET'!A104</f>
        <v>99</v>
      </c>
      <c r="B134" s="142" t="str">
        <f>'SCHEDULE OF VALUE WORKSHEET'!B104</f>
        <v xml:space="preserve">Open Item </v>
      </c>
      <c r="C134" s="143"/>
      <c r="D134" s="104">
        <f>SUM('SCHEDULE OF VALUE WORKSHEET'!E104)</f>
        <v>0</v>
      </c>
      <c r="E134" s="104">
        <f>SUM('Draw #14'!E134:F134)</f>
        <v>0</v>
      </c>
      <c r="F134" s="105">
        <v>0</v>
      </c>
      <c r="G134" s="104">
        <f>SUM('Draw #14'!G134)+F134</f>
        <v>0</v>
      </c>
      <c r="H134" s="109">
        <f t="shared" si="2"/>
        <v>0</v>
      </c>
      <c r="I134" s="110">
        <v>0</v>
      </c>
      <c r="J134" s="109">
        <f>SUM(I134+'Draw #14'!J134)</f>
        <v>0</v>
      </c>
      <c r="K134" s="101" t="str">
        <f t="shared" si="3"/>
        <v/>
      </c>
      <c r="L134" s="9"/>
      <c r="M134" s="9"/>
    </row>
    <row r="135" spans="1:13" ht="14.1" customHeight="1">
      <c r="A135" s="4" t="e">
        <f>'SCHEDULE OF VALUE WORKSHEET'!#REF!</f>
        <v>#REF!</v>
      </c>
      <c r="B135" s="142" t="e">
        <f>'SCHEDULE OF VALUE WORKSHEET'!#REF!</f>
        <v>#REF!</v>
      </c>
      <c r="C135" s="143"/>
      <c r="D135" s="104" t="e">
        <f>SUM('SCHEDULE OF VALUE WORKSHEET'!#REF!)</f>
        <v>#REF!</v>
      </c>
      <c r="E135" s="104">
        <f>SUM('Draw #14'!E135:F135)</f>
        <v>0</v>
      </c>
      <c r="F135" s="105">
        <v>0</v>
      </c>
      <c r="G135" s="104" t="e">
        <f>SUM('Draw #14'!G135)+F135</f>
        <v>#REF!</v>
      </c>
      <c r="H135" s="109" t="e">
        <f t="shared" si="2"/>
        <v>#REF!</v>
      </c>
      <c r="I135" s="110">
        <v>0</v>
      </c>
      <c r="J135" s="109">
        <f>SUM(I135+'Draw #14'!J135)</f>
        <v>0</v>
      </c>
      <c r="K135" s="101" t="str">
        <f t="shared" si="3"/>
        <v/>
      </c>
      <c r="L135" s="9"/>
      <c r="M135" s="9"/>
    </row>
    <row r="136" spans="1:13" ht="14.1" customHeight="1">
      <c r="A136" s="165"/>
      <c r="B136" s="166"/>
      <c r="C136" s="166"/>
      <c r="D136" s="166"/>
      <c r="E136" s="166"/>
      <c r="F136" s="166"/>
      <c r="G136" s="166"/>
      <c r="H136" s="166"/>
      <c r="I136" s="166"/>
      <c r="J136" s="166"/>
      <c r="K136" s="167"/>
      <c r="L136" s="10"/>
      <c r="M136" s="10"/>
    </row>
    <row r="137" spans="1:13" ht="18.75" customHeight="1">
      <c r="A137" s="7"/>
      <c r="B137" s="168" t="s">
        <v>2</v>
      </c>
      <c r="C137" s="168"/>
      <c r="D137" s="25" t="e">
        <f t="shared" ref="D137:J137" si="4">SUM(D10:D135)</f>
        <v>#REF!</v>
      </c>
      <c r="E137" s="25">
        <f t="shared" si="4"/>
        <v>0</v>
      </c>
      <c r="F137" s="25">
        <f t="shared" si="4"/>
        <v>0</v>
      </c>
      <c r="G137" s="25" t="e">
        <f t="shared" si="4"/>
        <v>#REF!</v>
      </c>
      <c r="H137" s="25" t="e">
        <f t="shared" si="4"/>
        <v>#REF!</v>
      </c>
      <c r="I137" s="25">
        <f t="shared" si="4"/>
        <v>0</v>
      </c>
      <c r="J137" s="25">
        <f t="shared" si="4"/>
        <v>0</v>
      </c>
      <c r="K137" s="17"/>
      <c r="L137" s="11"/>
      <c r="M137" s="11"/>
    </row>
    <row r="138" spans="1:13" ht="14.1" customHeight="1">
      <c r="A138" s="2"/>
      <c r="B138" s="2"/>
      <c r="C138" s="2"/>
      <c r="D138" s="2"/>
      <c r="E138" s="2"/>
      <c r="F138" s="2"/>
      <c r="G138" s="2"/>
    </row>
    <row r="139" spans="1:13" ht="14.1" customHeight="1">
      <c r="G139" s="2"/>
      <c r="H139" s="140"/>
      <c r="I139" s="140"/>
      <c r="J139" s="140"/>
    </row>
    <row r="140" spans="1:13" ht="14.1" customHeight="1">
      <c r="G140" s="2"/>
    </row>
    <row r="141" spans="1:13" ht="14.1" customHeight="1">
      <c r="G141" s="2"/>
      <c r="H141" s="8"/>
    </row>
    <row r="142" spans="1:13" ht="14.1" customHeight="1">
      <c r="G142" s="2"/>
      <c r="H142" s="8"/>
    </row>
    <row r="143" spans="1:13" ht="14.1" customHeight="1">
      <c r="G143" s="2"/>
    </row>
    <row r="144" spans="1:13" ht="14.1" customHeight="1">
      <c r="G144" s="2"/>
    </row>
    <row r="145" spans="7:7" ht="14.1" customHeight="1">
      <c r="G145" s="2"/>
    </row>
    <row r="146" spans="7:7" ht="14.1" customHeight="1">
      <c r="G146" s="2"/>
    </row>
    <row r="147" spans="7:7" ht="14.1" customHeight="1">
      <c r="G147" s="2"/>
    </row>
    <row r="148" spans="7:7" ht="14.1" customHeight="1">
      <c r="G148" s="3"/>
    </row>
  </sheetData>
  <sheetProtection algorithmName="SHA-512" hashValue="GgftBJ9zbkeUM+aNd3PwM2k/UkFms5G7DTy0Eh8BqMleXD0vfQr0cceIOg7sYQrMU1WKISVijgAj5YFBxvmgIA==" saltValue="/LNoBtJlJjpyoaikLG2UCw==" spinCount="100000" sheet="1" selectLockedCells="1"/>
  <mergeCells count="136">
    <mergeCell ref="A1:K2"/>
    <mergeCell ref="B72:C72"/>
    <mergeCell ref="B90:C90"/>
    <mergeCell ref="B91:C91"/>
    <mergeCell ref="B92:C92"/>
    <mergeCell ref="B8:C9"/>
    <mergeCell ref="D8:D9"/>
    <mergeCell ref="G8:G9"/>
    <mergeCell ref="J8:K8"/>
    <mergeCell ref="J9:K9"/>
    <mergeCell ref="F8:F9"/>
    <mergeCell ref="B10:C10"/>
    <mergeCell ref="B11:C11"/>
    <mergeCell ref="B12:C12"/>
    <mergeCell ref="B13:C13"/>
    <mergeCell ref="B26:C26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4:C34"/>
    <mergeCell ref="B35:C35"/>
    <mergeCell ref="B32:C32"/>
    <mergeCell ref="B33:C33"/>
    <mergeCell ref="B27:C27"/>
    <mergeCell ref="B36:C36"/>
    <mergeCell ref="B37:C37"/>
    <mergeCell ref="B71:C71"/>
    <mergeCell ref="A136:K136"/>
    <mergeCell ref="B38:C38"/>
    <mergeCell ref="B39:C39"/>
    <mergeCell ref="B93:C93"/>
    <mergeCell ref="B94:C94"/>
    <mergeCell ref="B95:C95"/>
    <mergeCell ref="B107:C107"/>
    <mergeCell ref="B130:C130"/>
    <mergeCell ref="B110:C110"/>
    <mergeCell ref="B117:C117"/>
    <mergeCell ref="B118:C118"/>
    <mergeCell ref="B119:C119"/>
    <mergeCell ref="B120:C120"/>
    <mergeCell ref="B121:C121"/>
    <mergeCell ref="B112:C112"/>
    <mergeCell ref="B113:C113"/>
    <mergeCell ref="B114:C114"/>
    <mergeCell ref="B131:C131"/>
    <mergeCell ref="B132:C132"/>
    <mergeCell ref="B133:C133"/>
    <mergeCell ref="B134:C134"/>
    <mergeCell ref="B137:C137"/>
    <mergeCell ref="H139:J139"/>
    <mergeCell ref="B40:C40"/>
    <mergeCell ref="B41:C41"/>
    <mergeCell ref="B67:C67"/>
    <mergeCell ref="B68:C68"/>
    <mergeCell ref="B69:C69"/>
    <mergeCell ref="B70:C70"/>
    <mergeCell ref="B108:C108"/>
    <mergeCell ref="B109:C109"/>
    <mergeCell ref="B135:C135"/>
    <mergeCell ref="B125:C125"/>
    <mergeCell ref="B126:C126"/>
    <mergeCell ref="B127:C127"/>
    <mergeCell ref="B128:C128"/>
    <mergeCell ref="B129:C129"/>
    <mergeCell ref="B48:C48"/>
    <mergeCell ref="B49:C49"/>
    <mergeCell ref="B50:C50"/>
    <mergeCell ref="B51:C51"/>
    <mergeCell ref="B52:C52"/>
    <mergeCell ref="B53:C53"/>
    <mergeCell ref="B42:C42"/>
    <mergeCell ref="B43:C43"/>
    <mergeCell ref="B44:C44"/>
    <mergeCell ref="B45:C45"/>
    <mergeCell ref="B46:C46"/>
    <mergeCell ref="B47:C47"/>
    <mergeCell ref="B60:C60"/>
    <mergeCell ref="B61:C61"/>
    <mergeCell ref="B62:C62"/>
    <mergeCell ref="B63:C63"/>
    <mergeCell ref="B64:C64"/>
    <mergeCell ref="B65:C65"/>
    <mergeCell ref="B54:C54"/>
    <mergeCell ref="B55:C55"/>
    <mergeCell ref="B56:C56"/>
    <mergeCell ref="B57:C57"/>
    <mergeCell ref="B58:C58"/>
    <mergeCell ref="B59:C59"/>
    <mergeCell ref="B78:C78"/>
    <mergeCell ref="B79:C79"/>
    <mergeCell ref="B80:C80"/>
    <mergeCell ref="B81:C81"/>
    <mergeCell ref="B82:C82"/>
    <mergeCell ref="B83:C83"/>
    <mergeCell ref="B66:C66"/>
    <mergeCell ref="B73:C73"/>
    <mergeCell ref="B74:C74"/>
    <mergeCell ref="B75:C75"/>
    <mergeCell ref="B76:C76"/>
    <mergeCell ref="B77:C77"/>
    <mergeCell ref="B96:C96"/>
    <mergeCell ref="B97:C97"/>
    <mergeCell ref="B98:C98"/>
    <mergeCell ref="B99:C99"/>
    <mergeCell ref="B100:C100"/>
    <mergeCell ref="B101:C101"/>
    <mergeCell ref="B84:C84"/>
    <mergeCell ref="B85:C85"/>
    <mergeCell ref="B86:C86"/>
    <mergeCell ref="B87:C87"/>
    <mergeCell ref="B88:C88"/>
    <mergeCell ref="B89:C89"/>
    <mergeCell ref="B115:C115"/>
    <mergeCell ref="B116:C116"/>
    <mergeCell ref="B122:C122"/>
    <mergeCell ref="B123:C123"/>
    <mergeCell ref="B124:C124"/>
    <mergeCell ref="B102:C102"/>
    <mergeCell ref="B103:C103"/>
    <mergeCell ref="B104:C104"/>
    <mergeCell ref="B105:C105"/>
    <mergeCell ref="B106:C106"/>
    <mergeCell ref="B111:C111"/>
  </mergeCells>
  <conditionalFormatting sqref="B10:K135">
    <cfRule type="expression" dxfId="23" priority="3" stopIfTrue="1">
      <formula>$I10&gt;0</formula>
    </cfRule>
    <cfRule type="expression" dxfId="22" priority="4" stopIfTrue="1">
      <formula>$K10=100%</formula>
    </cfRule>
  </conditionalFormatting>
  <conditionalFormatting sqref="D10:K135">
    <cfRule type="expression" dxfId="21" priority="1" stopIfTrue="1">
      <formula>$K10=""</formula>
    </cfRule>
    <cfRule type="expression" dxfId="20" priority="2" stopIfTrue="1">
      <formula>$K10&gt;100%</formula>
    </cfRule>
  </conditionalFormatting>
  <pageMargins left="0.7" right="0.7" top="0.75" bottom="0.75" header="0.3" footer="0.3"/>
  <pageSetup scale="78" orientation="portrait" verticalDpi="1200" r:id="rId1"/>
  <colBreaks count="1" manualBreakCount="1">
    <brk id="11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48"/>
  <sheetViews>
    <sheetView showGridLines="0" zoomScale="90" zoomScaleNormal="90" workbookViewId="0">
      <selection activeCell="F21" sqref="F21"/>
    </sheetView>
  </sheetViews>
  <sheetFormatPr defaultColWidth="6.59765625" defaultRowHeight="15.75"/>
  <cols>
    <col min="1" max="1" width="4.8984375" style="1" customWidth="1"/>
    <col min="2" max="2" width="5.69921875" style="1" customWidth="1"/>
    <col min="3" max="3" width="15.19921875" style="1" customWidth="1"/>
    <col min="4" max="5" width="10.59765625" style="1" customWidth="1"/>
    <col min="6" max="9" width="10.69921875" style="1" customWidth="1"/>
    <col min="10" max="10" width="10.59765625" style="1" customWidth="1"/>
    <col min="11" max="11" width="5.09765625" style="18" customWidth="1"/>
    <col min="12" max="13" width="4.69921875" style="1" customWidth="1"/>
    <col min="14" max="16384" width="6.59765625" style="1"/>
  </cols>
  <sheetData>
    <row r="1" spans="1:13" ht="16.350000000000001" customHeight="1">
      <c r="A1" s="171" t="s">
        <v>18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</row>
    <row r="2" spans="1:13">
      <c r="A2" s="174"/>
      <c r="B2" s="153"/>
      <c r="C2" s="153"/>
      <c r="D2" s="153"/>
      <c r="E2" s="153"/>
      <c r="F2" s="153"/>
      <c r="G2" s="153"/>
      <c r="H2" s="153"/>
      <c r="I2" s="153"/>
      <c r="J2" s="153"/>
      <c r="K2" s="175"/>
    </row>
    <row r="3" spans="1:13">
      <c r="A3" s="74"/>
      <c r="B3" s="13" t="s">
        <v>7</v>
      </c>
      <c r="C3" s="35" t="str">
        <f>'SCHEDULE OF VALUE WORKSHEET'!$B$3</f>
        <v>Angeleno Investments</v>
      </c>
      <c r="F3" s="6"/>
      <c r="G3" s="28"/>
      <c r="H3" s="55"/>
      <c r="I3" s="41" t="s">
        <v>5</v>
      </c>
      <c r="J3" s="38">
        <f>SUM(J137)</f>
        <v>0</v>
      </c>
      <c r="K3" s="80" t="e">
        <f>SUM(J3)/J7</f>
        <v>#REF!</v>
      </c>
    </row>
    <row r="4" spans="1:13" ht="16.350000000000001" customHeight="1">
      <c r="A4" s="74"/>
      <c r="B4" s="34" t="s">
        <v>0</v>
      </c>
      <c r="C4" s="36">
        <f ca="1">TODAY()</f>
        <v>45978</v>
      </c>
      <c r="D4" s="36"/>
      <c r="E4" s="36"/>
      <c r="F4" s="15"/>
      <c r="G4" s="3"/>
      <c r="H4" s="75"/>
      <c r="I4" s="41" t="s">
        <v>13</v>
      </c>
      <c r="J4" s="38" t="e">
        <f>SUM(H137)</f>
        <v>#REF!</v>
      </c>
      <c r="K4" s="80"/>
    </row>
    <row r="5" spans="1:13">
      <c r="A5" s="74"/>
      <c r="B5" s="34" t="s">
        <v>6</v>
      </c>
      <c r="C5" s="37" t="str">
        <f>'SCHEDULE OF VALUE WORKSHEET'!B5</f>
        <v>10910 Huston Street</v>
      </c>
      <c r="F5" s="56"/>
      <c r="G5" s="57"/>
      <c r="H5" s="75"/>
      <c r="I5" s="41" t="s">
        <v>14</v>
      </c>
      <c r="J5" s="38" t="e">
        <f>SUM(D137)</f>
        <v>#REF!</v>
      </c>
      <c r="K5" s="80"/>
    </row>
    <row r="6" spans="1:13">
      <c r="A6" s="74"/>
      <c r="B6" s="34" t="s">
        <v>20</v>
      </c>
      <c r="C6" s="48">
        <f>SUM(I137)</f>
        <v>0</v>
      </c>
      <c r="D6" s="6"/>
      <c r="E6" s="6"/>
      <c r="F6" s="6"/>
      <c r="G6" s="57"/>
      <c r="H6" s="75"/>
      <c r="I6" s="42" t="s">
        <v>17</v>
      </c>
      <c r="J6" s="38">
        <f>SUM(F137)</f>
        <v>0</v>
      </c>
      <c r="K6" s="80"/>
    </row>
    <row r="7" spans="1:13">
      <c r="A7" s="78"/>
      <c r="G7" s="28"/>
      <c r="H7" s="20"/>
      <c r="I7" s="34" t="s">
        <v>15</v>
      </c>
      <c r="J7" s="29" t="e">
        <f>SUM(G137)</f>
        <v>#REF!</v>
      </c>
      <c r="K7" s="80"/>
    </row>
    <row r="8" spans="1:13">
      <c r="A8" s="19"/>
      <c r="B8" s="169" t="s">
        <v>1</v>
      </c>
      <c r="C8" s="170"/>
      <c r="D8" s="177" t="s">
        <v>8</v>
      </c>
      <c r="E8" s="102" t="s">
        <v>24</v>
      </c>
      <c r="F8" s="176" t="s">
        <v>26</v>
      </c>
      <c r="G8" s="177" t="s">
        <v>9</v>
      </c>
      <c r="H8" s="30" t="s">
        <v>10</v>
      </c>
      <c r="I8" s="31" t="s">
        <v>12</v>
      </c>
      <c r="J8" s="178" t="s">
        <v>3</v>
      </c>
      <c r="K8" s="179"/>
      <c r="L8" s="12"/>
      <c r="M8" s="12"/>
    </row>
    <row r="9" spans="1:13" ht="14.1" customHeight="1">
      <c r="A9" s="19"/>
      <c r="B9" s="146"/>
      <c r="C9" s="147"/>
      <c r="D9" s="162"/>
      <c r="E9" s="103" t="s">
        <v>25</v>
      </c>
      <c r="F9" s="164"/>
      <c r="G9" s="162"/>
      <c r="H9" s="32" t="s">
        <v>22</v>
      </c>
      <c r="I9" s="33">
        <v>16</v>
      </c>
      <c r="J9" s="180" t="s">
        <v>4</v>
      </c>
      <c r="K9" s="181"/>
      <c r="L9" s="12"/>
      <c r="M9" s="12"/>
    </row>
    <row r="10" spans="1:13" ht="14.1" customHeight="1">
      <c r="A10" s="4">
        <f>'SCHEDULE OF VALUE WORKSHEET'!A7</f>
        <v>1</v>
      </c>
      <c r="B10" s="142" t="str">
        <f>'SCHEDULE OF VALUE WORKSHEET'!B7</f>
        <v>SOFT COSTS</v>
      </c>
      <c r="C10" s="143"/>
      <c r="D10" s="104">
        <f>SUM('SCHEDULE OF VALUE WORKSHEET'!E7)</f>
        <v>0</v>
      </c>
      <c r="E10" s="104">
        <f>SUM('Draw #15'!E10:F10)</f>
        <v>0</v>
      </c>
      <c r="F10" s="105">
        <v>0</v>
      </c>
      <c r="G10" s="104">
        <f>SUM('Draw #15'!G10)+F10</f>
        <v>0</v>
      </c>
      <c r="H10" s="109">
        <f>SUM(G10-J10)</f>
        <v>0</v>
      </c>
      <c r="I10" s="110">
        <v>0</v>
      </c>
      <c r="J10" s="109">
        <f>SUM(I10+'Draw #15'!J10)</f>
        <v>0</v>
      </c>
      <c r="K10" s="101" t="str">
        <f>IF(J10=0,"",J10/G10)</f>
        <v/>
      </c>
      <c r="L10" s="9"/>
      <c r="M10" s="9"/>
    </row>
    <row r="11" spans="1:13" ht="14.1" customHeight="1">
      <c r="A11" s="4">
        <f>'SCHEDULE OF VALUE WORKSHEET'!A8</f>
        <v>2</v>
      </c>
      <c r="B11" s="142" t="str">
        <f>'SCHEDULE OF VALUE WORKSHEET'!B8</f>
        <v>Site Security</v>
      </c>
      <c r="C11" s="143"/>
      <c r="D11" s="104">
        <f>SUM('SCHEDULE OF VALUE WORKSHEET'!E8)</f>
        <v>10580.63</v>
      </c>
      <c r="E11" s="104">
        <f>SUM('Draw #15'!E11:F11)</f>
        <v>0</v>
      </c>
      <c r="F11" s="105">
        <v>0</v>
      </c>
      <c r="G11" s="104">
        <f>SUM('Draw #15'!G11)+F11</f>
        <v>10580.63</v>
      </c>
      <c r="H11" s="109">
        <f t="shared" ref="H11:H74" si="0">SUM(G11-J11)</f>
        <v>10580.63</v>
      </c>
      <c r="I11" s="110">
        <v>0</v>
      </c>
      <c r="J11" s="109">
        <f>SUM(I11+'Draw #15'!J11)</f>
        <v>0</v>
      </c>
      <c r="K11" s="101" t="str">
        <f t="shared" ref="K11:K74" si="1">IF(J11=0,"",J11/G11)</f>
        <v/>
      </c>
      <c r="L11" s="9"/>
      <c r="M11" s="9"/>
    </row>
    <row r="12" spans="1:13" ht="14.1" customHeight="1">
      <c r="A12" s="4">
        <f>'SCHEDULE OF VALUE WORKSHEET'!A9</f>
        <v>3</v>
      </c>
      <c r="B12" s="142" t="str">
        <f>'SCHEDULE OF VALUE WORKSHEET'!B9</f>
        <v>Soils Inspection</v>
      </c>
      <c r="C12" s="143"/>
      <c r="D12" s="104">
        <f>SUM('SCHEDULE OF VALUE WORKSHEET'!E9)</f>
        <v>0</v>
      </c>
      <c r="E12" s="104">
        <f>SUM('Draw #15'!E12:F12)</f>
        <v>0</v>
      </c>
      <c r="F12" s="105">
        <v>0</v>
      </c>
      <c r="G12" s="104">
        <f>SUM('Draw #15'!G12)+F12</f>
        <v>0</v>
      </c>
      <c r="H12" s="109">
        <f t="shared" si="0"/>
        <v>0</v>
      </c>
      <c r="I12" s="110">
        <v>0</v>
      </c>
      <c r="J12" s="109">
        <f>SUM(I12+'Draw #15'!J12)</f>
        <v>0</v>
      </c>
      <c r="K12" s="101" t="str">
        <f t="shared" si="1"/>
        <v/>
      </c>
      <c r="L12" s="9"/>
      <c r="M12" s="9"/>
    </row>
    <row r="13" spans="1:13" ht="14.1" customHeight="1">
      <c r="A13" s="4">
        <f>'SCHEDULE OF VALUE WORKSHEET'!A10</f>
        <v>4</v>
      </c>
      <c r="B13" s="142" t="str">
        <f>'SCHEDULE OF VALUE WORKSHEET'!B10</f>
        <v>Offsites (Transformer)</v>
      </c>
      <c r="C13" s="143"/>
      <c r="D13" s="104">
        <f>SUM('SCHEDULE OF VALUE WORKSHEET'!E10)</f>
        <v>20000</v>
      </c>
      <c r="E13" s="104">
        <f>SUM('Draw #15'!E13:F13)</f>
        <v>0</v>
      </c>
      <c r="F13" s="105">
        <v>0</v>
      </c>
      <c r="G13" s="104">
        <f>SUM('Draw #15'!G13)+F13</f>
        <v>20000</v>
      </c>
      <c r="H13" s="109">
        <f t="shared" si="0"/>
        <v>20000</v>
      </c>
      <c r="I13" s="110">
        <v>0</v>
      </c>
      <c r="J13" s="109">
        <f>SUM(I13+'Draw #15'!J13)</f>
        <v>0</v>
      </c>
      <c r="K13" s="101" t="str">
        <f t="shared" si="1"/>
        <v/>
      </c>
      <c r="L13" s="9"/>
      <c r="M13" s="9"/>
    </row>
    <row r="14" spans="1:13" ht="14.1" customHeight="1">
      <c r="A14" s="4">
        <f>'SCHEDULE OF VALUE WORKSHEET'!A11</f>
        <v>5</v>
      </c>
      <c r="B14" s="142" t="str">
        <f>'SCHEDULE OF VALUE WORKSHEET'!B11</f>
        <v>Plan Check Fees</v>
      </c>
      <c r="C14" s="143"/>
      <c r="D14" s="104">
        <f>SUM('SCHEDULE OF VALUE WORKSHEET'!E11)</f>
        <v>0</v>
      </c>
      <c r="E14" s="104">
        <f>SUM('Draw #15'!E14:F14)</f>
        <v>0</v>
      </c>
      <c r="F14" s="105">
        <v>0</v>
      </c>
      <c r="G14" s="104">
        <f>SUM('Draw #15'!G14)+F14</f>
        <v>0</v>
      </c>
      <c r="H14" s="109">
        <f t="shared" si="0"/>
        <v>0</v>
      </c>
      <c r="I14" s="110">
        <v>0</v>
      </c>
      <c r="J14" s="109">
        <f>SUM(I14+'Draw #15'!J14)</f>
        <v>0</v>
      </c>
      <c r="K14" s="101" t="str">
        <f t="shared" si="1"/>
        <v/>
      </c>
      <c r="L14" s="9"/>
      <c r="M14" s="9"/>
    </row>
    <row r="15" spans="1:13" ht="14.1" customHeight="1">
      <c r="A15" s="4">
        <f>'SCHEDULE OF VALUE WORKSHEET'!A12</f>
        <v>6</v>
      </c>
      <c r="B15" s="142" t="str">
        <f>'SCHEDULE OF VALUE WORKSHEET'!B12</f>
        <v>Permits</v>
      </c>
      <c r="C15" s="143"/>
      <c r="D15" s="104">
        <f>SUM('SCHEDULE OF VALUE WORKSHEET'!E12)</f>
        <v>0</v>
      </c>
      <c r="E15" s="104">
        <f>SUM('Draw #15'!E15:F15)</f>
        <v>0</v>
      </c>
      <c r="F15" s="105">
        <v>0</v>
      </c>
      <c r="G15" s="104">
        <f>SUM('Draw #15'!G15)+F15</f>
        <v>0</v>
      </c>
      <c r="H15" s="109">
        <f t="shared" si="0"/>
        <v>0</v>
      </c>
      <c r="I15" s="110">
        <v>0</v>
      </c>
      <c r="J15" s="109">
        <f>SUM(I15+'Draw #15'!J15)</f>
        <v>0</v>
      </c>
      <c r="K15" s="101" t="str">
        <f t="shared" si="1"/>
        <v/>
      </c>
      <c r="L15" s="9"/>
      <c r="M15" s="9"/>
    </row>
    <row r="16" spans="1:13" ht="14.1" customHeight="1">
      <c r="A16" s="4">
        <f>'SCHEDULE OF VALUE WORKSHEET'!A13</f>
        <v>7</v>
      </c>
      <c r="B16" s="142" t="str">
        <f>'SCHEDULE OF VALUE WORKSHEET'!B13</f>
        <v>Survey</v>
      </c>
      <c r="C16" s="143"/>
      <c r="D16" s="104">
        <f>SUM('SCHEDULE OF VALUE WORKSHEET'!E13)</f>
        <v>0</v>
      </c>
      <c r="E16" s="104">
        <f>SUM('Draw #15'!E16:F16)</f>
        <v>0</v>
      </c>
      <c r="F16" s="105">
        <v>0</v>
      </c>
      <c r="G16" s="104">
        <f>SUM('Draw #15'!G16)+F16</f>
        <v>0</v>
      </c>
      <c r="H16" s="109">
        <f t="shared" si="0"/>
        <v>0</v>
      </c>
      <c r="I16" s="110">
        <v>0</v>
      </c>
      <c r="J16" s="109">
        <f>SUM(I16+'Draw #15'!J16)</f>
        <v>0</v>
      </c>
      <c r="K16" s="101" t="str">
        <f t="shared" si="1"/>
        <v/>
      </c>
      <c r="L16" s="9"/>
      <c r="M16" s="9"/>
    </row>
    <row r="17" spans="1:13" ht="14.1" customHeight="1">
      <c r="A17" s="4">
        <f>'SCHEDULE OF VALUE WORKSHEET'!A14</f>
        <v>8</v>
      </c>
      <c r="B17" s="142" t="str">
        <f>'SCHEDULE OF VALUE WORKSHEET'!B14</f>
        <v>Soils Engineer</v>
      </c>
      <c r="C17" s="143"/>
      <c r="D17" s="104">
        <f>SUM('SCHEDULE OF VALUE WORKSHEET'!E14)</f>
        <v>0</v>
      </c>
      <c r="E17" s="104">
        <f>SUM('Draw #15'!E17:F17)</f>
        <v>0</v>
      </c>
      <c r="F17" s="105">
        <v>0</v>
      </c>
      <c r="G17" s="104">
        <f>SUM('Draw #15'!G17)+F17</f>
        <v>0</v>
      </c>
      <c r="H17" s="109">
        <f t="shared" si="0"/>
        <v>0</v>
      </c>
      <c r="I17" s="110">
        <v>0</v>
      </c>
      <c r="J17" s="109">
        <f>SUM(I17+'Draw #15'!J17)</f>
        <v>0</v>
      </c>
      <c r="K17" s="101" t="str">
        <f t="shared" si="1"/>
        <v/>
      </c>
      <c r="L17" s="9"/>
      <c r="M17" s="9"/>
    </row>
    <row r="18" spans="1:13" ht="14.1" customHeight="1">
      <c r="A18" s="4">
        <f>'SCHEDULE OF VALUE WORKSHEET'!A15</f>
        <v>9</v>
      </c>
      <c r="B18" s="142" t="str">
        <f>'SCHEDULE OF VALUE WORKSHEET'!B15</f>
        <v>Soils Permit + T24</v>
      </c>
      <c r="C18" s="143"/>
      <c r="D18" s="104">
        <f>SUM('SCHEDULE OF VALUE WORKSHEET'!E15)</f>
        <v>2500</v>
      </c>
      <c r="E18" s="104">
        <f>SUM('Draw #15'!E18:F18)</f>
        <v>0</v>
      </c>
      <c r="F18" s="105">
        <v>0</v>
      </c>
      <c r="G18" s="104">
        <f>SUM('Draw #15'!G18)+F18</f>
        <v>2500</v>
      </c>
      <c r="H18" s="109">
        <f t="shared" si="0"/>
        <v>2500</v>
      </c>
      <c r="I18" s="110">
        <v>0</v>
      </c>
      <c r="J18" s="109">
        <f>SUM(I18+'Draw #15'!J18)</f>
        <v>0</v>
      </c>
      <c r="K18" s="101" t="str">
        <f t="shared" si="1"/>
        <v/>
      </c>
      <c r="L18" s="9"/>
      <c r="M18" s="9"/>
    </row>
    <row r="19" spans="1:13" ht="14.1" customHeight="1">
      <c r="A19" s="4">
        <f>'SCHEDULE OF VALUE WORKSHEET'!A16</f>
        <v>10</v>
      </c>
      <c r="B19" s="142" t="str">
        <f>'SCHEDULE OF VALUE WORKSHEET'!B16</f>
        <v>Special Inspections - Deputy</v>
      </c>
      <c r="C19" s="143"/>
      <c r="D19" s="104">
        <f>SUM('SCHEDULE OF VALUE WORKSHEET'!E16)</f>
        <v>15000</v>
      </c>
      <c r="E19" s="104">
        <f>SUM('Draw #15'!E19:F19)</f>
        <v>0</v>
      </c>
      <c r="F19" s="105">
        <v>0</v>
      </c>
      <c r="G19" s="104">
        <f>SUM('Draw #15'!G19)+F19</f>
        <v>15000</v>
      </c>
      <c r="H19" s="109">
        <f t="shared" si="0"/>
        <v>15000</v>
      </c>
      <c r="I19" s="110">
        <v>0</v>
      </c>
      <c r="J19" s="109">
        <f>SUM(I19+'Draw #15'!J19)</f>
        <v>0</v>
      </c>
      <c r="K19" s="101" t="str">
        <f t="shared" si="1"/>
        <v/>
      </c>
      <c r="L19" s="9"/>
      <c r="M19" s="9"/>
    </row>
    <row r="20" spans="1:13" ht="14.1" customHeight="1">
      <c r="A20" s="4">
        <f>'SCHEDULE OF VALUE WORKSHEET'!A17</f>
        <v>11</v>
      </c>
      <c r="B20" s="142" t="str">
        <f>'SCHEDULE OF VALUE WORKSHEET'!B17</f>
        <v>Architect</v>
      </c>
      <c r="C20" s="143"/>
      <c r="D20" s="104">
        <f>SUM('SCHEDULE OF VALUE WORKSHEET'!E17)</f>
        <v>0</v>
      </c>
      <c r="E20" s="104">
        <f>SUM('Draw #15'!E20:F20)</f>
        <v>0</v>
      </c>
      <c r="F20" s="105">
        <v>0</v>
      </c>
      <c r="G20" s="104">
        <f>SUM('Draw #15'!G20)+F20</f>
        <v>0</v>
      </c>
      <c r="H20" s="109">
        <f t="shared" si="0"/>
        <v>0</v>
      </c>
      <c r="I20" s="110">
        <v>0</v>
      </c>
      <c r="J20" s="109">
        <f>SUM(I20+'Draw #15'!J20)</f>
        <v>0</v>
      </c>
      <c r="K20" s="101" t="str">
        <f t="shared" si="1"/>
        <v/>
      </c>
      <c r="L20" s="9"/>
      <c r="M20" s="9"/>
    </row>
    <row r="21" spans="1:13" ht="14.1" customHeight="1">
      <c r="A21" s="4">
        <f>'SCHEDULE OF VALUE WORKSHEET'!A18</f>
        <v>12</v>
      </c>
      <c r="B21" s="142" t="str">
        <f>'SCHEDULE OF VALUE WORKSHEET'!B18</f>
        <v>Structural Engineer</v>
      </c>
      <c r="C21" s="143"/>
      <c r="D21" s="104">
        <f>SUM('SCHEDULE OF VALUE WORKSHEET'!E18)</f>
        <v>0</v>
      </c>
      <c r="E21" s="104">
        <f>SUM('Draw #15'!E21:F21)</f>
        <v>0</v>
      </c>
      <c r="F21" s="105">
        <v>0</v>
      </c>
      <c r="G21" s="104">
        <f>SUM('Draw #15'!G21)+F21</f>
        <v>0</v>
      </c>
      <c r="H21" s="109">
        <f t="shared" si="0"/>
        <v>0</v>
      </c>
      <c r="I21" s="110">
        <v>0</v>
      </c>
      <c r="J21" s="109">
        <f>SUM(I21+'Draw #15'!J21)</f>
        <v>0</v>
      </c>
      <c r="K21" s="101" t="str">
        <f t="shared" si="1"/>
        <v/>
      </c>
      <c r="L21" s="9"/>
      <c r="M21" s="9"/>
    </row>
    <row r="22" spans="1:13" ht="14.1" customHeight="1">
      <c r="A22" s="4">
        <f>'SCHEDULE OF VALUE WORKSHEET'!A19</f>
        <v>13</v>
      </c>
      <c r="B22" s="142" t="str">
        <f>'SCHEDULE OF VALUE WORKSHEET'!B19</f>
        <v>Structural Observation</v>
      </c>
      <c r="C22" s="143"/>
      <c r="D22" s="104">
        <f>SUM('SCHEDULE OF VALUE WORKSHEET'!E19)</f>
        <v>8000</v>
      </c>
      <c r="E22" s="104">
        <f>SUM('Draw #15'!E22:F22)</f>
        <v>0</v>
      </c>
      <c r="F22" s="105">
        <v>0</v>
      </c>
      <c r="G22" s="104">
        <f>SUM('Draw #15'!G22)+F22</f>
        <v>8000</v>
      </c>
      <c r="H22" s="109">
        <f t="shared" si="0"/>
        <v>8000</v>
      </c>
      <c r="I22" s="110">
        <v>0</v>
      </c>
      <c r="J22" s="109">
        <f>SUM(I22+'Draw #15'!J22)</f>
        <v>0</v>
      </c>
      <c r="K22" s="101" t="str">
        <f t="shared" si="1"/>
        <v/>
      </c>
      <c r="L22" s="9"/>
      <c r="M22" s="9"/>
    </row>
    <row r="23" spans="1:13" ht="14.1" customHeight="1">
      <c r="A23" s="4">
        <f>'SCHEDULE OF VALUE WORKSHEET'!A20</f>
        <v>14</v>
      </c>
      <c r="B23" s="142" t="str">
        <f>'SCHEDULE OF VALUE WORKSHEET'!B20</f>
        <v>Civil Engineering</v>
      </c>
      <c r="C23" s="143"/>
      <c r="D23" s="104">
        <f>SUM('SCHEDULE OF VALUE WORKSHEET'!E20)</f>
        <v>0</v>
      </c>
      <c r="E23" s="104">
        <f>SUM('Draw #15'!E23:F23)</f>
        <v>0</v>
      </c>
      <c r="F23" s="105">
        <v>0</v>
      </c>
      <c r="G23" s="104">
        <f>SUM('Draw #15'!G23)+F23</f>
        <v>0</v>
      </c>
      <c r="H23" s="109">
        <f t="shared" si="0"/>
        <v>0</v>
      </c>
      <c r="I23" s="110">
        <v>0</v>
      </c>
      <c r="J23" s="109">
        <f>SUM(I23+'Draw #15'!J23)</f>
        <v>0</v>
      </c>
      <c r="K23" s="101" t="str">
        <f t="shared" si="1"/>
        <v/>
      </c>
      <c r="L23" s="9"/>
      <c r="M23" s="9"/>
    </row>
    <row r="24" spans="1:13" ht="14.1" customHeight="1">
      <c r="A24" s="4">
        <f>'SCHEDULE OF VALUE WORKSHEET'!A21</f>
        <v>15</v>
      </c>
      <c r="B24" s="142" t="str">
        <f>'SCHEDULE OF VALUE WORKSHEET'!B21</f>
        <v>Grading Permit</v>
      </c>
      <c r="C24" s="143"/>
      <c r="D24" s="104">
        <f>SUM('SCHEDULE OF VALUE WORKSHEET'!E21)</f>
        <v>0</v>
      </c>
      <c r="E24" s="104">
        <f>SUM('Draw #15'!E24:F24)</f>
        <v>0</v>
      </c>
      <c r="F24" s="105">
        <v>0</v>
      </c>
      <c r="G24" s="104">
        <f>SUM('Draw #15'!G24)+F24</f>
        <v>0</v>
      </c>
      <c r="H24" s="109">
        <f t="shared" si="0"/>
        <v>0</v>
      </c>
      <c r="I24" s="110">
        <v>0</v>
      </c>
      <c r="J24" s="109">
        <f>SUM(I24+'Draw #15'!J24)</f>
        <v>0</v>
      </c>
      <c r="K24" s="101" t="str">
        <f t="shared" si="1"/>
        <v/>
      </c>
      <c r="L24" s="9"/>
      <c r="M24" s="9"/>
    </row>
    <row r="25" spans="1:13" ht="14.1" customHeight="1">
      <c r="A25" s="4">
        <f>'SCHEDULE OF VALUE WORKSHEET'!A22</f>
        <v>16</v>
      </c>
      <c r="B25" s="142" t="str">
        <f>'SCHEDULE OF VALUE WORKSHEET'!B22</f>
        <v>Landscape Architect/Designer</v>
      </c>
      <c r="C25" s="143"/>
      <c r="D25" s="104">
        <f>SUM('SCHEDULE OF VALUE WORKSHEET'!E22)</f>
        <v>0</v>
      </c>
      <c r="E25" s="104">
        <f>SUM('Draw #15'!E25:F25)</f>
        <v>0</v>
      </c>
      <c r="F25" s="105">
        <v>0</v>
      </c>
      <c r="G25" s="104">
        <f>SUM('Draw #15'!G25)+F25</f>
        <v>0</v>
      </c>
      <c r="H25" s="109">
        <f t="shared" si="0"/>
        <v>0</v>
      </c>
      <c r="I25" s="110">
        <v>0</v>
      </c>
      <c r="J25" s="109">
        <f>SUM(I25+'Draw #15'!J25)</f>
        <v>0</v>
      </c>
      <c r="K25" s="101" t="str">
        <f t="shared" si="1"/>
        <v/>
      </c>
      <c r="L25" s="9"/>
      <c r="M25" s="9"/>
    </row>
    <row r="26" spans="1:13" ht="14.1" customHeight="1">
      <c r="A26" s="4">
        <f>'SCHEDULE OF VALUE WORKSHEET'!A23</f>
        <v>17</v>
      </c>
      <c r="B26" s="142" t="str">
        <f>'SCHEDULE OF VALUE WORKSHEET'!B23</f>
        <v>Driveway Apron Permit</v>
      </c>
      <c r="C26" s="143"/>
      <c r="D26" s="104">
        <f>SUM('SCHEDULE OF VALUE WORKSHEET'!E23)</f>
        <v>2500</v>
      </c>
      <c r="E26" s="104">
        <f>SUM('Draw #15'!E26:F26)</f>
        <v>0</v>
      </c>
      <c r="F26" s="105">
        <v>0</v>
      </c>
      <c r="G26" s="104">
        <f>SUM('Draw #15'!G26)+F26</f>
        <v>2500</v>
      </c>
      <c r="H26" s="109">
        <f t="shared" si="0"/>
        <v>2500</v>
      </c>
      <c r="I26" s="110">
        <v>0</v>
      </c>
      <c r="J26" s="109">
        <f>SUM(I26+'Draw #15'!J26)</f>
        <v>0</v>
      </c>
      <c r="K26" s="101" t="str">
        <f t="shared" si="1"/>
        <v/>
      </c>
      <c r="L26" s="9"/>
      <c r="M26" s="9"/>
    </row>
    <row r="27" spans="1:13" ht="14.1" customHeight="1">
      <c r="A27" s="4">
        <f>'SCHEDULE OF VALUE WORKSHEET'!A24</f>
        <v>18</v>
      </c>
      <c r="B27" s="142" t="str">
        <f>'SCHEDULE OF VALUE WORKSHEET'!B24</f>
        <v>Punch List - Misc.</v>
      </c>
      <c r="C27" s="143"/>
      <c r="D27" s="104">
        <f>SUM('SCHEDULE OF VALUE WORKSHEET'!E24)</f>
        <v>21962.77</v>
      </c>
      <c r="E27" s="104">
        <f>SUM('Draw #15'!E27:F27)</f>
        <v>0</v>
      </c>
      <c r="F27" s="105">
        <v>0</v>
      </c>
      <c r="G27" s="104">
        <f>SUM('Draw #15'!G27)+F27</f>
        <v>21962.77</v>
      </c>
      <c r="H27" s="109">
        <f t="shared" si="0"/>
        <v>21962.77</v>
      </c>
      <c r="I27" s="110">
        <v>0</v>
      </c>
      <c r="J27" s="109">
        <f>SUM(I27+'Draw #15'!J27)</f>
        <v>0</v>
      </c>
      <c r="K27" s="101" t="str">
        <f t="shared" si="1"/>
        <v/>
      </c>
      <c r="L27" s="9"/>
      <c r="M27" s="9"/>
    </row>
    <row r="28" spans="1:13" ht="14.1" customHeight="1">
      <c r="A28" s="4">
        <f>'SCHEDULE OF VALUE WORKSHEET'!A25</f>
        <v>19</v>
      </c>
      <c r="B28" s="142" t="str">
        <f>'SCHEDULE OF VALUE WORKSHEET'!B25</f>
        <v>EBM, Low Voltage, Landscape, Waterproofing CA</v>
      </c>
      <c r="C28" s="143"/>
      <c r="D28" s="104">
        <f>SUM('SCHEDULE OF VALUE WORKSHEET'!E25)</f>
        <v>0</v>
      </c>
      <c r="E28" s="104">
        <f>SUM('Draw #15'!E28:F28)</f>
        <v>0</v>
      </c>
      <c r="F28" s="105">
        <v>0</v>
      </c>
      <c r="G28" s="104">
        <f>SUM('Draw #15'!G28)+F28</f>
        <v>0</v>
      </c>
      <c r="H28" s="109">
        <f t="shared" si="0"/>
        <v>0</v>
      </c>
      <c r="I28" s="110">
        <v>0</v>
      </c>
      <c r="J28" s="109">
        <f>SUM(I28+'Draw #15'!J28)</f>
        <v>0</v>
      </c>
      <c r="K28" s="101" t="str">
        <f t="shared" si="1"/>
        <v/>
      </c>
      <c r="L28" s="9"/>
      <c r="M28" s="9"/>
    </row>
    <row r="29" spans="1:13" ht="14.1" customHeight="1">
      <c r="A29" s="4">
        <f>'SCHEDULE OF VALUE WORKSHEET'!A26</f>
        <v>20</v>
      </c>
      <c r="B29" s="142" t="str">
        <f>'SCHEDULE OF VALUE WORKSHEET'!B26</f>
        <v>Project Accounting/Tax Filing</v>
      </c>
      <c r="C29" s="143"/>
      <c r="D29" s="104">
        <f>SUM('SCHEDULE OF VALUE WORKSHEET'!E26)</f>
        <v>12994.01</v>
      </c>
      <c r="E29" s="104">
        <f>SUM('Draw #15'!E29:F29)</f>
        <v>0</v>
      </c>
      <c r="F29" s="105">
        <v>0</v>
      </c>
      <c r="G29" s="104">
        <f>SUM('Draw #15'!G29)+F29</f>
        <v>12994.01</v>
      </c>
      <c r="H29" s="109">
        <f t="shared" si="0"/>
        <v>12994.01</v>
      </c>
      <c r="I29" s="110">
        <v>0</v>
      </c>
      <c r="J29" s="109">
        <f>SUM(I29+'Draw #15'!J29)</f>
        <v>0</v>
      </c>
      <c r="K29" s="101" t="str">
        <f t="shared" si="1"/>
        <v/>
      </c>
      <c r="L29" s="9"/>
      <c r="M29" s="9"/>
    </row>
    <row r="30" spans="1:13" ht="14.1" customHeight="1">
      <c r="A30" s="4">
        <f>'SCHEDULE OF VALUE WORKSHEET'!A27</f>
        <v>21</v>
      </c>
      <c r="B30" s="142" t="str">
        <f>'SCHEDULE OF VALUE WORKSHEET'!B27</f>
        <v>Legal &amp; Professional Fees</v>
      </c>
      <c r="C30" s="143"/>
      <c r="D30" s="104">
        <f>SUM('SCHEDULE OF VALUE WORKSHEET'!E27)</f>
        <v>873.38999999999942</v>
      </c>
      <c r="E30" s="104">
        <f>SUM('Draw #15'!E30:F30)</f>
        <v>0</v>
      </c>
      <c r="F30" s="105">
        <v>0</v>
      </c>
      <c r="G30" s="104">
        <f>SUM('Draw #15'!G30)+F30</f>
        <v>873.38999999999942</v>
      </c>
      <c r="H30" s="109">
        <f t="shared" si="0"/>
        <v>873.38999999999942</v>
      </c>
      <c r="I30" s="110">
        <v>0</v>
      </c>
      <c r="J30" s="109">
        <f>SUM(I30+'Draw #15'!J30)</f>
        <v>0</v>
      </c>
      <c r="K30" s="101" t="str">
        <f t="shared" si="1"/>
        <v/>
      </c>
      <c r="L30" s="9"/>
      <c r="M30" s="9"/>
    </row>
    <row r="31" spans="1:13" ht="14.1" customHeight="1">
      <c r="A31" s="4">
        <f>'SCHEDULE OF VALUE WORKSHEET'!A28</f>
        <v>22</v>
      </c>
      <c r="B31" s="142" t="str">
        <f>'SCHEDULE OF VALUE WORKSHEET'!B28</f>
        <v>Sewer CCTV and inspection</v>
      </c>
      <c r="C31" s="143"/>
      <c r="D31" s="104">
        <f>SUM('SCHEDULE OF VALUE WORKSHEET'!E28)</f>
        <v>0</v>
      </c>
      <c r="E31" s="104">
        <f>SUM('Draw #15'!E31:F31)</f>
        <v>0</v>
      </c>
      <c r="F31" s="105">
        <v>0</v>
      </c>
      <c r="G31" s="104">
        <f>SUM('Draw #15'!G31)+F31</f>
        <v>0</v>
      </c>
      <c r="H31" s="109">
        <f t="shared" si="0"/>
        <v>0</v>
      </c>
      <c r="I31" s="110">
        <v>0</v>
      </c>
      <c r="J31" s="109">
        <f>SUM(I31+'Draw #15'!J31)</f>
        <v>0</v>
      </c>
      <c r="K31" s="101" t="str">
        <f t="shared" si="1"/>
        <v/>
      </c>
      <c r="L31" s="9"/>
      <c r="M31" s="9"/>
    </row>
    <row r="32" spans="1:13" ht="14.1" customHeight="1">
      <c r="A32" s="4">
        <f>'SCHEDULE OF VALUE WORKSHEET'!A29</f>
        <v>23</v>
      </c>
      <c r="B32" s="142" t="str">
        <f>'SCHEDULE OF VALUE WORKSHEET'!B29</f>
        <v>Environmental Phase I</v>
      </c>
      <c r="C32" s="143"/>
      <c r="D32" s="104">
        <f>SUM('SCHEDULE OF VALUE WORKSHEET'!E29)</f>
        <v>0</v>
      </c>
      <c r="E32" s="104">
        <f>SUM('Draw #15'!E32:F32)</f>
        <v>0</v>
      </c>
      <c r="F32" s="105">
        <v>0</v>
      </c>
      <c r="G32" s="104">
        <f>SUM('Draw #15'!G32)+F32</f>
        <v>0</v>
      </c>
      <c r="H32" s="109">
        <f t="shared" si="0"/>
        <v>0</v>
      </c>
      <c r="I32" s="110">
        <v>0</v>
      </c>
      <c r="J32" s="109">
        <f>SUM(I32+'Draw #15'!J32)</f>
        <v>0</v>
      </c>
      <c r="K32" s="101" t="str">
        <f t="shared" si="1"/>
        <v/>
      </c>
      <c r="L32" s="9"/>
      <c r="M32" s="9"/>
    </row>
    <row r="33" spans="1:13" ht="14.1" customHeight="1">
      <c r="A33" s="4">
        <f>'SCHEDULE OF VALUE WORKSHEET'!A30</f>
        <v>24</v>
      </c>
      <c r="B33" s="142" t="str">
        <f>'SCHEDULE OF VALUE WORKSHEET'!B30</f>
        <v>Dry Utility Consultant</v>
      </c>
      <c r="C33" s="143"/>
      <c r="D33" s="104">
        <f>SUM('SCHEDULE OF VALUE WORKSHEET'!E30)</f>
        <v>0</v>
      </c>
      <c r="E33" s="104">
        <f>SUM('Draw #15'!E33:F33)</f>
        <v>0</v>
      </c>
      <c r="F33" s="105">
        <v>0</v>
      </c>
      <c r="G33" s="104">
        <f>SUM('Draw #15'!G33)+F33</f>
        <v>0</v>
      </c>
      <c r="H33" s="109">
        <f t="shared" si="0"/>
        <v>0</v>
      </c>
      <c r="I33" s="110">
        <v>0</v>
      </c>
      <c r="J33" s="109">
        <f>SUM(I33+'Draw #15'!J33)</f>
        <v>0</v>
      </c>
      <c r="K33" s="101" t="str">
        <f t="shared" si="1"/>
        <v/>
      </c>
      <c r="L33" s="9"/>
      <c r="M33" s="9"/>
    </row>
    <row r="34" spans="1:13" ht="14.1" customHeight="1">
      <c r="A34" s="4">
        <f>'SCHEDULE OF VALUE WORKSHEET'!A31</f>
        <v>25</v>
      </c>
      <c r="B34" s="142" t="str">
        <f>'SCHEDULE OF VALUE WORKSHEET'!B31</f>
        <v>Dry Utility Survey</v>
      </c>
      <c r="C34" s="143"/>
      <c r="D34" s="104">
        <f>SUM('SCHEDULE OF VALUE WORKSHEET'!E31)</f>
        <v>5000</v>
      </c>
      <c r="E34" s="104">
        <f>SUM('Draw #15'!E34:F34)</f>
        <v>0</v>
      </c>
      <c r="F34" s="105">
        <v>0</v>
      </c>
      <c r="G34" s="104">
        <f>SUM('Draw #15'!G34)+F34</f>
        <v>5000</v>
      </c>
      <c r="H34" s="109">
        <f t="shared" si="0"/>
        <v>5000</v>
      </c>
      <c r="I34" s="110">
        <v>0</v>
      </c>
      <c r="J34" s="109">
        <f>SUM(I34+'Draw #15'!J34)</f>
        <v>0</v>
      </c>
      <c r="K34" s="101" t="str">
        <f t="shared" si="1"/>
        <v/>
      </c>
      <c r="L34" s="9"/>
      <c r="M34" s="9"/>
    </row>
    <row r="35" spans="1:13" ht="14.1" customHeight="1">
      <c r="A35" s="4">
        <f>'SCHEDULE OF VALUE WORKSHEET'!A32</f>
        <v>26</v>
      </c>
      <c r="B35" s="142" t="str">
        <f>'SCHEDULE OF VALUE WORKSHEET'!B32</f>
        <v>MEP</v>
      </c>
      <c r="C35" s="143"/>
      <c r="D35" s="104">
        <f>SUM('SCHEDULE OF VALUE WORKSHEET'!E32)</f>
        <v>0</v>
      </c>
      <c r="E35" s="104">
        <f>SUM('Draw #15'!E35:F35)</f>
        <v>0</v>
      </c>
      <c r="F35" s="105">
        <v>0</v>
      </c>
      <c r="G35" s="104">
        <f>SUM('Draw #15'!G35)+F35</f>
        <v>0</v>
      </c>
      <c r="H35" s="109">
        <f t="shared" si="0"/>
        <v>0</v>
      </c>
      <c r="I35" s="110">
        <v>0</v>
      </c>
      <c r="J35" s="109">
        <f>SUM(I35+'Draw #15'!J35)</f>
        <v>0</v>
      </c>
      <c r="K35" s="101" t="str">
        <f t="shared" si="1"/>
        <v/>
      </c>
      <c r="L35" s="9"/>
      <c r="M35" s="9"/>
    </row>
    <row r="36" spans="1:13" ht="14.1" customHeight="1">
      <c r="A36" s="4">
        <f>'SCHEDULE OF VALUE WORKSHEET'!A33</f>
        <v>27</v>
      </c>
      <c r="B36" s="142" t="str">
        <f>'SCHEDULE OF VALUE WORKSHEET'!B33</f>
        <v>Civil Construction Administration</v>
      </c>
      <c r="C36" s="143"/>
      <c r="D36" s="104">
        <f>SUM('SCHEDULE OF VALUE WORKSHEET'!E33)</f>
        <v>5000</v>
      </c>
      <c r="E36" s="104">
        <f>SUM('Draw #15'!E36:F36)</f>
        <v>0</v>
      </c>
      <c r="F36" s="105">
        <v>0</v>
      </c>
      <c r="G36" s="104">
        <f>SUM('Draw #15'!G36)+F36</f>
        <v>5000</v>
      </c>
      <c r="H36" s="109">
        <f t="shared" si="0"/>
        <v>5000</v>
      </c>
      <c r="I36" s="110">
        <v>0</v>
      </c>
      <c r="J36" s="109">
        <f>SUM(I36+'Draw #15'!J36)</f>
        <v>0</v>
      </c>
      <c r="K36" s="101" t="str">
        <f t="shared" si="1"/>
        <v/>
      </c>
      <c r="L36" s="9"/>
      <c r="M36" s="9"/>
    </row>
    <row r="37" spans="1:13" ht="14.1" customHeight="1">
      <c r="A37" s="4">
        <f>'SCHEDULE OF VALUE WORKSHEET'!A34</f>
        <v>28</v>
      </c>
      <c r="B37" s="142" t="str">
        <f>'SCHEDULE OF VALUE WORKSHEET'!B34</f>
        <v>Permit Clearances &amp; Agency Reviews</v>
      </c>
      <c r="C37" s="143"/>
      <c r="D37" s="104">
        <f>SUM('SCHEDULE OF VALUE WORKSHEET'!E34)</f>
        <v>0</v>
      </c>
      <c r="E37" s="104">
        <f>SUM('Draw #15'!E37:F37)</f>
        <v>0</v>
      </c>
      <c r="F37" s="105">
        <v>0</v>
      </c>
      <c r="G37" s="104">
        <f>SUM('Draw #15'!G37)+F37</f>
        <v>0</v>
      </c>
      <c r="H37" s="109">
        <f t="shared" si="0"/>
        <v>0</v>
      </c>
      <c r="I37" s="110">
        <v>0</v>
      </c>
      <c r="J37" s="109">
        <f>SUM(I37+'Draw #15'!J37)</f>
        <v>0</v>
      </c>
      <c r="K37" s="101" t="str">
        <f t="shared" si="1"/>
        <v/>
      </c>
      <c r="L37" s="9"/>
      <c r="M37" s="9"/>
    </row>
    <row r="38" spans="1:13" ht="14.1" customHeight="1">
      <c r="A38" s="4">
        <f>'SCHEDULE OF VALUE WORKSHEET'!A35</f>
        <v>29</v>
      </c>
      <c r="B38" s="142" t="str">
        <f>'SCHEDULE OF VALUE WORKSHEET'!B35</f>
        <v>Demo Permit Fees</v>
      </c>
      <c r="C38" s="143"/>
      <c r="D38" s="104">
        <f>SUM('SCHEDULE OF VALUE WORKSHEET'!E35)</f>
        <v>500</v>
      </c>
      <c r="E38" s="104">
        <f>SUM('Draw #15'!E38:F38)</f>
        <v>0</v>
      </c>
      <c r="F38" s="105">
        <v>0</v>
      </c>
      <c r="G38" s="104">
        <f>SUM('Draw #15'!G38)+F38</f>
        <v>500</v>
      </c>
      <c r="H38" s="109">
        <f t="shared" si="0"/>
        <v>500</v>
      </c>
      <c r="I38" s="110">
        <v>0</v>
      </c>
      <c r="J38" s="109">
        <f>SUM(I38+'Draw #15'!J38)</f>
        <v>0</v>
      </c>
      <c r="K38" s="101" t="str">
        <f t="shared" si="1"/>
        <v/>
      </c>
      <c r="L38" s="9"/>
      <c r="M38" s="9"/>
    </row>
    <row r="39" spans="1:13" ht="14.1" customHeight="1">
      <c r="A39" s="4">
        <f>'SCHEDULE OF VALUE WORKSHEET'!A36</f>
        <v>30</v>
      </c>
      <c r="B39" s="142" t="str">
        <f>'SCHEDULE OF VALUE WORKSHEET'!B36</f>
        <v>MEP Fees</v>
      </c>
      <c r="C39" s="143"/>
      <c r="D39" s="104">
        <f>SUM('SCHEDULE OF VALUE WORKSHEET'!E36)</f>
        <v>0</v>
      </c>
      <c r="E39" s="104">
        <f>SUM('Draw #15'!E39:F39)</f>
        <v>0</v>
      </c>
      <c r="F39" s="105">
        <v>0</v>
      </c>
      <c r="G39" s="104">
        <f>SUM('Draw #15'!G39)+F39</f>
        <v>0</v>
      </c>
      <c r="H39" s="109">
        <f t="shared" si="0"/>
        <v>0</v>
      </c>
      <c r="I39" s="110">
        <v>0</v>
      </c>
      <c r="J39" s="109">
        <f>SUM(I39+'Draw #15'!J39)</f>
        <v>0</v>
      </c>
      <c r="K39" s="101" t="str">
        <f t="shared" si="1"/>
        <v/>
      </c>
      <c r="L39" s="9"/>
      <c r="M39" s="9"/>
    </row>
    <row r="40" spans="1:13" ht="14.1" customHeight="1">
      <c r="A40" s="4">
        <f>'SCHEDULE OF VALUE WORKSHEET'!A37</f>
        <v>31</v>
      </c>
      <c r="B40" s="142" t="str">
        <f>'SCHEDULE OF VALUE WORKSHEET'!B37</f>
        <v>Agency Signoffs</v>
      </c>
      <c r="C40" s="143"/>
      <c r="D40" s="104">
        <f>SUM('SCHEDULE OF VALUE WORKSHEET'!E37)</f>
        <v>0</v>
      </c>
      <c r="E40" s="104">
        <f>SUM('Draw #15'!E40:F40)</f>
        <v>0</v>
      </c>
      <c r="F40" s="105">
        <v>0</v>
      </c>
      <c r="G40" s="104">
        <f>SUM('Draw #15'!G40)+F40</f>
        <v>0</v>
      </c>
      <c r="H40" s="109">
        <f t="shared" si="0"/>
        <v>0</v>
      </c>
      <c r="I40" s="110">
        <v>0</v>
      </c>
      <c r="J40" s="109">
        <f>SUM(I40+'Draw #15'!J40)</f>
        <v>0</v>
      </c>
      <c r="K40" s="101" t="str">
        <f t="shared" si="1"/>
        <v/>
      </c>
      <c r="L40" s="9"/>
      <c r="M40" s="9"/>
    </row>
    <row r="41" spans="1:13" ht="14.1" customHeight="1">
      <c r="A41" s="4">
        <f>'SCHEDULE OF VALUE WORKSHEET'!A38</f>
        <v>32</v>
      </c>
      <c r="B41" s="142" t="str">
        <f>'SCHEDULE OF VALUE WORKSHEET'!B38</f>
        <v>Specifications Writer Consultant</v>
      </c>
      <c r="C41" s="143"/>
      <c r="D41" s="104">
        <f>SUM('SCHEDULE OF VALUE WORKSHEET'!E38)</f>
        <v>2000</v>
      </c>
      <c r="E41" s="104">
        <f>SUM('Draw #15'!E41:F41)</f>
        <v>0</v>
      </c>
      <c r="F41" s="105">
        <v>0</v>
      </c>
      <c r="G41" s="104">
        <f>SUM('Draw #15'!G41)+F41</f>
        <v>2000</v>
      </c>
      <c r="H41" s="109">
        <f t="shared" si="0"/>
        <v>2000</v>
      </c>
      <c r="I41" s="110">
        <v>0</v>
      </c>
      <c r="J41" s="109">
        <f>SUM(I41+'Draw #15'!J41)</f>
        <v>0</v>
      </c>
      <c r="K41" s="101" t="str">
        <f t="shared" si="1"/>
        <v/>
      </c>
      <c r="L41" s="9"/>
      <c r="M41" s="9"/>
    </row>
    <row r="42" spans="1:13" ht="14.1" customHeight="1">
      <c r="A42" s="4">
        <f>'SCHEDULE OF VALUE WORKSHEET'!A39</f>
        <v>33</v>
      </c>
      <c r="B42" s="142" t="str">
        <f>'SCHEDULE OF VALUE WORKSHEET'!B39</f>
        <v>Construction Consultant</v>
      </c>
      <c r="C42" s="143"/>
      <c r="D42" s="104">
        <f>SUM('SCHEDULE OF VALUE WORKSHEET'!E39)</f>
        <v>0</v>
      </c>
      <c r="E42" s="104">
        <f>SUM('Draw #15'!E42:F42)</f>
        <v>0</v>
      </c>
      <c r="F42" s="105">
        <v>0</v>
      </c>
      <c r="G42" s="104">
        <f>SUM('Draw #15'!G42)+F42</f>
        <v>0</v>
      </c>
      <c r="H42" s="109">
        <f t="shared" si="0"/>
        <v>0</v>
      </c>
      <c r="I42" s="110">
        <v>0</v>
      </c>
      <c r="J42" s="109">
        <f>SUM(I42+'Draw #15'!J42)</f>
        <v>0</v>
      </c>
      <c r="K42" s="101" t="str">
        <f t="shared" si="1"/>
        <v/>
      </c>
      <c r="L42" s="9"/>
      <c r="M42" s="9"/>
    </row>
    <row r="43" spans="1:13" ht="14.1" customHeight="1">
      <c r="A43" s="4">
        <f>'SCHEDULE OF VALUE WORKSHEET'!A40</f>
        <v>34</v>
      </c>
      <c r="B43" s="142" t="str">
        <f>'SCHEDULE OF VALUE WORKSHEET'!B40</f>
        <v>Low Voltage Consultant</v>
      </c>
      <c r="C43" s="143"/>
      <c r="D43" s="104">
        <f>SUM('SCHEDULE OF VALUE WORKSHEET'!E40)</f>
        <v>15524</v>
      </c>
      <c r="E43" s="104">
        <f>SUM('Draw #15'!E43:F43)</f>
        <v>0</v>
      </c>
      <c r="F43" s="105">
        <v>0</v>
      </c>
      <c r="G43" s="104">
        <f>SUM('Draw #15'!G43)+F43</f>
        <v>15524</v>
      </c>
      <c r="H43" s="109">
        <f t="shared" si="0"/>
        <v>15524</v>
      </c>
      <c r="I43" s="110">
        <v>0</v>
      </c>
      <c r="J43" s="109">
        <f>SUM(I43+'Draw #15'!J43)</f>
        <v>0</v>
      </c>
      <c r="K43" s="101" t="str">
        <f t="shared" si="1"/>
        <v/>
      </c>
      <c r="L43" s="9"/>
      <c r="M43" s="9"/>
    </row>
    <row r="44" spans="1:13" ht="14.1" customHeight="1">
      <c r="A44" s="4">
        <f>'SCHEDULE OF VALUE WORKSHEET'!A41</f>
        <v>35</v>
      </c>
      <c r="B44" s="142" t="str">
        <f>'SCHEDULE OF VALUE WORKSHEET'!B41</f>
        <v>Photovoltaic Consultant</v>
      </c>
      <c r="C44" s="143"/>
      <c r="D44" s="104">
        <f>SUM('SCHEDULE OF VALUE WORKSHEET'!E41)</f>
        <v>5000</v>
      </c>
      <c r="E44" s="104">
        <f>SUM('Draw #15'!E44:F44)</f>
        <v>0</v>
      </c>
      <c r="F44" s="105">
        <v>0</v>
      </c>
      <c r="G44" s="104">
        <f>SUM('Draw #15'!G44)+F44</f>
        <v>5000</v>
      </c>
      <c r="H44" s="109">
        <f t="shared" si="0"/>
        <v>5000</v>
      </c>
      <c r="I44" s="110">
        <v>0</v>
      </c>
      <c r="J44" s="109">
        <f>SUM(I44+'Draw #15'!J44)</f>
        <v>0</v>
      </c>
      <c r="K44" s="101" t="str">
        <f t="shared" si="1"/>
        <v/>
      </c>
      <c r="L44" s="9"/>
      <c r="M44" s="9"/>
    </row>
    <row r="45" spans="1:13" ht="14.1" customHeight="1">
      <c r="A45" s="4">
        <f>'SCHEDULE OF VALUE WORKSHEET'!A42</f>
        <v>36</v>
      </c>
      <c r="B45" s="142" t="str">
        <f>'SCHEDULE OF VALUE WORKSHEET'!B42</f>
        <v>Construction Management / Observation (OO)</v>
      </c>
      <c r="C45" s="143"/>
      <c r="D45" s="104">
        <f>SUM('SCHEDULE OF VALUE WORKSHEET'!E42)</f>
        <v>49427.9</v>
      </c>
      <c r="E45" s="104">
        <f>SUM('Draw #15'!E45:F45)</f>
        <v>0</v>
      </c>
      <c r="F45" s="105">
        <v>0</v>
      </c>
      <c r="G45" s="104">
        <f>SUM('Draw #15'!G45)+F45</f>
        <v>49427.9</v>
      </c>
      <c r="H45" s="109">
        <f t="shared" si="0"/>
        <v>49427.9</v>
      </c>
      <c r="I45" s="110">
        <v>0</v>
      </c>
      <c r="J45" s="109">
        <f>SUM(I45+'Draw #15'!J45)</f>
        <v>0</v>
      </c>
      <c r="K45" s="101" t="str">
        <f t="shared" si="1"/>
        <v/>
      </c>
      <c r="L45" s="9"/>
      <c r="M45" s="9"/>
    </row>
    <row r="46" spans="1:13" ht="14.1" customHeight="1">
      <c r="A46" s="4" t="e">
        <f>'SCHEDULE OF VALUE WORKSHEET'!#REF!</f>
        <v>#REF!</v>
      </c>
      <c r="B46" s="142" t="e">
        <f>'SCHEDULE OF VALUE WORKSHEET'!#REF!</f>
        <v>#REF!</v>
      </c>
      <c r="C46" s="143"/>
      <c r="D46" s="104" t="e">
        <f>SUM('SCHEDULE OF VALUE WORKSHEET'!#REF!)</f>
        <v>#REF!</v>
      </c>
      <c r="E46" s="104">
        <f>SUM('Draw #15'!E46:F46)</f>
        <v>0</v>
      </c>
      <c r="F46" s="105">
        <v>0</v>
      </c>
      <c r="G46" s="104" t="e">
        <f>SUM('Draw #15'!G46)+F46</f>
        <v>#REF!</v>
      </c>
      <c r="H46" s="109" t="e">
        <f t="shared" si="0"/>
        <v>#REF!</v>
      </c>
      <c r="I46" s="110">
        <v>0</v>
      </c>
      <c r="J46" s="109">
        <f>SUM(I46+'Draw #15'!J46)</f>
        <v>0</v>
      </c>
      <c r="K46" s="101" t="str">
        <f t="shared" si="1"/>
        <v/>
      </c>
      <c r="L46" s="9"/>
      <c r="M46" s="9"/>
    </row>
    <row r="47" spans="1:13" ht="14.1" customHeight="1">
      <c r="A47" s="4">
        <f>'SCHEDULE OF VALUE WORKSHEET'!A43</f>
        <v>37</v>
      </c>
      <c r="B47" s="142" t="str">
        <f>'SCHEDULE OF VALUE WORKSHEET'!B43</f>
        <v>CMFA Startup Fee</v>
      </c>
      <c r="C47" s="143"/>
      <c r="D47" s="104">
        <f>SUM('SCHEDULE OF VALUE WORKSHEET'!E43)</f>
        <v>22800</v>
      </c>
      <c r="E47" s="104">
        <f>SUM('Draw #15'!E47:F47)</f>
        <v>0</v>
      </c>
      <c r="F47" s="105">
        <v>0</v>
      </c>
      <c r="G47" s="104">
        <f>SUM('Draw #15'!G47)+F47</f>
        <v>22800</v>
      </c>
      <c r="H47" s="109">
        <f t="shared" si="0"/>
        <v>22800</v>
      </c>
      <c r="I47" s="110">
        <v>0</v>
      </c>
      <c r="J47" s="109">
        <f>SUM(I47+'Draw #15'!J47)</f>
        <v>0</v>
      </c>
      <c r="K47" s="101" t="str">
        <f t="shared" si="1"/>
        <v/>
      </c>
      <c r="L47" s="9"/>
      <c r="M47" s="9"/>
    </row>
    <row r="48" spans="1:13" ht="14.1" customHeight="1">
      <c r="A48" s="4">
        <f>'SCHEDULE OF VALUE WORKSHEET'!A44</f>
        <v>38</v>
      </c>
      <c r="B48" s="142" t="str">
        <f>'SCHEDULE OF VALUE WORKSHEET'!B44</f>
        <v>Non-Profit Start Up Fee</v>
      </c>
      <c r="C48" s="143"/>
      <c r="D48" s="104">
        <f>SUM('SCHEDULE OF VALUE WORKSHEET'!E44)</f>
        <v>25000</v>
      </c>
      <c r="E48" s="104">
        <f>SUM('Draw #15'!E48:F48)</f>
        <v>0</v>
      </c>
      <c r="F48" s="105">
        <v>0</v>
      </c>
      <c r="G48" s="104">
        <f>SUM('Draw #15'!G48)+F48</f>
        <v>25000</v>
      </c>
      <c r="H48" s="109">
        <f t="shared" si="0"/>
        <v>25000</v>
      </c>
      <c r="I48" s="110">
        <v>0</v>
      </c>
      <c r="J48" s="109">
        <f>SUM(I48+'Draw #15'!J48)</f>
        <v>0</v>
      </c>
      <c r="K48" s="101" t="str">
        <f t="shared" si="1"/>
        <v/>
      </c>
      <c r="L48" s="9"/>
      <c r="M48" s="9"/>
    </row>
    <row r="49" spans="1:13" ht="14.1" customHeight="1">
      <c r="A49" s="4">
        <f>'SCHEDULE OF VALUE WORKSHEET'!A45</f>
        <v>39</v>
      </c>
      <c r="B49" s="142" t="str">
        <f>'SCHEDULE OF VALUE WORKSHEET'!B45</f>
        <v>CMFA Construction Fee</v>
      </c>
      <c r="C49" s="143"/>
      <c r="D49" s="104">
        <f>SUM('SCHEDULE OF VALUE WORKSHEET'!E45)</f>
        <v>12000</v>
      </c>
      <c r="E49" s="104">
        <f>SUM('Draw #15'!E49:F49)</f>
        <v>0</v>
      </c>
      <c r="F49" s="105">
        <v>0</v>
      </c>
      <c r="G49" s="104">
        <f>SUM('Draw #15'!G49)+F49</f>
        <v>12000</v>
      </c>
      <c r="H49" s="109">
        <f t="shared" si="0"/>
        <v>12000</v>
      </c>
      <c r="I49" s="110">
        <v>0</v>
      </c>
      <c r="J49" s="109">
        <f>SUM(I49+'Draw #15'!J49)</f>
        <v>0</v>
      </c>
      <c r="K49" s="101" t="str">
        <f t="shared" si="1"/>
        <v/>
      </c>
      <c r="L49" s="9"/>
      <c r="M49" s="9"/>
    </row>
    <row r="50" spans="1:13" ht="14.1" customHeight="1">
      <c r="A50" s="4">
        <f>'SCHEDULE OF VALUE WORKSHEET'!A46</f>
        <v>40</v>
      </c>
      <c r="B50" s="142" t="str">
        <f>'SCHEDULE OF VALUE WORKSHEET'!B46</f>
        <v>Non-Profit Construction Fee</v>
      </c>
      <c r="C50" s="143"/>
      <c r="D50" s="104">
        <f>SUM('SCHEDULE OF VALUE WORKSHEET'!E46)</f>
        <v>10000</v>
      </c>
      <c r="E50" s="104">
        <f>SUM('Draw #15'!E50:F50)</f>
        <v>0</v>
      </c>
      <c r="F50" s="105">
        <v>0</v>
      </c>
      <c r="G50" s="104">
        <f>SUM('Draw #15'!G50)+F50</f>
        <v>10000</v>
      </c>
      <c r="H50" s="109">
        <f t="shared" si="0"/>
        <v>10000</v>
      </c>
      <c r="I50" s="110">
        <v>0</v>
      </c>
      <c r="J50" s="109">
        <f>SUM(I50+'Draw #15'!J50)</f>
        <v>0</v>
      </c>
      <c r="K50" s="101" t="str">
        <f t="shared" si="1"/>
        <v/>
      </c>
      <c r="L50" s="9"/>
      <c r="M50" s="9"/>
    </row>
    <row r="51" spans="1:13" ht="14.1" customHeight="1">
      <c r="A51" s="4">
        <f>'SCHEDULE OF VALUE WORKSHEET'!A47</f>
        <v>41</v>
      </c>
      <c r="B51" s="142" t="str">
        <f>'SCHEDULE OF VALUE WORKSHEET'!B47</f>
        <v>WTE Legal Costs for CMFA &amp; Non-Profit Partner</v>
      </c>
      <c r="C51" s="143"/>
      <c r="D51" s="104">
        <f>SUM('SCHEDULE OF VALUE WORKSHEET'!E47)</f>
        <v>20000</v>
      </c>
      <c r="E51" s="104">
        <f>SUM('Draw #15'!E51:F51)</f>
        <v>0</v>
      </c>
      <c r="F51" s="105">
        <v>0</v>
      </c>
      <c r="G51" s="104">
        <f>SUM('Draw #15'!G51)+F51</f>
        <v>20000</v>
      </c>
      <c r="H51" s="109">
        <f t="shared" si="0"/>
        <v>20000</v>
      </c>
      <c r="I51" s="110">
        <v>0</v>
      </c>
      <c r="J51" s="109">
        <f>SUM(I51+'Draw #15'!J51)</f>
        <v>0</v>
      </c>
      <c r="K51" s="101" t="str">
        <f t="shared" si="1"/>
        <v/>
      </c>
      <c r="L51" s="9"/>
      <c r="M51" s="9"/>
    </row>
    <row r="52" spans="1:13" ht="14.1" customHeight="1">
      <c r="A52" s="4" t="e">
        <f>'SCHEDULE OF VALUE WORKSHEET'!#REF!</f>
        <v>#REF!</v>
      </c>
      <c r="B52" s="142" t="e">
        <f>'SCHEDULE OF VALUE WORKSHEET'!#REF!</f>
        <v>#REF!</v>
      </c>
      <c r="C52" s="143"/>
      <c r="D52" s="104" t="e">
        <f>SUM('SCHEDULE OF VALUE WORKSHEET'!#REF!)</f>
        <v>#REF!</v>
      </c>
      <c r="E52" s="104">
        <f>SUM('Draw #15'!E52:F52)</f>
        <v>0</v>
      </c>
      <c r="F52" s="105">
        <v>0</v>
      </c>
      <c r="G52" s="104" t="e">
        <f>SUM('Draw #15'!G52)+F52</f>
        <v>#REF!</v>
      </c>
      <c r="H52" s="109" t="e">
        <f t="shared" si="0"/>
        <v>#REF!</v>
      </c>
      <c r="I52" s="110">
        <v>0</v>
      </c>
      <c r="J52" s="109">
        <f>SUM(I52+'Draw #15'!J52)</f>
        <v>0</v>
      </c>
      <c r="K52" s="101" t="str">
        <f t="shared" si="1"/>
        <v/>
      </c>
      <c r="L52" s="9"/>
      <c r="M52" s="9"/>
    </row>
    <row r="53" spans="1:13" ht="14.1" customHeight="1">
      <c r="A53" s="4">
        <f>'SCHEDULE OF VALUE WORKSHEET'!A49</f>
        <v>43</v>
      </c>
      <c r="B53" s="142" t="str">
        <f>'SCHEDULE OF VALUE WORKSHEET'!B49</f>
        <v>GENERAL CONDITIONS</v>
      </c>
      <c r="C53" s="143"/>
      <c r="D53" s="104">
        <f>SUM('SCHEDULE OF VALUE WORKSHEET'!E49)</f>
        <v>362115.24</v>
      </c>
      <c r="E53" s="104">
        <f>SUM('Draw #15'!E53:F53)</f>
        <v>0</v>
      </c>
      <c r="F53" s="105">
        <v>0</v>
      </c>
      <c r="G53" s="104">
        <f>SUM('Draw #15'!G53)+F53</f>
        <v>362115.24</v>
      </c>
      <c r="H53" s="109">
        <f t="shared" si="0"/>
        <v>362115.24</v>
      </c>
      <c r="I53" s="110">
        <v>0</v>
      </c>
      <c r="J53" s="109">
        <f>SUM(I53+'Draw #15'!J53)</f>
        <v>0</v>
      </c>
      <c r="K53" s="101" t="str">
        <f t="shared" si="1"/>
        <v/>
      </c>
      <c r="L53" s="9"/>
      <c r="M53" s="9"/>
    </row>
    <row r="54" spans="1:13" ht="14.1" customHeight="1">
      <c r="A54" s="4">
        <f>'SCHEDULE OF VALUE WORKSHEET'!A50</f>
        <v>44</v>
      </c>
      <c r="B54" s="142" t="str">
        <f>'SCHEDULE OF VALUE WORKSHEET'!B50</f>
        <v>GENERAL REQUIREMENT</v>
      </c>
      <c r="C54" s="143"/>
      <c r="D54" s="104">
        <f>SUM('SCHEDULE OF VALUE WORKSHEET'!E50)</f>
        <v>124657.88</v>
      </c>
      <c r="E54" s="104">
        <f>SUM('Draw #15'!E54:F54)</f>
        <v>0</v>
      </c>
      <c r="F54" s="105">
        <v>0</v>
      </c>
      <c r="G54" s="104">
        <f>SUM('Draw #15'!G54)+F54</f>
        <v>124657.88</v>
      </c>
      <c r="H54" s="109">
        <f t="shared" si="0"/>
        <v>124657.88</v>
      </c>
      <c r="I54" s="110">
        <v>0</v>
      </c>
      <c r="J54" s="109">
        <f>SUM(I54+'Draw #15'!J54)</f>
        <v>0</v>
      </c>
      <c r="K54" s="101" t="str">
        <f t="shared" si="1"/>
        <v/>
      </c>
      <c r="L54" s="9"/>
      <c r="M54" s="9"/>
    </row>
    <row r="55" spans="1:13" ht="14.1" customHeight="1">
      <c r="A55" s="4">
        <f>'SCHEDULE OF VALUE WORKSHEET'!A51</f>
        <v>45</v>
      </c>
      <c r="B55" s="142" t="str">
        <f>'SCHEDULE OF VALUE WORKSHEET'!B51</f>
        <v>SITE WORK</v>
      </c>
      <c r="C55" s="143"/>
      <c r="D55" s="104">
        <f>SUM('SCHEDULE OF VALUE WORKSHEET'!E51)</f>
        <v>139049.51</v>
      </c>
      <c r="E55" s="104">
        <f>SUM('Draw #15'!E55:F55)</f>
        <v>0</v>
      </c>
      <c r="F55" s="105">
        <v>0</v>
      </c>
      <c r="G55" s="104">
        <f>SUM('Draw #15'!G55)+F55</f>
        <v>139049.51</v>
      </c>
      <c r="H55" s="109">
        <f t="shared" si="0"/>
        <v>139049.51</v>
      </c>
      <c r="I55" s="110">
        <v>0</v>
      </c>
      <c r="J55" s="109">
        <f>SUM(I55+'Draw #15'!J55)</f>
        <v>0</v>
      </c>
      <c r="K55" s="101" t="str">
        <f t="shared" si="1"/>
        <v/>
      </c>
      <c r="L55" s="9"/>
      <c r="M55" s="9"/>
    </row>
    <row r="56" spans="1:13" ht="14.1" customHeight="1">
      <c r="A56" s="4">
        <f>'SCHEDULE OF VALUE WORKSHEET'!A52</f>
        <v>46</v>
      </c>
      <c r="B56" s="142" t="str">
        <f>'SCHEDULE OF VALUE WORKSHEET'!B52</f>
        <v>CONCRETE</v>
      </c>
      <c r="C56" s="143"/>
      <c r="D56" s="104">
        <f>SUM('SCHEDULE OF VALUE WORKSHEET'!E52)</f>
        <v>253182</v>
      </c>
      <c r="E56" s="104">
        <f>SUM('Draw #15'!E56:F56)</f>
        <v>0</v>
      </c>
      <c r="F56" s="105">
        <v>0</v>
      </c>
      <c r="G56" s="104">
        <f>SUM('Draw #15'!G56)+F56</f>
        <v>253182</v>
      </c>
      <c r="H56" s="109">
        <f t="shared" si="0"/>
        <v>253182</v>
      </c>
      <c r="I56" s="110">
        <v>0</v>
      </c>
      <c r="J56" s="109">
        <f>SUM(I56+'Draw #15'!J56)</f>
        <v>0</v>
      </c>
      <c r="K56" s="101" t="str">
        <f t="shared" si="1"/>
        <v/>
      </c>
      <c r="L56" s="9"/>
      <c r="M56" s="9"/>
    </row>
    <row r="57" spans="1:13" ht="14.1" customHeight="1">
      <c r="A57" s="4">
        <f>'SCHEDULE OF VALUE WORKSHEET'!A53</f>
        <v>47</v>
      </c>
      <c r="B57" s="142" t="str">
        <f>'SCHEDULE OF VALUE WORKSHEET'!B53</f>
        <v>MASONRY</v>
      </c>
      <c r="C57" s="143"/>
      <c r="D57" s="104">
        <f>SUM('SCHEDULE OF VALUE WORKSHEET'!E53)</f>
        <v>3562.64</v>
      </c>
      <c r="E57" s="104">
        <f>SUM('Draw #15'!E57:F57)</f>
        <v>0</v>
      </c>
      <c r="F57" s="105">
        <v>0</v>
      </c>
      <c r="G57" s="104">
        <f>SUM('Draw #15'!G57)+F57</f>
        <v>3562.64</v>
      </c>
      <c r="H57" s="109">
        <f t="shared" si="0"/>
        <v>3562.64</v>
      </c>
      <c r="I57" s="110">
        <v>0</v>
      </c>
      <c r="J57" s="109">
        <f>SUM(I57+'Draw #15'!J57)</f>
        <v>0</v>
      </c>
      <c r="K57" s="101" t="str">
        <f t="shared" si="1"/>
        <v/>
      </c>
      <c r="L57" s="9"/>
      <c r="M57" s="9"/>
    </row>
    <row r="58" spans="1:13" ht="14.1" customHeight="1">
      <c r="A58" s="4">
        <f>'SCHEDULE OF VALUE WORKSHEET'!A54</f>
        <v>48</v>
      </c>
      <c r="B58" s="142" t="str">
        <f>'SCHEDULE OF VALUE WORKSHEET'!B54</f>
        <v>METALS</v>
      </c>
      <c r="C58" s="143"/>
      <c r="D58" s="104">
        <f>SUM('SCHEDULE OF VALUE WORKSHEET'!E54)</f>
        <v>324100</v>
      </c>
      <c r="E58" s="104">
        <f>SUM('Draw #15'!E58:F58)</f>
        <v>0</v>
      </c>
      <c r="F58" s="105">
        <v>0</v>
      </c>
      <c r="G58" s="104">
        <f>SUM('Draw #15'!G58)+F58</f>
        <v>324100</v>
      </c>
      <c r="H58" s="109">
        <f t="shared" si="0"/>
        <v>324100</v>
      </c>
      <c r="I58" s="110">
        <v>0</v>
      </c>
      <c r="J58" s="109">
        <f>SUM(I58+'Draw #15'!J58)</f>
        <v>0</v>
      </c>
      <c r="K58" s="101" t="str">
        <f t="shared" si="1"/>
        <v/>
      </c>
      <c r="L58" s="9"/>
      <c r="M58" s="9"/>
    </row>
    <row r="59" spans="1:13" ht="14.1" customHeight="1">
      <c r="A59" s="4">
        <f>'SCHEDULE OF VALUE WORKSHEET'!A55</f>
        <v>49</v>
      </c>
      <c r="B59" s="142" t="str">
        <f>'SCHEDULE OF VALUE WORKSHEET'!B55</f>
        <v>FRAMING</v>
      </c>
      <c r="C59" s="143"/>
      <c r="D59" s="104">
        <f>SUM('SCHEDULE OF VALUE WORKSHEET'!E55)</f>
        <v>818554</v>
      </c>
      <c r="E59" s="104">
        <f>SUM('Draw #15'!E59:F59)</f>
        <v>0</v>
      </c>
      <c r="F59" s="105">
        <v>0</v>
      </c>
      <c r="G59" s="104">
        <f>SUM('Draw #15'!G59)+F59</f>
        <v>818554</v>
      </c>
      <c r="H59" s="109">
        <f t="shared" si="0"/>
        <v>818554</v>
      </c>
      <c r="I59" s="110">
        <v>0</v>
      </c>
      <c r="J59" s="109">
        <f>SUM(I59+'Draw #15'!J59)</f>
        <v>0</v>
      </c>
      <c r="K59" s="101" t="str">
        <f t="shared" si="1"/>
        <v/>
      </c>
      <c r="L59" s="9"/>
      <c r="M59" s="9"/>
    </row>
    <row r="60" spans="1:13" ht="14.1" customHeight="1">
      <c r="A60" s="4">
        <f>'SCHEDULE OF VALUE WORKSHEET'!A56</f>
        <v>50</v>
      </c>
      <c r="B60" s="142" t="str">
        <f>'SCHEDULE OF VALUE WORKSHEET'!B56</f>
        <v>COUNTERTOPS</v>
      </c>
      <c r="C60" s="143"/>
      <c r="D60" s="104">
        <f>SUM('SCHEDULE OF VALUE WORKSHEET'!E56)</f>
        <v>56930</v>
      </c>
      <c r="E60" s="104">
        <f>SUM('Draw #15'!E60:F60)</f>
        <v>0</v>
      </c>
      <c r="F60" s="105">
        <v>0</v>
      </c>
      <c r="G60" s="104">
        <f>SUM('Draw #15'!G60)+F60</f>
        <v>56930</v>
      </c>
      <c r="H60" s="109">
        <f t="shared" si="0"/>
        <v>56930</v>
      </c>
      <c r="I60" s="110">
        <v>0</v>
      </c>
      <c r="J60" s="109">
        <f>SUM(I60+'Draw #15'!J60)</f>
        <v>0</v>
      </c>
      <c r="K60" s="101" t="str">
        <f t="shared" si="1"/>
        <v/>
      </c>
      <c r="L60" s="9"/>
      <c r="M60" s="9"/>
    </row>
    <row r="61" spans="1:13" ht="14.1" customHeight="1">
      <c r="A61" s="4">
        <f>'SCHEDULE OF VALUE WORKSHEET'!A57</f>
        <v>51</v>
      </c>
      <c r="B61" s="142" t="str">
        <f>'SCHEDULE OF VALUE WORKSHEET'!B57</f>
        <v>CABINETS</v>
      </c>
      <c r="C61" s="143"/>
      <c r="D61" s="104">
        <f>SUM('SCHEDULE OF VALUE WORKSHEET'!E57)</f>
        <v>56930</v>
      </c>
      <c r="E61" s="104">
        <f>SUM('Draw #15'!E61:F61)</f>
        <v>0</v>
      </c>
      <c r="F61" s="105">
        <v>0</v>
      </c>
      <c r="G61" s="104">
        <f>SUM('Draw #15'!G61)+F61</f>
        <v>56930</v>
      </c>
      <c r="H61" s="109">
        <f t="shared" si="0"/>
        <v>56930</v>
      </c>
      <c r="I61" s="110">
        <v>0</v>
      </c>
      <c r="J61" s="109">
        <f>SUM(I61+'Draw #15'!J61)</f>
        <v>0</v>
      </c>
      <c r="K61" s="101" t="str">
        <f t="shared" si="1"/>
        <v/>
      </c>
      <c r="L61" s="9"/>
      <c r="M61" s="9"/>
    </row>
    <row r="62" spans="1:13" ht="14.1" customHeight="1">
      <c r="A62" s="4">
        <f>'SCHEDULE OF VALUE WORKSHEET'!A58</f>
        <v>52</v>
      </c>
      <c r="B62" s="142" t="str">
        <f>'SCHEDULE OF VALUE WORKSHEET'!B58</f>
        <v>THERMAL MOISTURE PROTECTION</v>
      </c>
      <c r="C62" s="143"/>
      <c r="D62" s="104">
        <f>SUM('SCHEDULE OF VALUE WORKSHEET'!E58)</f>
        <v>173148</v>
      </c>
      <c r="E62" s="104">
        <f>SUM('Draw #15'!E62:F62)</f>
        <v>0</v>
      </c>
      <c r="F62" s="105">
        <v>0</v>
      </c>
      <c r="G62" s="104">
        <f>SUM('Draw #15'!G62)+F62</f>
        <v>173148</v>
      </c>
      <c r="H62" s="109">
        <f t="shared" si="0"/>
        <v>173148</v>
      </c>
      <c r="I62" s="110">
        <v>0</v>
      </c>
      <c r="J62" s="109">
        <f>SUM(I62+'Draw #15'!J62)</f>
        <v>0</v>
      </c>
      <c r="K62" s="101" t="str">
        <f t="shared" si="1"/>
        <v/>
      </c>
      <c r="L62" s="9"/>
      <c r="M62" s="9"/>
    </row>
    <row r="63" spans="1:13" ht="14.1" customHeight="1">
      <c r="A63" s="4">
        <f>'SCHEDULE OF VALUE WORKSHEET'!A59</f>
        <v>53</v>
      </c>
      <c r="B63" s="142" t="str">
        <f>'SCHEDULE OF VALUE WORKSHEET'!B59</f>
        <v>DOORS</v>
      </c>
      <c r="C63" s="143"/>
      <c r="D63" s="104">
        <f>SUM('SCHEDULE OF VALUE WORKSHEET'!E59)</f>
        <v>204087.33</v>
      </c>
      <c r="E63" s="104">
        <f>SUM('Draw #15'!E63:F63)</f>
        <v>0</v>
      </c>
      <c r="F63" s="105">
        <v>0</v>
      </c>
      <c r="G63" s="104">
        <f>SUM('Draw #15'!G63)+F63</f>
        <v>204087.33</v>
      </c>
      <c r="H63" s="109">
        <f t="shared" si="0"/>
        <v>204087.33</v>
      </c>
      <c r="I63" s="110">
        <v>0</v>
      </c>
      <c r="J63" s="109">
        <f>SUM(I63+'Draw #15'!J63)</f>
        <v>0</v>
      </c>
      <c r="K63" s="101" t="str">
        <f t="shared" si="1"/>
        <v/>
      </c>
      <c r="L63" s="9"/>
      <c r="M63" s="9"/>
    </row>
    <row r="64" spans="1:13" ht="14.1" customHeight="1">
      <c r="A64" s="4">
        <f>'SCHEDULE OF VALUE WORKSHEET'!A60</f>
        <v>54</v>
      </c>
      <c r="B64" s="142" t="str">
        <f>'SCHEDULE OF VALUE WORKSHEET'!B60</f>
        <v>WINDOWS</v>
      </c>
      <c r="C64" s="143"/>
      <c r="D64" s="104">
        <f>SUM('SCHEDULE OF VALUE WORKSHEET'!E60)</f>
        <v>106274.25</v>
      </c>
      <c r="E64" s="104">
        <f>SUM('Draw #15'!E64:F64)</f>
        <v>0</v>
      </c>
      <c r="F64" s="105">
        <v>0</v>
      </c>
      <c r="G64" s="104">
        <f>SUM('Draw #15'!G64)+F64</f>
        <v>106274.25</v>
      </c>
      <c r="H64" s="109">
        <f t="shared" si="0"/>
        <v>106274.25</v>
      </c>
      <c r="I64" s="110">
        <v>0</v>
      </c>
      <c r="J64" s="109">
        <f>SUM(I64+'Draw #15'!J64)</f>
        <v>0</v>
      </c>
      <c r="K64" s="101" t="str">
        <f t="shared" si="1"/>
        <v/>
      </c>
      <c r="L64" s="9"/>
      <c r="M64" s="9"/>
    </row>
    <row r="65" spans="1:13" ht="14.1" customHeight="1">
      <c r="A65" s="4">
        <f>'SCHEDULE OF VALUE WORKSHEET'!A61</f>
        <v>55</v>
      </c>
      <c r="B65" s="142" t="str">
        <f>'SCHEDULE OF VALUE WORKSHEET'!B61</f>
        <v>STUCCO</v>
      </c>
      <c r="C65" s="143"/>
      <c r="D65" s="104">
        <f>SUM('SCHEDULE OF VALUE WORKSHEET'!E61)</f>
        <v>208002</v>
      </c>
      <c r="E65" s="104">
        <f>SUM('Draw #15'!E65:F65)</f>
        <v>0</v>
      </c>
      <c r="F65" s="105">
        <v>0</v>
      </c>
      <c r="G65" s="104">
        <f>SUM('Draw #15'!G65)+F65</f>
        <v>208002</v>
      </c>
      <c r="H65" s="109">
        <f t="shared" si="0"/>
        <v>208002</v>
      </c>
      <c r="I65" s="110">
        <v>0</v>
      </c>
      <c r="J65" s="109">
        <f>SUM(I65+'Draw #15'!J65)</f>
        <v>0</v>
      </c>
      <c r="K65" s="101" t="str">
        <f t="shared" si="1"/>
        <v/>
      </c>
      <c r="L65" s="9"/>
      <c r="M65" s="9"/>
    </row>
    <row r="66" spans="1:13" ht="14.1" customHeight="1">
      <c r="A66" s="4">
        <f>'SCHEDULE OF VALUE WORKSHEET'!A62</f>
        <v>56</v>
      </c>
      <c r="B66" s="142" t="str">
        <f>'SCHEDULE OF VALUE WORKSHEET'!B62</f>
        <v>DRYWALL</v>
      </c>
      <c r="C66" s="143"/>
      <c r="D66" s="104">
        <f>SUM('SCHEDULE OF VALUE WORKSHEET'!E62)</f>
        <v>416355</v>
      </c>
      <c r="E66" s="104">
        <f>SUM('Draw #15'!E66:F66)</f>
        <v>0</v>
      </c>
      <c r="F66" s="105">
        <v>0</v>
      </c>
      <c r="G66" s="104">
        <f>SUM('Draw #15'!G66)+F66</f>
        <v>416355</v>
      </c>
      <c r="H66" s="109">
        <f t="shared" si="0"/>
        <v>416355</v>
      </c>
      <c r="I66" s="110">
        <v>0</v>
      </c>
      <c r="J66" s="109">
        <f>SUM(I66+'Draw #15'!J66)</f>
        <v>0</v>
      </c>
      <c r="K66" s="101" t="str">
        <f t="shared" si="1"/>
        <v/>
      </c>
      <c r="L66" s="9"/>
      <c r="M66" s="9"/>
    </row>
    <row r="67" spans="1:13" ht="14.1" customHeight="1">
      <c r="A67" s="4">
        <f>'SCHEDULE OF VALUE WORKSHEET'!A63</f>
        <v>57</v>
      </c>
      <c r="B67" s="142" t="str">
        <f>'SCHEDULE OF VALUE WORKSHEET'!B63</f>
        <v>PAINTING</v>
      </c>
      <c r="C67" s="143"/>
      <c r="D67" s="104">
        <f>SUM('SCHEDULE OF VALUE WORKSHEET'!E63)</f>
        <v>120700</v>
      </c>
      <c r="E67" s="104">
        <f>SUM('Draw #15'!E67:F67)</f>
        <v>0</v>
      </c>
      <c r="F67" s="105">
        <v>0</v>
      </c>
      <c r="G67" s="104">
        <f>SUM('Draw #15'!G67)+F67</f>
        <v>120700</v>
      </c>
      <c r="H67" s="109">
        <f t="shared" si="0"/>
        <v>120700</v>
      </c>
      <c r="I67" s="110">
        <v>0</v>
      </c>
      <c r="J67" s="109">
        <f>SUM(I67+'Draw #15'!J67)</f>
        <v>0</v>
      </c>
      <c r="K67" s="101" t="str">
        <f t="shared" si="1"/>
        <v/>
      </c>
      <c r="L67" s="9"/>
      <c r="M67" s="9"/>
    </row>
    <row r="68" spans="1:13" ht="14.1" customHeight="1">
      <c r="A68" s="4">
        <f>'SCHEDULE OF VALUE WORKSHEET'!A64</f>
        <v>58</v>
      </c>
      <c r="B68" s="142" t="str">
        <f>'SCHEDULE OF VALUE WORKSHEET'!B64</f>
        <v>FLOORING - common areas</v>
      </c>
      <c r="C68" s="143"/>
      <c r="D68" s="104">
        <f>SUM('SCHEDULE OF VALUE WORKSHEET'!E64)</f>
        <v>45150</v>
      </c>
      <c r="E68" s="104">
        <f>SUM('Draw #15'!E68:F68)</f>
        <v>0</v>
      </c>
      <c r="F68" s="105">
        <v>0</v>
      </c>
      <c r="G68" s="104">
        <f>SUM('Draw #15'!G68)+F68</f>
        <v>45150</v>
      </c>
      <c r="H68" s="109">
        <f t="shared" si="0"/>
        <v>45150</v>
      </c>
      <c r="I68" s="110">
        <v>0</v>
      </c>
      <c r="J68" s="109">
        <f>SUM(I68+'Draw #15'!J68)</f>
        <v>0</v>
      </c>
      <c r="K68" s="101" t="str">
        <f t="shared" si="1"/>
        <v/>
      </c>
      <c r="L68" s="9"/>
      <c r="M68" s="9"/>
    </row>
    <row r="69" spans="1:13" ht="14.1" customHeight="1">
      <c r="A69" s="4">
        <f>'SCHEDULE OF VALUE WORKSHEET'!A65</f>
        <v>59</v>
      </c>
      <c r="B69" s="142" t="str">
        <f>'SCHEDULE OF VALUE WORKSHEET'!B65</f>
        <v>FLOORING - Units with baseboards</v>
      </c>
      <c r="C69" s="143"/>
      <c r="D69" s="104">
        <f>SUM('SCHEDULE OF VALUE WORKSHEET'!E65)</f>
        <v>93335</v>
      </c>
      <c r="E69" s="104">
        <f>SUM('Draw #15'!E69:F69)</f>
        <v>0</v>
      </c>
      <c r="F69" s="105">
        <v>0</v>
      </c>
      <c r="G69" s="104">
        <f>SUM('Draw #15'!G69)+F69</f>
        <v>93335</v>
      </c>
      <c r="H69" s="109">
        <f t="shared" si="0"/>
        <v>93335</v>
      </c>
      <c r="I69" s="110">
        <v>0</v>
      </c>
      <c r="J69" s="109">
        <f>SUM(I69+'Draw #15'!J69)</f>
        <v>0</v>
      </c>
      <c r="K69" s="101" t="str">
        <f t="shared" si="1"/>
        <v/>
      </c>
      <c r="L69" s="9"/>
      <c r="M69" s="9"/>
    </row>
    <row r="70" spans="1:13" ht="14.1" customHeight="1">
      <c r="A70" s="4">
        <f>'SCHEDULE OF VALUE WORKSHEET'!A66</f>
        <v>60</v>
      </c>
      <c r="B70" s="142" t="str">
        <f>'SCHEDULE OF VALUE WORKSHEET'!B66</f>
        <v>SPECIALTIES</v>
      </c>
      <c r="C70" s="143"/>
      <c r="D70" s="104">
        <f>SUM('SCHEDULE OF VALUE WORKSHEET'!E66)</f>
        <v>25109.21</v>
      </c>
      <c r="E70" s="104">
        <f>SUM('Draw #15'!E70:F70)</f>
        <v>0</v>
      </c>
      <c r="F70" s="105">
        <v>0</v>
      </c>
      <c r="G70" s="104">
        <f>SUM('Draw #15'!G70)+F70</f>
        <v>25109.21</v>
      </c>
      <c r="H70" s="109">
        <f t="shared" si="0"/>
        <v>25109.21</v>
      </c>
      <c r="I70" s="110">
        <v>0</v>
      </c>
      <c r="J70" s="109">
        <f>SUM(I70+'Draw #15'!J70)</f>
        <v>0</v>
      </c>
      <c r="K70" s="101" t="str">
        <f t="shared" si="1"/>
        <v/>
      </c>
      <c r="L70" s="9"/>
      <c r="M70" s="9"/>
    </row>
    <row r="71" spans="1:13" ht="14.1" customHeight="1">
      <c r="A71" s="4">
        <f>'SCHEDULE OF VALUE WORKSHEET'!A67</f>
        <v>61</v>
      </c>
      <c r="B71" s="142" t="str">
        <f>'SCHEDULE OF VALUE WORKSHEET'!B67</f>
        <v>EQUIPMENT</v>
      </c>
      <c r="C71" s="143"/>
      <c r="D71" s="104">
        <f>SUM('SCHEDULE OF VALUE WORKSHEET'!E67)</f>
        <v>153636</v>
      </c>
      <c r="E71" s="104">
        <f>SUM('Draw #15'!E71:F71)</f>
        <v>0</v>
      </c>
      <c r="F71" s="105">
        <v>0</v>
      </c>
      <c r="G71" s="104">
        <f>SUM('Draw #15'!G71)+F71</f>
        <v>153636</v>
      </c>
      <c r="H71" s="109">
        <f t="shared" si="0"/>
        <v>153636</v>
      </c>
      <c r="I71" s="110">
        <v>0</v>
      </c>
      <c r="J71" s="109">
        <f>SUM(I71+'Draw #15'!J71)</f>
        <v>0</v>
      </c>
      <c r="K71" s="101" t="str">
        <f t="shared" si="1"/>
        <v/>
      </c>
      <c r="L71" s="9"/>
      <c r="M71" s="9"/>
    </row>
    <row r="72" spans="1:13" ht="14.1" customHeight="1">
      <c r="A72" s="4">
        <f>'SCHEDULE OF VALUE WORKSHEET'!A68</f>
        <v>62</v>
      </c>
      <c r="B72" s="142" t="str">
        <f>'SCHEDULE OF VALUE WORKSHEET'!B68</f>
        <v>FURNISHING</v>
      </c>
      <c r="C72" s="143"/>
      <c r="D72" s="104">
        <f>SUM('SCHEDULE OF VALUE WORKSHEET'!E68)</f>
        <v>0</v>
      </c>
      <c r="E72" s="104">
        <f>SUM('Draw #15'!E72:F72)</f>
        <v>0</v>
      </c>
      <c r="F72" s="105">
        <v>0</v>
      </c>
      <c r="G72" s="104">
        <f>SUM('Draw #15'!G72)+F72</f>
        <v>0</v>
      </c>
      <c r="H72" s="109">
        <f t="shared" si="0"/>
        <v>0</v>
      </c>
      <c r="I72" s="110">
        <v>0</v>
      </c>
      <c r="J72" s="109">
        <f>SUM(I72+'Draw #15'!J72)</f>
        <v>0</v>
      </c>
      <c r="K72" s="101" t="str">
        <f t="shared" si="1"/>
        <v/>
      </c>
      <c r="L72" s="9"/>
      <c r="M72" s="9"/>
    </row>
    <row r="73" spans="1:13" ht="14.1" customHeight="1">
      <c r="A73" s="4">
        <f>'SCHEDULE OF VALUE WORKSHEET'!A69</f>
        <v>63</v>
      </c>
      <c r="B73" s="142" t="str">
        <f>'SCHEDULE OF VALUE WORKSHEET'!B69</f>
        <v>FIRE SPRINKLERS</v>
      </c>
      <c r="C73" s="143"/>
      <c r="D73" s="104">
        <f>SUM('SCHEDULE OF VALUE WORKSHEET'!E69)</f>
        <v>108500</v>
      </c>
      <c r="E73" s="104">
        <f>SUM('Draw #15'!E73:F73)</f>
        <v>0</v>
      </c>
      <c r="F73" s="105">
        <v>0</v>
      </c>
      <c r="G73" s="104">
        <f>SUM('Draw #15'!G73)+F73</f>
        <v>108500</v>
      </c>
      <c r="H73" s="109">
        <f t="shared" si="0"/>
        <v>108500</v>
      </c>
      <c r="I73" s="110">
        <v>0</v>
      </c>
      <c r="J73" s="109">
        <f>SUM(I73+'Draw #15'!J73)</f>
        <v>0</v>
      </c>
      <c r="K73" s="101" t="str">
        <f t="shared" si="1"/>
        <v/>
      </c>
      <c r="L73" s="9"/>
      <c r="M73" s="9"/>
    </row>
    <row r="74" spans="1:13" ht="14.1" customHeight="1">
      <c r="A74" s="4">
        <f>'SCHEDULE OF VALUE WORKSHEET'!A70</f>
        <v>64</v>
      </c>
      <c r="B74" s="142" t="str">
        <f>'SCHEDULE OF VALUE WORKSHEET'!B70</f>
        <v>FIRE ALARM</v>
      </c>
      <c r="C74" s="143"/>
      <c r="D74" s="104">
        <f>SUM('SCHEDULE OF VALUE WORKSHEET'!E70)</f>
        <v>68401</v>
      </c>
      <c r="E74" s="104">
        <f>SUM('Draw #15'!E74:F74)</f>
        <v>0</v>
      </c>
      <c r="F74" s="105">
        <v>0</v>
      </c>
      <c r="G74" s="104">
        <f>SUM('Draw #15'!G74)+F74</f>
        <v>68401</v>
      </c>
      <c r="H74" s="109">
        <f t="shared" si="0"/>
        <v>68401</v>
      </c>
      <c r="I74" s="110">
        <v>0</v>
      </c>
      <c r="J74" s="109">
        <f>SUM(I74+'Draw #15'!J74)</f>
        <v>0</v>
      </c>
      <c r="K74" s="101" t="str">
        <f t="shared" si="1"/>
        <v/>
      </c>
      <c r="L74" s="9"/>
      <c r="M74" s="9"/>
    </row>
    <row r="75" spans="1:13" ht="14.1" customHeight="1">
      <c r="A75" s="4">
        <f>'SCHEDULE OF VALUE WORKSHEET'!A71</f>
        <v>65</v>
      </c>
      <c r="B75" s="142" t="str">
        <f>'SCHEDULE OF VALUE WORKSHEET'!B71</f>
        <v>SOLAR PANELS</v>
      </c>
      <c r="C75" s="143"/>
      <c r="D75" s="104">
        <f>SUM('SCHEDULE OF VALUE WORKSHEET'!E71)</f>
        <v>97000</v>
      </c>
      <c r="E75" s="104">
        <f>SUM('Draw #15'!E75:F75)</f>
        <v>0</v>
      </c>
      <c r="F75" s="105">
        <v>0</v>
      </c>
      <c r="G75" s="104">
        <f>SUM('Draw #15'!G75)+F75</f>
        <v>97000</v>
      </c>
      <c r="H75" s="109">
        <f t="shared" ref="H75:H135" si="2">SUM(G75-J75)</f>
        <v>97000</v>
      </c>
      <c r="I75" s="110">
        <v>0</v>
      </c>
      <c r="J75" s="109">
        <f>SUM(I75+'Draw #15'!J75)</f>
        <v>0</v>
      </c>
      <c r="K75" s="101" t="str">
        <f t="shared" ref="K75:K135" si="3">IF(J75=0,"",J75/G75)</f>
        <v/>
      </c>
      <c r="L75" s="9"/>
      <c r="M75" s="9"/>
    </row>
    <row r="76" spans="1:13" ht="14.1" customHeight="1">
      <c r="A76" s="4">
        <f>'SCHEDULE OF VALUE WORKSHEET'!A72</f>
        <v>66</v>
      </c>
      <c r="B76" s="142" t="str">
        <f>'SCHEDULE OF VALUE WORKSHEET'!B72</f>
        <v>SECURITY ACCESS &amp; SURVEILLANCE</v>
      </c>
      <c r="C76" s="143"/>
      <c r="D76" s="104">
        <f>SUM('SCHEDULE OF VALUE WORKSHEET'!E72)</f>
        <v>136430</v>
      </c>
      <c r="E76" s="104">
        <f>SUM('Draw #15'!E76:F76)</f>
        <v>0</v>
      </c>
      <c r="F76" s="105">
        <v>0</v>
      </c>
      <c r="G76" s="104">
        <f>SUM('Draw #15'!G76)+F76</f>
        <v>136430</v>
      </c>
      <c r="H76" s="109">
        <f t="shared" si="2"/>
        <v>136430</v>
      </c>
      <c r="I76" s="110">
        <v>0</v>
      </c>
      <c r="J76" s="109">
        <f>SUM(I76+'Draw #15'!J76)</f>
        <v>0</v>
      </c>
      <c r="K76" s="101" t="str">
        <f t="shared" si="3"/>
        <v/>
      </c>
      <c r="L76" s="9"/>
      <c r="M76" s="9"/>
    </row>
    <row r="77" spans="1:13" ht="14.1" customHeight="1">
      <c r="A77" s="4">
        <f>'SCHEDULE OF VALUE WORKSHEET'!A73</f>
        <v>67</v>
      </c>
      <c r="B77" s="142" t="str">
        <f>'SCHEDULE OF VALUE WORKSHEET'!B73</f>
        <v>ELEVATORS &amp; LIFT</v>
      </c>
      <c r="C77" s="143"/>
      <c r="D77" s="104">
        <f>SUM('SCHEDULE OF VALUE WORKSHEET'!E73)</f>
        <v>174882</v>
      </c>
      <c r="E77" s="104">
        <f>SUM('Draw #15'!E77:F77)</f>
        <v>0</v>
      </c>
      <c r="F77" s="105">
        <v>0</v>
      </c>
      <c r="G77" s="104">
        <f>SUM('Draw #15'!G77)+F77</f>
        <v>174882</v>
      </c>
      <c r="H77" s="109">
        <f t="shared" si="2"/>
        <v>174882</v>
      </c>
      <c r="I77" s="110">
        <v>0</v>
      </c>
      <c r="J77" s="109">
        <f>SUM(I77+'Draw #15'!J77)</f>
        <v>0</v>
      </c>
      <c r="K77" s="101" t="str">
        <f t="shared" si="3"/>
        <v/>
      </c>
      <c r="L77" s="9"/>
      <c r="M77" s="9"/>
    </row>
    <row r="78" spans="1:13" ht="14.1" customHeight="1">
      <c r="A78" s="4">
        <f>'SCHEDULE OF VALUE WORKSHEET'!A74</f>
        <v>68</v>
      </c>
      <c r="B78" s="142" t="str">
        <f>'SCHEDULE OF VALUE WORKSHEET'!B74</f>
        <v>WATER SUBMETER (material)</v>
      </c>
      <c r="C78" s="143"/>
      <c r="D78" s="104">
        <f>SUM('SCHEDULE OF VALUE WORKSHEET'!E74)</f>
        <v>12273</v>
      </c>
      <c r="E78" s="104">
        <f>SUM('Draw #15'!E78:F78)</f>
        <v>0</v>
      </c>
      <c r="F78" s="105">
        <v>0</v>
      </c>
      <c r="G78" s="104">
        <f>SUM('Draw #15'!G78)+F78</f>
        <v>12273</v>
      </c>
      <c r="H78" s="109">
        <f t="shared" si="2"/>
        <v>12273</v>
      </c>
      <c r="I78" s="110">
        <v>0</v>
      </c>
      <c r="J78" s="109">
        <f>SUM(I78+'Draw #15'!J78)</f>
        <v>0</v>
      </c>
      <c r="K78" s="101" t="str">
        <f t="shared" si="3"/>
        <v/>
      </c>
      <c r="L78" s="9"/>
      <c r="M78" s="9"/>
    </row>
    <row r="79" spans="1:13" ht="14.1" customHeight="1">
      <c r="A79" s="4">
        <f>'SCHEDULE OF VALUE WORKSHEET'!A75</f>
        <v>69</v>
      </c>
      <c r="B79" s="142" t="str">
        <f>'SCHEDULE OF VALUE WORKSHEET'!B75</f>
        <v>WATER SUBMETER (labor)</v>
      </c>
      <c r="C79" s="143"/>
      <c r="D79" s="104">
        <f>SUM('SCHEDULE OF VALUE WORKSHEET'!E75)</f>
        <v>0</v>
      </c>
      <c r="E79" s="104">
        <f>SUM('Draw #15'!E79:F79)</f>
        <v>0</v>
      </c>
      <c r="F79" s="105">
        <v>0</v>
      </c>
      <c r="G79" s="104">
        <f>SUM('Draw #15'!G79)+F79</f>
        <v>0</v>
      </c>
      <c r="H79" s="109">
        <f t="shared" si="2"/>
        <v>0</v>
      </c>
      <c r="I79" s="110">
        <v>0</v>
      </c>
      <c r="J79" s="109">
        <f>SUM(I79+'Draw #15'!J79)</f>
        <v>0</v>
      </c>
      <c r="K79" s="101" t="str">
        <f t="shared" si="3"/>
        <v/>
      </c>
      <c r="L79" s="9"/>
      <c r="M79" s="9"/>
    </row>
    <row r="80" spans="1:13" ht="14.1" customHeight="1">
      <c r="A80" s="4">
        <f>'SCHEDULE OF VALUE WORKSHEET'!A76</f>
        <v>70</v>
      </c>
      <c r="B80" s="142" t="str">
        <f>'SCHEDULE OF VALUE WORKSHEET'!B76</f>
        <v>ROUGH PLUMBING</v>
      </c>
      <c r="C80" s="143"/>
      <c r="D80" s="104">
        <f>SUM('SCHEDULE OF VALUE WORKSHEET'!E76)</f>
        <v>751927</v>
      </c>
      <c r="E80" s="104">
        <f>SUM('Draw #15'!E80:F80)</f>
        <v>0</v>
      </c>
      <c r="F80" s="105">
        <v>0</v>
      </c>
      <c r="G80" s="104">
        <f>SUM('Draw #15'!G80)+F80</f>
        <v>751927</v>
      </c>
      <c r="H80" s="109">
        <f t="shared" si="2"/>
        <v>751927</v>
      </c>
      <c r="I80" s="110">
        <v>0</v>
      </c>
      <c r="J80" s="109">
        <f>SUM(I80+'Draw #15'!J80)</f>
        <v>0</v>
      </c>
      <c r="K80" s="101" t="str">
        <f t="shared" si="3"/>
        <v/>
      </c>
      <c r="L80" s="9"/>
      <c r="M80" s="9"/>
    </row>
    <row r="81" spans="1:13" ht="14.1" customHeight="1">
      <c r="A81" s="4">
        <f>'SCHEDULE OF VALUE WORKSHEET'!A77</f>
        <v>71</v>
      </c>
      <c r="B81" s="142" t="str">
        <f>'SCHEDULE OF VALUE WORKSHEET'!B77</f>
        <v>FINISH PLUMBING</v>
      </c>
      <c r="C81" s="143"/>
      <c r="D81" s="104">
        <f>SUM('SCHEDULE OF VALUE WORKSHEET'!E77)</f>
        <v>90000</v>
      </c>
      <c r="E81" s="104">
        <f>SUM('Draw #15'!E81:F81)</f>
        <v>0</v>
      </c>
      <c r="F81" s="105">
        <v>0</v>
      </c>
      <c r="G81" s="104">
        <f>SUM('Draw #15'!G81)+F81</f>
        <v>90000</v>
      </c>
      <c r="H81" s="109">
        <f t="shared" si="2"/>
        <v>90000</v>
      </c>
      <c r="I81" s="110">
        <v>0</v>
      </c>
      <c r="J81" s="109">
        <f>SUM(I81+'Draw #15'!J81)</f>
        <v>0</v>
      </c>
      <c r="K81" s="101" t="str">
        <f t="shared" si="3"/>
        <v/>
      </c>
      <c r="L81" s="9"/>
      <c r="M81" s="9"/>
    </row>
    <row r="82" spans="1:13" ht="14.1" customHeight="1">
      <c r="A82" s="4">
        <f>'SCHEDULE OF VALUE WORKSHEET'!A78</f>
        <v>72</v>
      </c>
      <c r="B82" s="142" t="str">
        <f>'SCHEDULE OF VALUE WORKSHEET'!B78</f>
        <v>HVAC</v>
      </c>
      <c r="C82" s="143"/>
      <c r="D82" s="104">
        <f>SUM('SCHEDULE OF VALUE WORKSHEET'!E78)</f>
        <v>259000</v>
      </c>
      <c r="E82" s="104">
        <f>SUM('Draw #15'!E82:F82)</f>
        <v>0</v>
      </c>
      <c r="F82" s="105">
        <v>0</v>
      </c>
      <c r="G82" s="104">
        <f>SUM('Draw #15'!G82)+F82</f>
        <v>259000</v>
      </c>
      <c r="H82" s="109">
        <f t="shared" si="2"/>
        <v>259000</v>
      </c>
      <c r="I82" s="110">
        <v>0</v>
      </c>
      <c r="J82" s="109">
        <f>SUM(I82+'Draw #15'!J82)</f>
        <v>0</v>
      </c>
      <c r="K82" s="101" t="str">
        <f t="shared" si="3"/>
        <v/>
      </c>
      <c r="L82" s="9"/>
      <c r="M82" s="9"/>
    </row>
    <row r="83" spans="1:13" ht="14.1" customHeight="1">
      <c r="A83" s="4">
        <f>'SCHEDULE OF VALUE WORKSHEET'!A79</f>
        <v>73</v>
      </c>
      <c r="B83" s="142" t="str">
        <f>'SCHEDULE OF VALUE WORKSHEET'!B79</f>
        <v>ELECTRICAL</v>
      </c>
      <c r="C83" s="143"/>
      <c r="D83" s="104">
        <f>SUM('SCHEDULE OF VALUE WORKSHEET'!E79)</f>
        <v>880486.32</v>
      </c>
      <c r="E83" s="104">
        <f>SUM('Draw #15'!E83:F83)</f>
        <v>0</v>
      </c>
      <c r="F83" s="105">
        <v>0</v>
      </c>
      <c r="G83" s="104">
        <f>SUM('Draw #15'!G83)+F83</f>
        <v>880486.32</v>
      </c>
      <c r="H83" s="109">
        <f t="shared" si="2"/>
        <v>880486.32</v>
      </c>
      <c r="I83" s="110">
        <v>0</v>
      </c>
      <c r="J83" s="109">
        <f>SUM(I83+'Draw #15'!J83)</f>
        <v>0</v>
      </c>
      <c r="K83" s="101" t="str">
        <f t="shared" si="3"/>
        <v/>
      </c>
      <c r="L83" s="9"/>
      <c r="M83" s="9"/>
    </row>
    <row r="84" spans="1:13" ht="14.1" customHeight="1">
      <c r="A84" s="4">
        <f>'SCHEDULE OF VALUE WORKSHEET'!A80</f>
        <v>74</v>
      </c>
      <c r="B84" s="142" t="str">
        <f>'SCHEDULE OF VALUE WORKSHEET'!B80</f>
        <v xml:space="preserve">CONTINGENCY </v>
      </c>
      <c r="C84" s="143"/>
      <c r="D84" s="104">
        <f>SUM('SCHEDULE OF VALUE WORKSHEET'!E80)</f>
        <v>529215.20000000007</v>
      </c>
      <c r="E84" s="104">
        <f>SUM('Draw #15'!E84:F84)</f>
        <v>0</v>
      </c>
      <c r="F84" s="105">
        <v>0</v>
      </c>
      <c r="G84" s="104">
        <f>SUM('Draw #15'!G84)+F84</f>
        <v>529215.20000000007</v>
      </c>
      <c r="H84" s="109">
        <f t="shared" si="2"/>
        <v>529215.20000000007</v>
      </c>
      <c r="I84" s="110">
        <v>0</v>
      </c>
      <c r="J84" s="109">
        <f>SUM(I84+'Draw #15'!J84)</f>
        <v>0</v>
      </c>
      <c r="K84" s="101" t="str">
        <f t="shared" si="3"/>
        <v/>
      </c>
      <c r="L84" s="9"/>
      <c r="M84" s="9"/>
    </row>
    <row r="85" spans="1:13" ht="14.1" customHeight="1">
      <c r="A85" s="4">
        <f>'SCHEDULE OF VALUE WORKSHEET'!A81</f>
        <v>75</v>
      </c>
      <c r="B85" s="142" t="str">
        <f>'SCHEDULE OF VALUE WORKSHEET'!B81</f>
        <v>INSURANCE (GL w/auto, workers compl)</v>
      </c>
      <c r="C85" s="143"/>
      <c r="D85" s="104">
        <f>SUM('SCHEDULE OF VALUE WORKSHEET'!E81)</f>
        <v>97177.07</v>
      </c>
      <c r="E85" s="104">
        <f>SUM('Draw #15'!E85:F85)</f>
        <v>0</v>
      </c>
      <c r="F85" s="105">
        <v>0</v>
      </c>
      <c r="G85" s="104">
        <f>SUM('Draw #15'!G85)+F85</f>
        <v>97177.07</v>
      </c>
      <c r="H85" s="109">
        <f t="shared" si="2"/>
        <v>97177.07</v>
      </c>
      <c r="I85" s="110">
        <v>0</v>
      </c>
      <c r="J85" s="109">
        <f>SUM(I85+'Draw #15'!J85)</f>
        <v>0</v>
      </c>
      <c r="K85" s="101" t="str">
        <f t="shared" si="3"/>
        <v/>
      </c>
      <c r="L85" s="9"/>
      <c r="M85" s="9"/>
    </row>
    <row r="86" spans="1:13" ht="14.1" customHeight="1">
      <c r="A86" s="4">
        <f>'SCHEDULE OF VALUE WORKSHEET'!A82</f>
        <v>76</v>
      </c>
      <c r="B86" s="142" t="str">
        <f>'SCHEDULE OF VALUE WORKSHEET'!B82</f>
        <v>GROSS RECEIPT TAX</v>
      </c>
      <c r="C86" s="143"/>
      <c r="D86" s="104">
        <f>SUM('SCHEDULE OF VALUE WORKSHEET'!E82)</f>
        <v>6543.26</v>
      </c>
      <c r="E86" s="104">
        <f>SUM('Draw #15'!E86:F86)</f>
        <v>0</v>
      </c>
      <c r="F86" s="105">
        <v>0</v>
      </c>
      <c r="G86" s="104">
        <f>SUM('Draw #15'!G86)+F86</f>
        <v>6543.26</v>
      </c>
      <c r="H86" s="109">
        <f t="shared" si="2"/>
        <v>6543.26</v>
      </c>
      <c r="I86" s="110">
        <v>0</v>
      </c>
      <c r="J86" s="109">
        <f>SUM(I86+'Draw #15'!J86)</f>
        <v>0</v>
      </c>
      <c r="K86" s="101" t="str">
        <f t="shared" si="3"/>
        <v/>
      </c>
      <c r="L86" s="9"/>
      <c r="M86" s="9"/>
    </row>
    <row r="87" spans="1:13" ht="14.1" customHeight="1">
      <c r="A87" s="4">
        <f>'SCHEDULE OF VALUE WORKSHEET'!A83</f>
        <v>77</v>
      </c>
      <c r="B87" s="142" t="str">
        <f>'SCHEDULE OF VALUE WORKSHEET'!B83</f>
        <v>GC FEE</v>
      </c>
      <c r="C87" s="143"/>
      <c r="D87" s="104">
        <f>SUM('SCHEDULE OF VALUE WORKSHEET'!E83)</f>
        <v>388708.28</v>
      </c>
      <c r="E87" s="104">
        <f>SUM('Draw #15'!E87:F87)</f>
        <v>0</v>
      </c>
      <c r="F87" s="105">
        <v>0</v>
      </c>
      <c r="G87" s="104">
        <f>SUM('Draw #15'!G87)+F87</f>
        <v>388708.28</v>
      </c>
      <c r="H87" s="109">
        <f t="shared" si="2"/>
        <v>388708.28</v>
      </c>
      <c r="I87" s="110">
        <v>0</v>
      </c>
      <c r="J87" s="109">
        <f>SUM(I87+'Draw #15'!J87)</f>
        <v>0</v>
      </c>
      <c r="K87" s="101" t="str">
        <f t="shared" si="3"/>
        <v/>
      </c>
      <c r="L87" s="9"/>
      <c r="M87" s="9"/>
    </row>
    <row r="88" spans="1:13" ht="14.1" customHeight="1">
      <c r="A88" s="4">
        <f>'SCHEDULE OF VALUE WORKSHEET'!A84</f>
        <v>78</v>
      </c>
      <c r="B88" s="142" t="str">
        <f>'SCHEDULE OF VALUE WORKSHEET'!B84</f>
        <v>DEVELOPMENT FEE</v>
      </c>
      <c r="C88" s="143"/>
      <c r="D88" s="104">
        <f>SUM('SCHEDULE OF VALUE WORKSHEET'!E84)</f>
        <v>180523.5</v>
      </c>
      <c r="E88" s="104">
        <f>SUM('Draw #15'!E88:F88)</f>
        <v>0</v>
      </c>
      <c r="F88" s="105">
        <v>0</v>
      </c>
      <c r="G88" s="104">
        <f>SUM('Draw #15'!G88)+F88</f>
        <v>180523.5</v>
      </c>
      <c r="H88" s="109">
        <f t="shared" si="2"/>
        <v>180523.5</v>
      </c>
      <c r="I88" s="110">
        <v>0</v>
      </c>
      <c r="J88" s="109">
        <f>SUM(I88+'Draw #15'!J88)</f>
        <v>0</v>
      </c>
      <c r="K88" s="101" t="str">
        <f t="shared" si="3"/>
        <v/>
      </c>
      <c r="L88" s="9"/>
      <c r="M88" s="9"/>
    </row>
    <row r="89" spans="1:13" ht="14.1" customHeight="1">
      <c r="A89" s="4">
        <f>'SCHEDULE OF VALUE WORKSHEET'!A85</f>
        <v>79</v>
      </c>
      <c r="B89" s="142" t="str">
        <f>'SCHEDULE OF VALUE WORKSHEET'!B85</f>
        <v>CARRYING COSTS</v>
      </c>
      <c r="C89" s="143"/>
      <c r="D89" s="104">
        <f>SUM('SCHEDULE OF VALUE WORKSHEET'!E85)</f>
        <v>92885.53</v>
      </c>
      <c r="E89" s="104">
        <f>SUM('Draw #15'!E89:F89)</f>
        <v>0</v>
      </c>
      <c r="F89" s="105">
        <v>0</v>
      </c>
      <c r="G89" s="104">
        <f>SUM('Draw #15'!G89)+F89</f>
        <v>92885.53</v>
      </c>
      <c r="H89" s="109">
        <f t="shared" si="2"/>
        <v>92885.53</v>
      </c>
      <c r="I89" s="110">
        <v>0</v>
      </c>
      <c r="J89" s="109">
        <f>SUM(I89+'Draw #15'!J89)</f>
        <v>0</v>
      </c>
      <c r="K89" s="101" t="str">
        <f t="shared" si="3"/>
        <v/>
      </c>
      <c r="L89" s="9"/>
      <c r="M89" s="9"/>
    </row>
    <row r="90" spans="1:13" ht="14.1" customHeight="1">
      <c r="A90" s="4">
        <f>'SCHEDULE OF VALUE WORKSHEET'!A86</f>
        <v>80</v>
      </c>
      <c r="B90" s="142" t="str">
        <f>'SCHEDULE OF VALUE WORKSHEET'!B86</f>
        <v>FINANCING COSTS</v>
      </c>
      <c r="C90" s="143"/>
      <c r="D90" s="104">
        <f>SUM('SCHEDULE OF VALUE WORKSHEET'!E86)</f>
        <v>0</v>
      </c>
      <c r="E90" s="104">
        <f>SUM('Draw #15'!E90:F90)</f>
        <v>0</v>
      </c>
      <c r="F90" s="105">
        <v>0</v>
      </c>
      <c r="G90" s="104">
        <f>SUM('Draw #15'!G90)+F90</f>
        <v>0</v>
      </c>
      <c r="H90" s="109">
        <f t="shared" si="2"/>
        <v>0</v>
      </c>
      <c r="I90" s="110">
        <v>0</v>
      </c>
      <c r="J90" s="109">
        <f>SUM(I90+'Draw #15'!J90)</f>
        <v>0</v>
      </c>
      <c r="K90" s="101" t="str">
        <f t="shared" si="3"/>
        <v/>
      </c>
      <c r="L90" s="9"/>
      <c r="M90" s="9"/>
    </row>
    <row r="91" spans="1:13" ht="14.1" customHeight="1">
      <c r="A91" s="4" t="e">
        <f>'SCHEDULE OF VALUE WORKSHEET'!#REF!</f>
        <v>#REF!</v>
      </c>
      <c r="B91" s="142" t="e">
        <f>'SCHEDULE OF VALUE WORKSHEET'!#REF!</f>
        <v>#REF!</v>
      </c>
      <c r="C91" s="143"/>
      <c r="D91" s="104" t="e">
        <f>SUM('SCHEDULE OF VALUE WORKSHEET'!#REF!)</f>
        <v>#REF!</v>
      </c>
      <c r="E91" s="104">
        <f>SUM('Draw #15'!E91:F91)</f>
        <v>0</v>
      </c>
      <c r="F91" s="105">
        <v>0</v>
      </c>
      <c r="G91" s="104" t="e">
        <f>SUM('Draw #15'!G91)+F91</f>
        <v>#REF!</v>
      </c>
      <c r="H91" s="109" t="e">
        <f t="shared" si="2"/>
        <v>#REF!</v>
      </c>
      <c r="I91" s="110">
        <v>0</v>
      </c>
      <c r="J91" s="109">
        <f>SUM(I91+'Draw #15'!J91)</f>
        <v>0</v>
      </c>
      <c r="K91" s="101" t="str">
        <f t="shared" si="3"/>
        <v/>
      </c>
      <c r="L91" s="9"/>
      <c r="M91" s="9"/>
    </row>
    <row r="92" spans="1:13" ht="14.1" customHeight="1">
      <c r="A92" s="4" t="e">
        <f>'SCHEDULE OF VALUE WORKSHEET'!#REF!</f>
        <v>#REF!</v>
      </c>
      <c r="B92" s="142" t="e">
        <f>'SCHEDULE OF VALUE WORKSHEET'!#REF!</f>
        <v>#REF!</v>
      </c>
      <c r="C92" s="143"/>
      <c r="D92" s="104" t="e">
        <f>SUM('SCHEDULE OF VALUE WORKSHEET'!#REF!)</f>
        <v>#REF!</v>
      </c>
      <c r="E92" s="104">
        <f>SUM('Draw #15'!E92:F92)</f>
        <v>0</v>
      </c>
      <c r="F92" s="105">
        <v>0</v>
      </c>
      <c r="G92" s="104" t="e">
        <f>SUM('Draw #15'!G92)+F92</f>
        <v>#REF!</v>
      </c>
      <c r="H92" s="109" t="e">
        <f t="shared" si="2"/>
        <v>#REF!</v>
      </c>
      <c r="I92" s="110">
        <v>0</v>
      </c>
      <c r="J92" s="109">
        <f>SUM(I92+'Draw #15'!J92)</f>
        <v>0</v>
      </c>
      <c r="K92" s="101" t="str">
        <f t="shared" si="3"/>
        <v/>
      </c>
      <c r="L92" s="9"/>
      <c r="M92" s="9"/>
    </row>
    <row r="93" spans="1:13" ht="14.1" customHeight="1">
      <c r="A93" s="4" t="e">
        <f>'SCHEDULE OF VALUE WORKSHEET'!#REF!</f>
        <v>#REF!</v>
      </c>
      <c r="B93" s="142" t="e">
        <f>'SCHEDULE OF VALUE WORKSHEET'!#REF!</f>
        <v>#REF!</v>
      </c>
      <c r="C93" s="143"/>
      <c r="D93" s="104" t="e">
        <f>SUM('SCHEDULE OF VALUE WORKSHEET'!#REF!)</f>
        <v>#REF!</v>
      </c>
      <c r="E93" s="104">
        <f>SUM('Draw #15'!E93:F93)</f>
        <v>0</v>
      </c>
      <c r="F93" s="105">
        <v>0</v>
      </c>
      <c r="G93" s="104" t="e">
        <f>SUM('Draw #15'!G93)+F93</f>
        <v>#REF!</v>
      </c>
      <c r="H93" s="109" t="e">
        <f t="shared" si="2"/>
        <v>#REF!</v>
      </c>
      <c r="I93" s="110">
        <v>0</v>
      </c>
      <c r="J93" s="109">
        <f>SUM(I93+'Draw #15'!J93)</f>
        <v>0</v>
      </c>
      <c r="K93" s="101" t="str">
        <f t="shared" si="3"/>
        <v/>
      </c>
      <c r="L93" s="9"/>
      <c r="M93" s="9"/>
    </row>
    <row r="94" spans="1:13" ht="14.1" customHeight="1">
      <c r="A94" s="4" t="e">
        <f>'SCHEDULE OF VALUE WORKSHEET'!#REF!</f>
        <v>#REF!</v>
      </c>
      <c r="B94" s="142" t="e">
        <f>'SCHEDULE OF VALUE WORKSHEET'!#REF!</f>
        <v>#REF!</v>
      </c>
      <c r="C94" s="143"/>
      <c r="D94" s="104" t="e">
        <f>SUM('SCHEDULE OF VALUE WORKSHEET'!#REF!)</f>
        <v>#REF!</v>
      </c>
      <c r="E94" s="104">
        <f>SUM('Draw #15'!E94:F94)</f>
        <v>0</v>
      </c>
      <c r="F94" s="105">
        <v>0</v>
      </c>
      <c r="G94" s="104" t="e">
        <f>SUM('Draw #15'!G94)+F94</f>
        <v>#REF!</v>
      </c>
      <c r="H94" s="109" t="e">
        <f t="shared" si="2"/>
        <v>#REF!</v>
      </c>
      <c r="I94" s="110">
        <v>0</v>
      </c>
      <c r="J94" s="109">
        <f>SUM(I94+'Draw #15'!J94)</f>
        <v>0</v>
      </c>
      <c r="K94" s="101" t="str">
        <f t="shared" si="3"/>
        <v/>
      </c>
      <c r="L94" s="9"/>
      <c r="M94" s="9"/>
    </row>
    <row r="95" spans="1:13" ht="14.1" customHeight="1">
      <c r="A95" s="4" t="e">
        <f>'SCHEDULE OF VALUE WORKSHEET'!#REF!</f>
        <v>#REF!</v>
      </c>
      <c r="B95" s="142" t="e">
        <f>'SCHEDULE OF VALUE WORKSHEET'!#REF!</f>
        <v>#REF!</v>
      </c>
      <c r="C95" s="143"/>
      <c r="D95" s="104" t="e">
        <f>SUM('SCHEDULE OF VALUE WORKSHEET'!#REF!)</f>
        <v>#REF!</v>
      </c>
      <c r="E95" s="104">
        <f>SUM('Draw #15'!E95:F95)</f>
        <v>0</v>
      </c>
      <c r="F95" s="105">
        <v>0</v>
      </c>
      <c r="G95" s="104" t="e">
        <f>SUM('Draw #15'!G95)+F95</f>
        <v>#REF!</v>
      </c>
      <c r="H95" s="109" t="e">
        <f t="shared" si="2"/>
        <v>#REF!</v>
      </c>
      <c r="I95" s="110">
        <v>0</v>
      </c>
      <c r="J95" s="109">
        <f>SUM(I95+'Draw #15'!J95)</f>
        <v>0</v>
      </c>
      <c r="K95" s="101" t="str">
        <f t="shared" si="3"/>
        <v/>
      </c>
      <c r="L95" s="9"/>
      <c r="M95" s="9"/>
    </row>
    <row r="96" spans="1:13" ht="14.1" customHeight="1">
      <c r="A96" s="4" t="e">
        <f>'SCHEDULE OF VALUE WORKSHEET'!#REF!</f>
        <v>#REF!</v>
      </c>
      <c r="B96" s="142" t="e">
        <f>'SCHEDULE OF VALUE WORKSHEET'!#REF!</f>
        <v>#REF!</v>
      </c>
      <c r="C96" s="143"/>
      <c r="D96" s="104" t="e">
        <f>SUM('SCHEDULE OF VALUE WORKSHEET'!#REF!)</f>
        <v>#REF!</v>
      </c>
      <c r="E96" s="104">
        <f>SUM('Draw #15'!E96:F96)</f>
        <v>0</v>
      </c>
      <c r="F96" s="105">
        <v>0</v>
      </c>
      <c r="G96" s="104" t="e">
        <f>SUM('Draw #15'!G96)+F96</f>
        <v>#REF!</v>
      </c>
      <c r="H96" s="109" t="e">
        <f t="shared" si="2"/>
        <v>#REF!</v>
      </c>
      <c r="I96" s="110">
        <v>0</v>
      </c>
      <c r="J96" s="109">
        <f>SUM(I96+'Draw #15'!J96)</f>
        <v>0</v>
      </c>
      <c r="K96" s="101" t="str">
        <f t="shared" si="3"/>
        <v/>
      </c>
      <c r="L96" s="9"/>
      <c r="M96" s="9"/>
    </row>
    <row r="97" spans="1:13" ht="14.1" customHeight="1">
      <c r="A97" s="4" t="e">
        <f>'SCHEDULE OF VALUE WORKSHEET'!#REF!</f>
        <v>#REF!</v>
      </c>
      <c r="B97" s="142" t="e">
        <f>'SCHEDULE OF VALUE WORKSHEET'!#REF!</f>
        <v>#REF!</v>
      </c>
      <c r="C97" s="143"/>
      <c r="D97" s="104" t="e">
        <f>SUM('SCHEDULE OF VALUE WORKSHEET'!#REF!)</f>
        <v>#REF!</v>
      </c>
      <c r="E97" s="104">
        <f>SUM('Draw #15'!E97:F97)</f>
        <v>0</v>
      </c>
      <c r="F97" s="105">
        <v>0</v>
      </c>
      <c r="G97" s="104" t="e">
        <f>SUM('Draw #15'!G97)+F97</f>
        <v>#REF!</v>
      </c>
      <c r="H97" s="109" t="e">
        <f t="shared" si="2"/>
        <v>#REF!</v>
      </c>
      <c r="I97" s="110">
        <v>0</v>
      </c>
      <c r="J97" s="109">
        <f>SUM(I97+'Draw #15'!J97)</f>
        <v>0</v>
      </c>
      <c r="K97" s="101" t="str">
        <f t="shared" si="3"/>
        <v/>
      </c>
      <c r="L97" s="9"/>
      <c r="M97" s="9"/>
    </row>
    <row r="98" spans="1:13" ht="14.1" customHeight="1">
      <c r="A98" s="4" t="e">
        <f>'SCHEDULE OF VALUE WORKSHEET'!#REF!</f>
        <v>#REF!</v>
      </c>
      <c r="B98" s="142" t="e">
        <f>'SCHEDULE OF VALUE WORKSHEET'!#REF!</f>
        <v>#REF!</v>
      </c>
      <c r="C98" s="143"/>
      <c r="D98" s="104" t="e">
        <f>SUM('SCHEDULE OF VALUE WORKSHEET'!#REF!)</f>
        <v>#REF!</v>
      </c>
      <c r="E98" s="104">
        <f>SUM('Draw #15'!E98:F98)</f>
        <v>0</v>
      </c>
      <c r="F98" s="105">
        <v>0</v>
      </c>
      <c r="G98" s="104" t="e">
        <f>SUM('Draw #15'!G98)+F98</f>
        <v>#REF!</v>
      </c>
      <c r="H98" s="109" t="e">
        <f t="shared" si="2"/>
        <v>#REF!</v>
      </c>
      <c r="I98" s="110">
        <v>0</v>
      </c>
      <c r="J98" s="109">
        <f>SUM(I98+'Draw #15'!J98)</f>
        <v>0</v>
      </c>
      <c r="K98" s="101" t="str">
        <f t="shared" si="3"/>
        <v/>
      </c>
      <c r="L98" s="9"/>
      <c r="M98" s="9"/>
    </row>
    <row r="99" spans="1:13" ht="14.1" customHeight="1">
      <c r="A99" s="4" t="e">
        <f>'SCHEDULE OF VALUE WORKSHEET'!#REF!</f>
        <v>#REF!</v>
      </c>
      <c r="B99" s="142" t="e">
        <f>'SCHEDULE OF VALUE WORKSHEET'!#REF!</f>
        <v>#REF!</v>
      </c>
      <c r="C99" s="143"/>
      <c r="D99" s="104" t="e">
        <f>SUM('SCHEDULE OF VALUE WORKSHEET'!#REF!)</f>
        <v>#REF!</v>
      </c>
      <c r="E99" s="104">
        <f>SUM('Draw #15'!E99:F99)</f>
        <v>0</v>
      </c>
      <c r="F99" s="105">
        <v>0</v>
      </c>
      <c r="G99" s="104" t="e">
        <f>SUM('Draw #15'!G99)+F99</f>
        <v>#REF!</v>
      </c>
      <c r="H99" s="109" t="e">
        <f t="shared" si="2"/>
        <v>#REF!</v>
      </c>
      <c r="I99" s="110">
        <v>0</v>
      </c>
      <c r="J99" s="109">
        <f>SUM(I99+'Draw #15'!J99)</f>
        <v>0</v>
      </c>
      <c r="K99" s="101" t="str">
        <f t="shared" si="3"/>
        <v/>
      </c>
      <c r="L99" s="9"/>
      <c r="M99" s="9"/>
    </row>
    <row r="100" spans="1:13" ht="14.1" customHeight="1">
      <c r="A100" s="4" t="e">
        <f>'SCHEDULE OF VALUE WORKSHEET'!#REF!</f>
        <v>#REF!</v>
      </c>
      <c r="B100" s="142" t="e">
        <f>'SCHEDULE OF VALUE WORKSHEET'!#REF!</f>
        <v>#REF!</v>
      </c>
      <c r="C100" s="143"/>
      <c r="D100" s="104" t="e">
        <f>SUM('SCHEDULE OF VALUE WORKSHEET'!#REF!)</f>
        <v>#REF!</v>
      </c>
      <c r="E100" s="104">
        <f>SUM('Draw #15'!E100:F100)</f>
        <v>0</v>
      </c>
      <c r="F100" s="105">
        <v>0</v>
      </c>
      <c r="G100" s="104" t="e">
        <f>SUM('Draw #15'!G100)+F100</f>
        <v>#REF!</v>
      </c>
      <c r="H100" s="109" t="e">
        <f t="shared" si="2"/>
        <v>#REF!</v>
      </c>
      <c r="I100" s="110">
        <v>0</v>
      </c>
      <c r="J100" s="109">
        <f>SUM(I100+'Draw #15'!J100)</f>
        <v>0</v>
      </c>
      <c r="K100" s="101" t="str">
        <f t="shared" si="3"/>
        <v/>
      </c>
      <c r="L100" s="9"/>
      <c r="M100" s="9"/>
    </row>
    <row r="101" spans="1:13" ht="14.1" customHeight="1">
      <c r="A101" s="4" t="e">
        <f>'SCHEDULE OF VALUE WORKSHEET'!#REF!</f>
        <v>#REF!</v>
      </c>
      <c r="B101" s="142" t="e">
        <f>'SCHEDULE OF VALUE WORKSHEET'!#REF!</f>
        <v>#REF!</v>
      </c>
      <c r="C101" s="143"/>
      <c r="D101" s="104" t="e">
        <f>SUM('SCHEDULE OF VALUE WORKSHEET'!#REF!)</f>
        <v>#REF!</v>
      </c>
      <c r="E101" s="104">
        <f>SUM('Draw #15'!E101:F101)</f>
        <v>0</v>
      </c>
      <c r="F101" s="105">
        <v>0</v>
      </c>
      <c r="G101" s="104" t="e">
        <f>SUM('Draw #15'!G101)+F101</f>
        <v>#REF!</v>
      </c>
      <c r="H101" s="109" t="e">
        <f t="shared" si="2"/>
        <v>#REF!</v>
      </c>
      <c r="I101" s="110">
        <v>0</v>
      </c>
      <c r="J101" s="109">
        <f>SUM(I101+'Draw #15'!J101)</f>
        <v>0</v>
      </c>
      <c r="K101" s="101" t="str">
        <f t="shared" si="3"/>
        <v/>
      </c>
      <c r="L101" s="9"/>
      <c r="M101" s="9"/>
    </row>
    <row r="102" spans="1:13" ht="14.1" customHeight="1">
      <c r="A102" s="4" t="e">
        <f>'SCHEDULE OF VALUE WORKSHEET'!#REF!</f>
        <v>#REF!</v>
      </c>
      <c r="B102" s="142" t="e">
        <f>'SCHEDULE OF VALUE WORKSHEET'!#REF!</f>
        <v>#REF!</v>
      </c>
      <c r="C102" s="143"/>
      <c r="D102" s="104" t="e">
        <f>SUM('SCHEDULE OF VALUE WORKSHEET'!#REF!)</f>
        <v>#REF!</v>
      </c>
      <c r="E102" s="104">
        <f>SUM('Draw #15'!E102:F102)</f>
        <v>0</v>
      </c>
      <c r="F102" s="105">
        <v>0</v>
      </c>
      <c r="G102" s="104" t="e">
        <f>SUM('Draw #15'!G102)+F102</f>
        <v>#REF!</v>
      </c>
      <c r="H102" s="109" t="e">
        <f t="shared" si="2"/>
        <v>#REF!</v>
      </c>
      <c r="I102" s="110">
        <v>0</v>
      </c>
      <c r="J102" s="109">
        <f>SUM(I102+'Draw #15'!J102)</f>
        <v>0</v>
      </c>
      <c r="K102" s="101" t="str">
        <f t="shared" si="3"/>
        <v/>
      </c>
      <c r="L102" s="9"/>
      <c r="M102" s="9"/>
    </row>
    <row r="103" spans="1:13" ht="14.1" customHeight="1">
      <c r="A103" s="4" t="e">
        <f>'SCHEDULE OF VALUE WORKSHEET'!#REF!</f>
        <v>#REF!</v>
      </c>
      <c r="B103" s="142" t="e">
        <f>'SCHEDULE OF VALUE WORKSHEET'!#REF!</f>
        <v>#REF!</v>
      </c>
      <c r="C103" s="143"/>
      <c r="D103" s="104" t="e">
        <f>SUM('SCHEDULE OF VALUE WORKSHEET'!#REF!)</f>
        <v>#REF!</v>
      </c>
      <c r="E103" s="104">
        <f>SUM('Draw #15'!E103:F103)</f>
        <v>0</v>
      </c>
      <c r="F103" s="105">
        <v>0</v>
      </c>
      <c r="G103" s="104" t="e">
        <f>SUM('Draw #15'!G103)+F103</f>
        <v>#REF!</v>
      </c>
      <c r="H103" s="109" t="e">
        <f t="shared" si="2"/>
        <v>#REF!</v>
      </c>
      <c r="I103" s="110">
        <v>0</v>
      </c>
      <c r="J103" s="109">
        <f>SUM(I103+'Draw #15'!J103)</f>
        <v>0</v>
      </c>
      <c r="K103" s="101" t="str">
        <f t="shared" si="3"/>
        <v/>
      </c>
      <c r="L103" s="9"/>
      <c r="M103" s="9"/>
    </row>
    <row r="104" spans="1:13" ht="14.1" customHeight="1">
      <c r="A104" s="4" t="e">
        <f>'SCHEDULE OF VALUE WORKSHEET'!#REF!</f>
        <v>#REF!</v>
      </c>
      <c r="B104" s="142" t="e">
        <f>'SCHEDULE OF VALUE WORKSHEET'!#REF!</f>
        <v>#REF!</v>
      </c>
      <c r="C104" s="143"/>
      <c r="D104" s="104" t="e">
        <f>SUM('SCHEDULE OF VALUE WORKSHEET'!#REF!)</f>
        <v>#REF!</v>
      </c>
      <c r="E104" s="104">
        <f>SUM('Draw #15'!E104:F104)</f>
        <v>0</v>
      </c>
      <c r="F104" s="105">
        <v>0</v>
      </c>
      <c r="G104" s="104" t="e">
        <f>SUM('Draw #15'!G104)+F104</f>
        <v>#REF!</v>
      </c>
      <c r="H104" s="109" t="e">
        <f t="shared" si="2"/>
        <v>#REF!</v>
      </c>
      <c r="I104" s="110">
        <v>0</v>
      </c>
      <c r="J104" s="109">
        <f>SUM(I104+'Draw #15'!J104)</f>
        <v>0</v>
      </c>
      <c r="K104" s="101" t="str">
        <f t="shared" si="3"/>
        <v/>
      </c>
      <c r="L104" s="9"/>
      <c r="M104" s="9"/>
    </row>
    <row r="105" spans="1:13" ht="14.1" customHeight="1">
      <c r="A105" s="4" t="e">
        <f>'SCHEDULE OF VALUE WORKSHEET'!#REF!</f>
        <v>#REF!</v>
      </c>
      <c r="B105" s="142" t="e">
        <f>'SCHEDULE OF VALUE WORKSHEET'!#REF!</f>
        <v>#REF!</v>
      </c>
      <c r="C105" s="143"/>
      <c r="D105" s="104" t="e">
        <f>SUM('SCHEDULE OF VALUE WORKSHEET'!#REF!)</f>
        <v>#REF!</v>
      </c>
      <c r="E105" s="104">
        <f>SUM('Draw #15'!E105:F105)</f>
        <v>0</v>
      </c>
      <c r="F105" s="105">
        <v>0</v>
      </c>
      <c r="G105" s="104" t="e">
        <f>SUM('Draw #15'!G105)+F105</f>
        <v>#REF!</v>
      </c>
      <c r="H105" s="109" t="e">
        <f t="shared" si="2"/>
        <v>#REF!</v>
      </c>
      <c r="I105" s="110">
        <v>0</v>
      </c>
      <c r="J105" s="109">
        <f>SUM(I105+'Draw #15'!J105)</f>
        <v>0</v>
      </c>
      <c r="K105" s="101" t="str">
        <f t="shared" si="3"/>
        <v/>
      </c>
      <c r="L105" s="9"/>
      <c r="M105" s="9"/>
    </row>
    <row r="106" spans="1:13" ht="14.1" customHeight="1">
      <c r="A106" s="4" t="e">
        <f>'SCHEDULE OF VALUE WORKSHEET'!#REF!</f>
        <v>#REF!</v>
      </c>
      <c r="B106" s="142" t="e">
        <f>'SCHEDULE OF VALUE WORKSHEET'!#REF!</f>
        <v>#REF!</v>
      </c>
      <c r="C106" s="143"/>
      <c r="D106" s="104" t="e">
        <f>SUM('SCHEDULE OF VALUE WORKSHEET'!#REF!)</f>
        <v>#REF!</v>
      </c>
      <c r="E106" s="104">
        <f>SUM('Draw #15'!E106:F106)</f>
        <v>0</v>
      </c>
      <c r="F106" s="105">
        <v>0</v>
      </c>
      <c r="G106" s="104" t="e">
        <f>SUM('Draw #15'!G106)+F106</f>
        <v>#REF!</v>
      </c>
      <c r="H106" s="109" t="e">
        <f t="shared" si="2"/>
        <v>#REF!</v>
      </c>
      <c r="I106" s="110">
        <v>0</v>
      </c>
      <c r="J106" s="109">
        <f>SUM(I106+'Draw #15'!J106)</f>
        <v>0</v>
      </c>
      <c r="K106" s="101" t="str">
        <f t="shared" si="3"/>
        <v/>
      </c>
      <c r="L106" s="9"/>
      <c r="M106" s="9"/>
    </row>
    <row r="107" spans="1:13" ht="14.1" customHeight="1">
      <c r="A107" s="4" t="e">
        <f>'SCHEDULE OF VALUE WORKSHEET'!#REF!</f>
        <v>#REF!</v>
      </c>
      <c r="B107" s="142" t="e">
        <f>'SCHEDULE OF VALUE WORKSHEET'!#REF!</f>
        <v>#REF!</v>
      </c>
      <c r="C107" s="143"/>
      <c r="D107" s="104" t="e">
        <f>SUM('SCHEDULE OF VALUE WORKSHEET'!#REF!)</f>
        <v>#REF!</v>
      </c>
      <c r="E107" s="104">
        <f>SUM('Draw #15'!E107:F107)</f>
        <v>0</v>
      </c>
      <c r="F107" s="105">
        <v>0</v>
      </c>
      <c r="G107" s="104" t="e">
        <f>SUM('Draw #15'!G107)+F107</f>
        <v>#REF!</v>
      </c>
      <c r="H107" s="109" t="e">
        <f t="shared" si="2"/>
        <v>#REF!</v>
      </c>
      <c r="I107" s="110">
        <v>0</v>
      </c>
      <c r="J107" s="109">
        <f>SUM(I107+'Draw #15'!J107)</f>
        <v>0</v>
      </c>
      <c r="K107" s="101" t="str">
        <f t="shared" si="3"/>
        <v/>
      </c>
      <c r="L107" s="9"/>
      <c r="M107" s="9"/>
    </row>
    <row r="108" spans="1:13" ht="14.1" customHeight="1">
      <c r="A108" s="4" t="e">
        <f>'SCHEDULE OF VALUE WORKSHEET'!#REF!</f>
        <v>#REF!</v>
      </c>
      <c r="B108" s="142" t="e">
        <f>'SCHEDULE OF VALUE WORKSHEET'!#REF!</f>
        <v>#REF!</v>
      </c>
      <c r="C108" s="143"/>
      <c r="D108" s="104" t="e">
        <f>SUM('SCHEDULE OF VALUE WORKSHEET'!#REF!)</f>
        <v>#REF!</v>
      </c>
      <c r="E108" s="104">
        <f>SUM('Draw #15'!E108:F108)</f>
        <v>0</v>
      </c>
      <c r="F108" s="105">
        <v>0</v>
      </c>
      <c r="G108" s="104" t="e">
        <f>SUM('Draw #15'!G108)+F108</f>
        <v>#REF!</v>
      </c>
      <c r="H108" s="109" t="e">
        <f t="shared" si="2"/>
        <v>#REF!</v>
      </c>
      <c r="I108" s="110">
        <v>0</v>
      </c>
      <c r="J108" s="109">
        <f>SUM(I108+'Draw #15'!J108)</f>
        <v>0</v>
      </c>
      <c r="K108" s="101" t="str">
        <f t="shared" si="3"/>
        <v/>
      </c>
      <c r="L108" s="9"/>
      <c r="M108" s="9"/>
    </row>
    <row r="109" spans="1:13" ht="14.1" customHeight="1">
      <c r="A109" s="4" t="e">
        <f>'SCHEDULE OF VALUE WORKSHEET'!#REF!</f>
        <v>#REF!</v>
      </c>
      <c r="B109" s="142" t="e">
        <f>'SCHEDULE OF VALUE WORKSHEET'!#REF!</f>
        <v>#REF!</v>
      </c>
      <c r="C109" s="143"/>
      <c r="D109" s="104" t="e">
        <f>SUM('SCHEDULE OF VALUE WORKSHEET'!#REF!)</f>
        <v>#REF!</v>
      </c>
      <c r="E109" s="104">
        <f>SUM('Draw #15'!E109:F109)</f>
        <v>0</v>
      </c>
      <c r="F109" s="105">
        <v>0</v>
      </c>
      <c r="G109" s="104" t="e">
        <f>SUM('Draw #15'!G109)+F109</f>
        <v>#REF!</v>
      </c>
      <c r="H109" s="109" t="e">
        <f t="shared" si="2"/>
        <v>#REF!</v>
      </c>
      <c r="I109" s="110">
        <v>0</v>
      </c>
      <c r="J109" s="109">
        <f>SUM(I109+'Draw #15'!J109)</f>
        <v>0</v>
      </c>
      <c r="K109" s="101" t="str">
        <f t="shared" si="3"/>
        <v/>
      </c>
      <c r="L109" s="9"/>
      <c r="M109" s="9"/>
    </row>
    <row r="110" spans="1:13" ht="14.1" customHeight="1">
      <c r="A110" s="4" t="e">
        <f>'SCHEDULE OF VALUE WORKSHEET'!#REF!</f>
        <v>#REF!</v>
      </c>
      <c r="B110" s="142" t="e">
        <f>'SCHEDULE OF VALUE WORKSHEET'!#REF!</f>
        <v>#REF!</v>
      </c>
      <c r="C110" s="143"/>
      <c r="D110" s="104" t="e">
        <f>SUM('SCHEDULE OF VALUE WORKSHEET'!#REF!)</f>
        <v>#REF!</v>
      </c>
      <c r="E110" s="104">
        <f>SUM('Draw #15'!E110:F110)</f>
        <v>0</v>
      </c>
      <c r="F110" s="105">
        <v>0</v>
      </c>
      <c r="G110" s="104" t="e">
        <f>SUM('Draw #15'!G110)+F110</f>
        <v>#REF!</v>
      </c>
      <c r="H110" s="109" t="e">
        <f t="shared" si="2"/>
        <v>#REF!</v>
      </c>
      <c r="I110" s="110">
        <v>0</v>
      </c>
      <c r="J110" s="109">
        <f>SUM(I110+'Draw #15'!J110)</f>
        <v>0</v>
      </c>
      <c r="K110" s="101" t="str">
        <f t="shared" si="3"/>
        <v/>
      </c>
      <c r="L110" s="9"/>
      <c r="M110" s="9"/>
    </row>
    <row r="111" spans="1:13" ht="14.1" customHeight="1">
      <c r="A111" s="4" t="e">
        <f>'SCHEDULE OF VALUE WORKSHEET'!#REF!</f>
        <v>#REF!</v>
      </c>
      <c r="B111" s="142" t="e">
        <f>'SCHEDULE OF VALUE WORKSHEET'!#REF!</f>
        <v>#REF!</v>
      </c>
      <c r="C111" s="143"/>
      <c r="D111" s="104" t="e">
        <f>SUM('SCHEDULE OF VALUE WORKSHEET'!#REF!)</f>
        <v>#REF!</v>
      </c>
      <c r="E111" s="104">
        <f>SUM('Draw #15'!E111:F111)</f>
        <v>0</v>
      </c>
      <c r="F111" s="105">
        <v>0</v>
      </c>
      <c r="G111" s="104" t="e">
        <f>SUM('Draw #15'!G111)+F111</f>
        <v>#REF!</v>
      </c>
      <c r="H111" s="109" t="e">
        <f t="shared" si="2"/>
        <v>#REF!</v>
      </c>
      <c r="I111" s="110">
        <v>0</v>
      </c>
      <c r="J111" s="109">
        <f>SUM(I111+'Draw #15'!J111)</f>
        <v>0</v>
      </c>
      <c r="K111" s="101" t="str">
        <f t="shared" si="3"/>
        <v/>
      </c>
      <c r="L111" s="9"/>
      <c r="M111" s="9"/>
    </row>
    <row r="112" spans="1:13" ht="14.1" customHeight="1">
      <c r="A112" s="4" t="e">
        <f>'SCHEDULE OF VALUE WORKSHEET'!#REF!</f>
        <v>#REF!</v>
      </c>
      <c r="B112" s="142" t="e">
        <f>'SCHEDULE OF VALUE WORKSHEET'!#REF!</f>
        <v>#REF!</v>
      </c>
      <c r="C112" s="143"/>
      <c r="D112" s="104" t="e">
        <f>SUM('SCHEDULE OF VALUE WORKSHEET'!#REF!)</f>
        <v>#REF!</v>
      </c>
      <c r="E112" s="104">
        <f>SUM('Draw #15'!E112:F112)</f>
        <v>0</v>
      </c>
      <c r="F112" s="105">
        <v>0</v>
      </c>
      <c r="G112" s="104" t="e">
        <f>SUM('Draw #15'!G112)+F112</f>
        <v>#REF!</v>
      </c>
      <c r="H112" s="109" t="e">
        <f t="shared" si="2"/>
        <v>#REF!</v>
      </c>
      <c r="I112" s="110">
        <v>0</v>
      </c>
      <c r="J112" s="109">
        <f>SUM(I112+'Draw #15'!J112)</f>
        <v>0</v>
      </c>
      <c r="K112" s="101" t="str">
        <f t="shared" si="3"/>
        <v/>
      </c>
      <c r="L112" s="9"/>
      <c r="M112" s="9"/>
    </row>
    <row r="113" spans="1:13" ht="14.1" customHeight="1">
      <c r="A113" s="4" t="e">
        <f>'SCHEDULE OF VALUE WORKSHEET'!#REF!</f>
        <v>#REF!</v>
      </c>
      <c r="B113" s="142" t="e">
        <f>'SCHEDULE OF VALUE WORKSHEET'!#REF!</f>
        <v>#REF!</v>
      </c>
      <c r="C113" s="143"/>
      <c r="D113" s="104" t="e">
        <f>SUM('SCHEDULE OF VALUE WORKSHEET'!#REF!)</f>
        <v>#REF!</v>
      </c>
      <c r="E113" s="104">
        <f>SUM('Draw #15'!E113:F113)</f>
        <v>0</v>
      </c>
      <c r="F113" s="105">
        <v>0</v>
      </c>
      <c r="G113" s="104" t="e">
        <f>SUM('Draw #15'!G113)+F113</f>
        <v>#REF!</v>
      </c>
      <c r="H113" s="109" t="e">
        <f t="shared" si="2"/>
        <v>#REF!</v>
      </c>
      <c r="I113" s="110">
        <v>0</v>
      </c>
      <c r="J113" s="109">
        <f>SUM(I113+'Draw #15'!J113)</f>
        <v>0</v>
      </c>
      <c r="K113" s="101" t="str">
        <f t="shared" si="3"/>
        <v/>
      </c>
      <c r="L113" s="9"/>
      <c r="M113" s="9"/>
    </row>
    <row r="114" spans="1:13" ht="14.1" customHeight="1">
      <c r="A114" s="4" t="e">
        <f>'SCHEDULE OF VALUE WORKSHEET'!#REF!</f>
        <v>#REF!</v>
      </c>
      <c r="B114" s="142" t="e">
        <f>'SCHEDULE OF VALUE WORKSHEET'!#REF!</f>
        <v>#REF!</v>
      </c>
      <c r="C114" s="143"/>
      <c r="D114" s="104" t="e">
        <f>SUM('SCHEDULE OF VALUE WORKSHEET'!#REF!)</f>
        <v>#REF!</v>
      </c>
      <c r="E114" s="104">
        <f>SUM('Draw #15'!E114:F114)</f>
        <v>0</v>
      </c>
      <c r="F114" s="105">
        <v>0</v>
      </c>
      <c r="G114" s="104" t="e">
        <f>SUM('Draw #15'!G114)+F114</f>
        <v>#REF!</v>
      </c>
      <c r="H114" s="109" t="e">
        <f t="shared" si="2"/>
        <v>#REF!</v>
      </c>
      <c r="I114" s="110">
        <v>0</v>
      </c>
      <c r="J114" s="109">
        <f>SUM(I114+'Draw #15'!J114)</f>
        <v>0</v>
      </c>
      <c r="K114" s="101" t="str">
        <f t="shared" si="3"/>
        <v/>
      </c>
      <c r="L114" s="9"/>
      <c r="M114" s="9"/>
    </row>
    <row r="115" spans="1:13" ht="14.1" customHeight="1">
      <c r="A115" s="4" t="e">
        <f>'SCHEDULE OF VALUE WORKSHEET'!#REF!</f>
        <v>#REF!</v>
      </c>
      <c r="B115" s="142" t="e">
        <f>'SCHEDULE OF VALUE WORKSHEET'!#REF!</f>
        <v>#REF!</v>
      </c>
      <c r="C115" s="143"/>
      <c r="D115" s="104" t="e">
        <f>SUM('SCHEDULE OF VALUE WORKSHEET'!#REF!)</f>
        <v>#REF!</v>
      </c>
      <c r="E115" s="104">
        <f>SUM('Draw #15'!E115:F115)</f>
        <v>0</v>
      </c>
      <c r="F115" s="105">
        <v>0</v>
      </c>
      <c r="G115" s="104" t="e">
        <f>SUM('Draw #15'!G115)+F115</f>
        <v>#REF!</v>
      </c>
      <c r="H115" s="109" t="e">
        <f t="shared" si="2"/>
        <v>#REF!</v>
      </c>
      <c r="I115" s="110">
        <v>0</v>
      </c>
      <c r="J115" s="109">
        <f>SUM(I115+'Draw #15'!J115)</f>
        <v>0</v>
      </c>
      <c r="K115" s="101" t="str">
        <f t="shared" si="3"/>
        <v/>
      </c>
      <c r="L115" s="9"/>
      <c r="M115" s="9"/>
    </row>
    <row r="116" spans="1:13" ht="14.1" customHeight="1">
      <c r="A116" s="4" t="e">
        <f>'SCHEDULE OF VALUE WORKSHEET'!#REF!</f>
        <v>#REF!</v>
      </c>
      <c r="B116" s="142" t="e">
        <f>'SCHEDULE OF VALUE WORKSHEET'!#REF!</f>
        <v>#REF!</v>
      </c>
      <c r="C116" s="143"/>
      <c r="D116" s="104" t="e">
        <f>SUM('SCHEDULE OF VALUE WORKSHEET'!#REF!)</f>
        <v>#REF!</v>
      </c>
      <c r="E116" s="104">
        <f>SUM('Draw #15'!E116:F116)</f>
        <v>0</v>
      </c>
      <c r="F116" s="105">
        <v>0</v>
      </c>
      <c r="G116" s="104" t="e">
        <f>SUM('Draw #15'!G116)+F116</f>
        <v>#REF!</v>
      </c>
      <c r="H116" s="109" t="e">
        <f t="shared" si="2"/>
        <v>#REF!</v>
      </c>
      <c r="I116" s="110">
        <v>0</v>
      </c>
      <c r="J116" s="109">
        <f>SUM(I116+'Draw #15'!J116)</f>
        <v>0</v>
      </c>
      <c r="K116" s="101" t="str">
        <f t="shared" si="3"/>
        <v/>
      </c>
      <c r="L116" s="9"/>
      <c r="M116" s="9"/>
    </row>
    <row r="117" spans="1:13" ht="14.1" customHeight="1">
      <c r="A117" s="4">
        <f>'SCHEDULE OF VALUE WORKSHEET'!A87</f>
        <v>82</v>
      </c>
      <c r="B117" s="142" t="str">
        <f>'SCHEDULE OF VALUE WORKSHEET'!B87</f>
        <v xml:space="preserve">Open Item </v>
      </c>
      <c r="C117" s="143"/>
      <c r="D117" s="104">
        <f>SUM('SCHEDULE OF VALUE WORKSHEET'!E87)</f>
        <v>0</v>
      </c>
      <c r="E117" s="104">
        <f>SUM('Draw #15'!E117:F117)</f>
        <v>0</v>
      </c>
      <c r="F117" s="105">
        <v>0</v>
      </c>
      <c r="G117" s="104">
        <f>SUM('Draw #15'!G117)+F117</f>
        <v>0</v>
      </c>
      <c r="H117" s="109">
        <f t="shared" si="2"/>
        <v>0</v>
      </c>
      <c r="I117" s="110">
        <v>0</v>
      </c>
      <c r="J117" s="109">
        <f>SUM(I117+'Draw #15'!J117)</f>
        <v>0</v>
      </c>
      <c r="K117" s="101" t="str">
        <f t="shared" si="3"/>
        <v/>
      </c>
      <c r="L117" s="9"/>
      <c r="M117" s="9"/>
    </row>
    <row r="118" spans="1:13" ht="14.1" customHeight="1">
      <c r="A118" s="4">
        <f>'SCHEDULE OF VALUE WORKSHEET'!A88</f>
        <v>83</v>
      </c>
      <c r="B118" s="142" t="str">
        <f>'SCHEDULE OF VALUE WORKSHEET'!B88</f>
        <v xml:space="preserve">Open Item </v>
      </c>
      <c r="C118" s="143"/>
      <c r="D118" s="104">
        <f>SUM('SCHEDULE OF VALUE WORKSHEET'!E88)</f>
        <v>0</v>
      </c>
      <c r="E118" s="104">
        <f>SUM('Draw #15'!E118:F118)</f>
        <v>0</v>
      </c>
      <c r="F118" s="105">
        <v>0</v>
      </c>
      <c r="G118" s="104">
        <f>SUM('Draw #15'!G118)+F118</f>
        <v>0</v>
      </c>
      <c r="H118" s="109">
        <f t="shared" si="2"/>
        <v>0</v>
      </c>
      <c r="I118" s="110">
        <v>0</v>
      </c>
      <c r="J118" s="109">
        <f>SUM(I118+'Draw #15'!J118)</f>
        <v>0</v>
      </c>
      <c r="K118" s="101" t="str">
        <f t="shared" si="3"/>
        <v/>
      </c>
      <c r="L118" s="9"/>
      <c r="M118" s="9"/>
    </row>
    <row r="119" spans="1:13" ht="14.1" customHeight="1">
      <c r="A119" s="4">
        <f>'SCHEDULE OF VALUE WORKSHEET'!A89</f>
        <v>84</v>
      </c>
      <c r="B119" s="142" t="str">
        <f>'SCHEDULE OF VALUE WORKSHEET'!B89</f>
        <v xml:space="preserve">Open Item </v>
      </c>
      <c r="C119" s="143"/>
      <c r="D119" s="104">
        <f>SUM('SCHEDULE OF VALUE WORKSHEET'!E89)</f>
        <v>0</v>
      </c>
      <c r="E119" s="104">
        <f>SUM('Draw #15'!E119:F119)</f>
        <v>0</v>
      </c>
      <c r="F119" s="105">
        <v>0</v>
      </c>
      <c r="G119" s="104">
        <f>SUM('Draw #15'!G119)+F119</f>
        <v>0</v>
      </c>
      <c r="H119" s="109">
        <f t="shared" si="2"/>
        <v>0</v>
      </c>
      <c r="I119" s="110">
        <v>0</v>
      </c>
      <c r="J119" s="109">
        <f>SUM(I119+'Draw #15'!J119)</f>
        <v>0</v>
      </c>
      <c r="K119" s="101" t="str">
        <f t="shared" si="3"/>
        <v/>
      </c>
      <c r="L119" s="9"/>
      <c r="M119" s="9"/>
    </row>
    <row r="120" spans="1:13" ht="14.1" customHeight="1">
      <c r="A120" s="4">
        <f>'SCHEDULE OF VALUE WORKSHEET'!A90</f>
        <v>85</v>
      </c>
      <c r="B120" s="142" t="str">
        <f>'SCHEDULE OF VALUE WORKSHEET'!B90</f>
        <v xml:space="preserve">Open Item </v>
      </c>
      <c r="C120" s="143"/>
      <c r="D120" s="104">
        <f>SUM('SCHEDULE OF VALUE WORKSHEET'!E90)</f>
        <v>0</v>
      </c>
      <c r="E120" s="104">
        <f>SUM('Draw #15'!E120:F120)</f>
        <v>0</v>
      </c>
      <c r="F120" s="105">
        <v>0</v>
      </c>
      <c r="G120" s="104">
        <f>SUM('Draw #15'!G120)+F120</f>
        <v>0</v>
      </c>
      <c r="H120" s="109">
        <f t="shared" si="2"/>
        <v>0</v>
      </c>
      <c r="I120" s="110">
        <v>0</v>
      </c>
      <c r="J120" s="109">
        <f>SUM(I120+'Draw #15'!J120)</f>
        <v>0</v>
      </c>
      <c r="K120" s="101" t="str">
        <f t="shared" si="3"/>
        <v/>
      </c>
      <c r="L120" s="9"/>
      <c r="M120" s="9"/>
    </row>
    <row r="121" spans="1:13" ht="14.1" customHeight="1">
      <c r="A121" s="4">
        <f>'SCHEDULE OF VALUE WORKSHEET'!A91</f>
        <v>86</v>
      </c>
      <c r="B121" s="142" t="str">
        <f>'SCHEDULE OF VALUE WORKSHEET'!B91</f>
        <v xml:space="preserve">Open Item </v>
      </c>
      <c r="C121" s="143"/>
      <c r="D121" s="104">
        <f>SUM('SCHEDULE OF VALUE WORKSHEET'!E91)</f>
        <v>0</v>
      </c>
      <c r="E121" s="104">
        <f>SUM('Draw #15'!E121:F121)</f>
        <v>0</v>
      </c>
      <c r="F121" s="105">
        <v>0</v>
      </c>
      <c r="G121" s="104">
        <f>SUM('Draw #15'!G121)+F121</f>
        <v>0</v>
      </c>
      <c r="H121" s="109">
        <f t="shared" si="2"/>
        <v>0</v>
      </c>
      <c r="I121" s="110">
        <v>0</v>
      </c>
      <c r="J121" s="109">
        <f>SUM(I121+'Draw #15'!J121)</f>
        <v>0</v>
      </c>
      <c r="K121" s="101" t="str">
        <f t="shared" si="3"/>
        <v/>
      </c>
      <c r="L121" s="9"/>
      <c r="M121" s="9"/>
    </row>
    <row r="122" spans="1:13" ht="14.1" customHeight="1">
      <c r="A122" s="4">
        <f>'SCHEDULE OF VALUE WORKSHEET'!A92</f>
        <v>87</v>
      </c>
      <c r="B122" s="142" t="str">
        <f>'SCHEDULE OF VALUE WORKSHEET'!B92</f>
        <v xml:space="preserve">Open Item </v>
      </c>
      <c r="C122" s="143"/>
      <c r="D122" s="104">
        <f>SUM('SCHEDULE OF VALUE WORKSHEET'!E92)</f>
        <v>0</v>
      </c>
      <c r="E122" s="104">
        <f>SUM('Draw #15'!E122:F122)</f>
        <v>0</v>
      </c>
      <c r="F122" s="105">
        <v>0</v>
      </c>
      <c r="G122" s="104">
        <f>SUM('Draw #15'!G122)+F122</f>
        <v>0</v>
      </c>
      <c r="H122" s="109">
        <f t="shared" si="2"/>
        <v>0</v>
      </c>
      <c r="I122" s="110">
        <v>0</v>
      </c>
      <c r="J122" s="109">
        <f>SUM(I122+'Draw #15'!J122)</f>
        <v>0</v>
      </c>
      <c r="K122" s="101" t="str">
        <f t="shared" si="3"/>
        <v/>
      </c>
      <c r="L122" s="9"/>
      <c r="M122" s="9"/>
    </row>
    <row r="123" spans="1:13" ht="14.1" customHeight="1">
      <c r="A123" s="4">
        <f>'SCHEDULE OF VALUE WORKSHEET'!A93</f>
        <v>88</v>
      </c>
      <c r="B123" s="142" t="str">
        <f>'SCHEDULE OF VALUE WORKSHEET'!B93</f>
        <v xml:space="preserve">Open Item </v>
      </c>
      <c r="C123" s="143"/>
      <c r="D123" s="104">
        <f>SUM('SCHEDULE OF VALUE WORKSHEET'!E93)</f>
        <v>0</v>
      </c>
      <c r="E123" s="104">
        <f>SUM('Draw #15'!E123:F123)</f>
        <v>0</v>
      </c>
      <c r="F123" s="105">
        <v>0</v>
      </c>
      <c r="G123" s="104">
        <f>SUM('Draw #15'!G123)+F123</f>
        <v>0</v>
      </c>
      <c r="H123" s="109">
        <f t="shared" si="2"/>
        <v>0</v>
      </c>
      <c r="I123" s="110">
        <v>0</v>
      </c>
      <c r="J123" s="109">
        <f>SUM(I123+'Draw #15'!J123)</f>
        <v>0</v>
      </c>
      <c r="K123" s="101" t="str">
        <f t="shared" si="3"/>
        <v/>
      </c>
      <c r="L123" s="9"/>
      <c r="M123" s="9"/>
    </row>
    <row r="124" spans="1:13" ht="14.1" customHeight="1">
      <c r="A124" s="4">
        <f>'SCHEDULE OF VALUE WORKSHEET'!A94</f>
        <v>89</v>
      </c>
      <c r="B124" s="142" t="str">
        <f>'SCHEDULE OF VALUE WORKSHEET'!B94</f>
        <v xml:space="preserve">Open Item </v>
      </c>
      <c r="C124" s="143"/>
      <c r="D124" s="104">
        <f>SUM('SCHEDULE OF VALUE WORKSHEET'!E94)</f>
        <v>0</v>
      </c>
      <c r="E124" s="104">
        <f>SUM('Draw #15'!E124:F124)</f>
        <v>0</v>
      </c>
      <c r="F124" s="105">
        <v>0</v>
      </c>
      <c r="G124" s="104">
        <f>SUM('Draw #15'!G124)+F124</f>
        <v>0</v>
      </c>
      <c r="H124" s="109">
        <f t="shared" si="2"/>
        <v>0</v>
      </c>
      <c r="I124" s="110">
        <v>0</v>
      </c>
      <c r="J124" s="109">
        <f>SUM(I124+'Draw #15'!J124)</f>
        <v>0</v>
      </c>
      <c r="K124" s="101" t="str">
        <f t="shared" si="3"/>
        <v/>
      </c>
      <c r="L124" s="9"/>
      <c r="M124" s="9"/>
    </row>
    <row r="125" spans="1:13" ht="14.1" customHeight="1">
      <c r="A125" s="4">
        <f>'SCHEDULE OF VALUE WORKSHEET'!A95</f>
        <v>90</v>
      </c>
      <c r="B125" s="142" t="str">
        <f>'SCHEDULE OF VALUE WORKSHEET'!B95</f>
        <v xml:space="preserve">Open Item </v>
      </c>
      <c r="C125" s="143"/>
      <c r="D125" s="104">
        <f>SUM('SCHEDULE OF VALUE WORKSHEET'!E95)</f>
        <v>0</v>
      </c>
      <c r="E125" s="104">
        <f>SUM('Draw #15'!E125:F125)</f>
        <v>0</v>
      </c>
      <c r="F125" s="105">
        <v>0</v>
      </c>
      <c r="G125" s="104">
        <f>SUM('Draw #15'!G125)+F125</f>
        <v>0</v>
      </c>
      <c r="H125" s="109">
        <f t="shared" si="2"/>
        <v>0</v>
      </c>
      <c r="I125" s="110">
        <v>0</v>
      </c>
      <c r="J125" s="109">
        <f>SUM(I125+'Draw #15'!J125)</f>
        <v>0</v>
      </c>
      <c r="K125" s="101" t="str">
        <f t="shared" si="3"/>
        <v/>
      </c>
      <c r="L125" s="9"/>
      <c r="M125" s="9"/>
    </row>
    <row r="126" spans="1:13" ht="14.1" customHeight="1">
      <c r="A126" s="4">
        <f>'SCHEDULE OF VALUE WORKSHEET'!A96</f>
        <v>91</v>
      </c>
      <c r="B126" s="142" t="str">
        <f>'SCHEDULE OF VALUE WORKSHEET'!B96</f>
        <v xml:space="preserve">Open Item </v>
      </c>
      <c r="C126" s="143"/>
      <c r="D126" s="104">
        <f>SUM('SCHEDULE OF VALUE WORKSHEET'!E96)</f>
        <v>0</v>
      </c>
      <c r="E126" s="104">
        <f>SUM('Draw #15'!E126:F126)</f>
        <v>0</v>
      </c>
      <c r="F126" s="105">
        <v>0</v>
      </c>
      <c r="G126" s="104">
        <f>SUM('Draw #15'!G126)+F126</f>
        <v>0</v>
      </c>
      <c r="H126" s="109">
        <f t="shared" si="2"/>
        <v>0</v>
      </c>
      <c r="I126" s="110">
        <v>0</v>
      </c>
      <c r="J126" s="109">
        <f>SUM(I126+'Draw #15'!J126)</f>
        <v>0</v>
      </c>
      <c r="K126" s="101" t="str">
        <f t="shared" si="3"/>
        <v/>
      </c>
      <c r="L126" s="9"/>
      <c r="M126" s="9"/>
    </row>
    <row r="127" spans="1:13" ht="14.1" customHeight="1">
      <c r="A127" s="4">
        <f>'SCHEDULE OF VALUE WORKSHEET'!A97</f>
        <v>92</v>
      </c>
      <c r="B127" s="142" t="str">
        <f>'SCHEDULE OF VALUE WORKSHEET'!B97</f>
        <v xml:space="preserve">Open Item </v>
      </c>
      <c r="C127" s="143"/>
      <c r="D127" s="104">
        <f>SUM('SCHEDULE OF VALUE WORKSHEET'!E97)</f>
        <v>0</v>
      </c>
      <c r="E127" s="104">
        <f>SUM('Draw #15'!E127:F127)</f>
        <v>0</v>
      </c>
      <c r="F127" s="105">
        <v>0</v>
      </c>
      <c r="G127" s="104">
        <f>SUM('Draw #15'!G127)+F127</f>
        <v>0</v>
      </c>
      <c r="H127" s="109">
        <f t="shared" si="2"/>
        <v>0</v>
      </c>
      <c r="I127" s="110">
        <v>0</v>
      </c>
      <c r="J127" s="109">
        <f>SUM(I127+'Draw #15'!J127)</f>
        <v>0</v>
      </c>
      <c r="K127" s="101" t="str">
        <f t="shared" si="3"/>
        <v/>
      </c>
      <c r="L127" s="9"/>
      <c r="M127" s="9"/>
    </row>
    <row r="128" spans="1:13" ht="14.1" customHeight="1">
      <c r="A128" s="4">
        <f>'SCHEDULE OF VALUE WORKSHEET'!A98</f>
        <v>93</v>
      </c>
      <c r="B128" s="142" t="str">
        <f>'SCHEDULE OF VALUE WORKSHEET'!B98</f>
        <v xml:space="preserve">Open Item </v>
      </c>
      <c r="C128" s="143"/>
      <c r="D128" s="104">
        <f>SUM('SCHEDULE OF VALUE WORKSHEET'!E98)</f>
        <v>0</v>
      </c>
      <c r="E128" s="104">
        <f>SUM('Draw #15'!E128:F128)</f>
        <v>0</v>
      </c>
      <c r="F128" s="105">
        <v>0</v>
      </c>
      <c r="G128" s="104">
        <f>SUM('Draw #15'!G128)+F128</f>
        <v>0</v>
      </c>
      <c r="H128" s="109">
        <f t="shared" si="2"/>
        <v>0</v>
      </c>
      <c r="I128" s="110">
        <v>0</v>
      </c>
      <c r="J128" s="109">
        <f>SUM(I128+'Draw #15'!J128)</f>
        <v>0</v>
      </c>
      <c r="K128" s="101" t="str">
        <f t="shared" si="3"/>
        <v/>
      </c>
      <c r="L128" s="9"/>
      <c r="M128" s="9"/>
    </row>
    <row r="129" spans="1:13" ht="14.1" customHeight="1">
      <c r="A129" s="4">
        <f>'SCHEDULE OF VALUE WORKSHEET'!A99</f>
        <v>94</v>
      </c>
      <c r="B129" s="142" t="str">
        <f>'SCHEDULE OF VALUE WORKSHEET'!B99</f>
        <v xml:space="preserve">Open Item </v>
      </c>
      <c r="C129" s="143"/>
      <c r="D129" s="104">
        <f>SUM('SCHEDULE OF VALUE WORKSHEET'!E99)</f>
        <v>0</v>
      </c>
      <c r="E129" s="104">
        <f>SUM('Draw #15'!E129:F129)</f>
        <v>0</v>
      </c>
      <c r="F129" s="105">
        <v>0</v>
      </c>
      <c r="G129" s="104">
        <f>SUM('Draw #15'!G129)+F129</f>
        <v>0</v>
      </c>
      <c r="H129" s="109">
        <f t="shared" si="2"/>
        <v>0</v>
      </c>
      <c r="I129" s="110">
        <v>0</v>
      </c>
      <c r="J129" s="109">
        <f>SUM(I129+'Draw #15'!J129)</f>
        <v>0</v>
      </c>
      <c r="K129" s="101" t="str">
        <f t="shared" si="3"/>
        <v/>
      </c>
      <c r="L129" s="9"/>
      <c r="M129" s="9"/>
    </row>
    <row r="130" spans="1:13" ht="14.1" customHeight="1">
      <c r="A130" s="4">
        <f>'SCHEDULE OF VALUE WORKSHEET'!A100</f>
        <v>95</v>
      </c>
      <c r="B130" s="142" t="str">
        <f>'SCHEDULE OF VALUE WORKSHEET'!B100</f>
        <v xml:space="preserve">Open Item </v>
      </c>
      <c r="C130" s="143"/>
      <c r="D130" s="104">
        <f>SUM('SCHEDULE OF VALUE WORKSHEET'!E100)</f>
        <v>0</v>
      </c>
      <c r="E130" s="104">
        <f>SUM('Draw #15'!E130:F130)</f>
        <v>0</v>
      </c>
      <c r="F130" s="105">
        <v>0</v>
      </c>
      <c r="G130" s="104">
        <f>SUM('Draw #15'!G130)+F130</f>
        <v>0</v>
      </c>
      <c r="H130" s="109">
        <f t="shared" si="2"/>
        <v>0</v>
      </c>
      <c r="I130" s="110">
        <v>0</v>
      </c>
      <c r="J130" s="109">
        <f>SUM(I130+'Draw #15'!J130)</f>
        <v>0</v>
      </c>
      <c r="K130" s="101" t="str">
        <f t="shared" si="3"/>
        <v/>
      </c>
      <c r="L130" s="9"/>
      <c r="M130" s="9"/>
    </row>
    <row r="131" spans="1:13" ht="14.1" customHeight="1">
      <c r="A131" s="4">
        <f>'SCHEDULE OF VALUE WORKSHEET'!A101</f>
        <v>96</v>
      </c>
      <c r="B131" s="142" t="str">
        <f>'SCHEDULE OF VALUE WORKSHEET'!B101</f>
        <v xml:space="preserve">Open Item </v>
      </c>
      <c r="C131" s="143"/>
      <c r="D131" s="104">
        <f>SUM('SCHEDULE OF VALUE WORKSHEET'!E101)</f>
        <v>0</v>
      </c>
      <c r="E131" s="104">
        <f>SUM('Draw #15'!E131:F131)</f>
        <v>0</v>
      </c>
      <c r="F131" s="105">
        <v>0</v>
      </c>
      <c r="G131" s="104">
        <f>SUM('Draw #15'!G131)+F131</f>
        <v>0</v>
      </c>
      <c r="H131" s="109">
        <f t="shared" si="2"/>
        <v>0</v>
      </c>
      <c r="I131" s="110">
        <v>0</v>
      </c>
      <c r="J131" s="109">
        <f>SUM(I131+'Draw #15'!J131)</f>
        <v>0</v>
      </c>
      <c r="K131" s="101" t="str">
        <f t="shared" si="3"/>
        <v/>
      </c>
      <c r="L131" s="9"/>
      <c r="M131" s="9"/>
    </row>
    <row r="132" spans="1:13" ht="14.1" customHeight="1">
      <c r="A132" s="4">
        <f>'SCHEDULE OF VALUE WORKSHEET'!A102</f>
        <v>97</v>
      </c>
      <c r="B132" s="142" t="str">
        <f>'SCHEDULE OF VALUE WORKSHEET'!B102</f>
        <v xml:space="preserve">Open Item </v>
      </c>
      <c r="C132" s="143"/>
      <c r="D132" s="104">
        <f>SUM('SCHEDULE OF VALUE WORKSHEET'!E102)</f>
        <v>0</v>
      </c>
      <c r="E132" s="104">
        <f>SUM('Draw #15'!E132:F132)</f>
        <v>0</v>
      </c>
      <c r="F132" s="105">
        <v>0</v>
      </c>
      <c r="G132" s="104">
        <f>SUM('Draw #15'!G132)+F132</f>
        <v>0</v>
      </c>
      <c r="H132" s="109">
        <f t="shared" si="2"/>
        <v>0</v>
      </c>
      <c r="I132" s="110">
        <v>0</v>
      </c>
      <c r="J132" s="109">
        <f>SUM(I132+'Draw #15'!J132)</f>
        <v>0</v>
      </c>
      <c r="K132" s="101" t="str">
        <f t="shared" si="3"/>
        <v/>
      </c>
      <c r="L132" s="9"/>
      <c r="M132" s="9"/>
    </row>
    <row r="133" spans="1:13" ht="14.1" customHeight="1">
      <c r="A133" s="4">
        <f>'SCHEDULE OF VALUE WORKSHEET'!A103</f>
        <v>98</v>
      </c>
      <c r="B133" s="142" t="str">
        <f>'SCHEDULE OF VALUE WORKSHEET'!B103</f>
        <v xml:space="preserve">Open Item </v>
      </c>
      <c r="C133" s="143"/>
      <c r="D133" s="104">
        <f>SUM('SCHEDULE OF VALUE WORKSHEET'!E103)</f>
        <v>0</v>
      </c>
      <c r="E133" s="104">
        <f>SUM('Draw #15'!E133:F133)</f>
        <v>0</v>
      </c>
      <c r="F133" s="105">
        <v>0</v>
      </c>
      <c r="G133" s="104">
        <f>SUM('Draw #15'!G133)+F133</f>
        <v>0</v>
      </c>
      <c r="H133" s="109">
        <f t="shared" si="2"/>
        <v>0</v>
      </c>
      <c r="I133" s="110">
        <v>0</v>
      </c>
      <c r="J133" s="109">
        <f>SUM(I133+'Draw #15'!J133)</f>
        <v>0</v>
      </c>
      <c r="K133" s="101" t="str">
        <f t="shared" si="3"/>
        <v/>
      </c>
      <c r="L133" s="9"/>
      <c r="M133" s="9"/>
    </row>
    <row r="134" spans="1:13" ht="14.1" customHeight="1">
      <c r="A134" s="4">
        <f>'SCHEDULE OF VALUE WORKSHEET'!A104</f>
        <v>99</v>
      </c>
      <c r="B134" s="142" t="str">
        <f>'SCHEDULE OF VALUE WORKSHEET'!B104</f>
        <v xml:space="preserve">Open Item </v>
      </c>
      <c r="C134" s="143"/>
      <c r="D134" s="104">
        <f>SUM('SCHEDULE OF VALUE WORKSHEET'!E104)</f>
        <v>0</v>
      </c>
      <c r="E134" s="104">
        <f>SUM('Draw #15'!E134:F134)</f>
        <v>0</v>
      </c>
      <c r="F134" s="105">
        <v>0</v>
      </c>
      <c r="G134" s="104">
        <f>SUM('Draw #15'!G134)+F134</f>
        <v>0</v>
      </c>
      <c r="H134" s="109">
        <f t="shared" si="2"/>
        <v>0</v>
      </c>
      <c r="I134" s="110">
        <v>0</v>
      </c>
      <c r="J134" s="109">
        <f>SUM(I134+'Draw #15'!J134)</f>
        <v>0</v>
      </c>
      <c r="K134" s="101" t="str">
        <f t="shared" si="3"/>
        <v/>
      </c>
      <c r="L134" s="9"/>
      <c r="M134" s="9"/>
    </row>
    <row r="135" spans="1:13" ht="14.1" customHeight="1">
      <c r="A135" s="4" t="e">
        <f>'SCHEDULE OF VALUE WORKSHEET'!#REF!</f>
        <v>#REF!</v>
      </c>
      <c r="B135" s="142" t="e">
        <f>'SCHEDULE OF VALUE WORKSHEET'!#REF!</f>
        <v>#REF!</v>
      </c>
      <c r="C135" s="143"/>
      <c r="D135" s="104" t="e">
        <f>SUM('SCHEDULE OF VALUE WORKSHEET'!#REF!)</f>
        <v>#REF!</v>
      </c>
      <c r="E135" s="104">
        <f>SUM('Draw #15'!E135:F135)</f>
        <v>0</v>
      </c>
      <c r="F135" s="105">
        <v>0</v>
      </c>
      <c r="G135" s="104" t="e">
        <f>SUM('Draw #15'!G135)+F135</f>
        <v>#REF!</v>
      </c>
      <c r="H135" s="109" t="e">
        <f t="shared" si="2"/>
        <v>#REF!</v>
      </c>
      <c r="I135" s="110">
        <v>0</v>
      </c>
      <c r="J135" s="109">
        <f>SUM(I135+'Draw #15'!J135)</f>
        <v>0</v>
      </c>
      <c r="K135" s="101" t="str">
        <f t="shared" si="3"/>
        <v/>
      </c>
      <c r="L135" s="9"/>
      <c r="M135" s="9"/>
    </row>
    <row r="136" spans="1:13" ht="14.1" customHeight="1">
      <c r="A136" s="165"/>
      <c r="B136" s="166"/>
      <c r="C136" s="166"/>
      <c r="D136" s="166"/>
      <c r="E136" s="166"/>
      <c r="F136" s="166"/>
      <c r="G136" s="166"/>
      <c r="H136" s="166"/>
      <c r="I136" s="166"/>
      <c r="J136" s="166"/>
      <c r="K136" s="167"/>
      <c r="L136" s="10"/>
      <c r="M136" s="10"/>
    </row>
    <row r="137" spans="1:13" ht="18.75" customHeight="1">
      <c r="A137" s="7"/>
      <c r="B137" s="168" t="s">
        <v>2</v>
      </c>
      <c r="C137" s="168"/>
      <c r="D137" s="25" t="e">
        <f t="shared" ref="D137:J137" si="4">SUM(D10:D135)</f>
        <v>#REF!</v>
      </c>
      <c r="E137" s="25">
        <f t="shared" si="4"/>
        <v>0</v>
      </c>
      <c r="F137" s="25">
        <f t="shared" si="4"/>
        <v>0</v>
      </c>
      <c r="G137" s="25" t="e">
        <f t="shared" si="4"/>
        <v>#REF!</v>
      </c>
      <c r="H137" s="25" t="e">
        <f t="shared" si="4"/>
        <v>#REF!</v>
      </c>
      <c r="I137" s="25">
        <f t="shared" si="4"/>
        <v>0</v>
      </c>
      <c r="J137" s="25">
        <f t="shared" si="4"/>
        <v>0</v>
      </c>
      <c r="K137" s="17"/>
      <c r="L137" s="11"/>
      <c r="M137" s="11"/>
    </row>
    <row r="138" spans="1:13" ht="14.1" customHeight="1">
      <c r="A138" s="2"/>
      <c r="B138" s="2"/>
      <c r="C138" s="2"/>
      <c r="D138" s="2"/>
      <c r="E138" s="2"/>
      <c r="F138" s="2"/>
      <c r="G138" s="2"/>
    </row>
    <row r="139" spans="1:13" ht="14.1" customHeight="1">
      <c r="G139" s="2"/>
      <c r="H139" s="140"/>
      <c r="I139" s="140"/>
      <c r="J139" s="140"/>
    </row>
    <row r="140" spans="1:13" ht="14.1" customHeight="1">
      <c r="G140" s="2"/>
    </row>
    <row r="141" spans="1:13" ht="14.1" customHeight="1">
      <c r="G141" s="2"/>
      <c r="H141" s="8"/>
    </row>
    <row r="142" spans="1:13" ht="14.1" customHeight="1">
      <c r="G142" s="2"/>
      <c r="H142" s="8"/>
    </row>
    <row r="143" spans="1:13" ht="14.1" customHeight="1">
      <c r="G143" s="2"/>
    </row>
    <row r="144" spans="1:13" ht="14.1" customHeight="1">
      <c r="G144" s="2"/>
    </row>
    <row r="145" spans="7:7" ht="14.1" customHeight="1">
      <c r="G145" s="2"/>
    </row>
    <row r="146" spans="7:7" ht="14.1" customHeight="1">
      <c r="G146" s="2"/>
    </row>
    <row r="147" spans="7:7" ht="14.1" customHeight="1">
      <c r="G147" s="2"/>
    </row>
    <row r="148" spans="7:7" ht="14.1" customHeight="1">
      <c r="G148" s="3"/>
    </row>
  </sheetData>
  <sheetProtection algorithmName="SHA-512" hashValue="4z4JrpPaFPbEW6ru1Mf5714vH6jH5gWnysXNxbdjp6wA94mgH8WfElVyZNR4xoEwPQ9P+PJdceYuhbWRduHQ1g==" saltValue="a4GfZq7ei5MNcduEbNyf+Q==" spinCount="100000" sheet="1" selectLockedCells="1"/>
  <mergeCells count="136">
    <mergeCell ref="A1:K2"/>
    <mergeCell ref="B47:C47"/>
    <mergeCell ref="B48:C48"/>
    <mergeCell ref="B49:C49"/>
    <mergeCell ref="B50:C50"/>
    <mergeCell ref="B8:C9"/>
    <mergeCell ref="D8:D9"/>
    <mergeCell ref="G8:G9"/>
    <mergeCell ref="J8:K8"/>
    <mergeCell ref="J9:K9"/>
    <mergeCell ref="F8:F9"/>
    <mergeCell ref="B10:C10"/>
    <mergeCell ref="B11:C11"/>
    <mergeCell ref="B12:C12"/>
    <mergeCell ref="B13:C13"/>
    <mergeCell ref="B26:C26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4:C34"/>
    <mergeCell ref="B35:C35"/>
    <mergeCell ref="B32:C32"/>
    <mergeCell ref="B33:C33"/>
    <mergeCell ref="B27:C27"/>
    <mergeCell ref="B36:C36"/>
    <mergeCell ref="B37:C37"/>
    <mergeCell ref="B46:C46"/>
    <mergeCell ref="A136:K136"/>
    <mergeCell ref="B38:C38"/>
    <mergeCell ref="B39:C39"/>
    <mergeCell ref="B51:C51"/>
    <mergeCell ref="B52:C52"/>
    <mergeCell ref="B53:C53"/>
    <mergeCell ref="B54:C54"/>
    <mergeCell ref="B130:C130"/>
    <mergeCell ref="B119:C119"/>
    <mergeCell ref="B120:C120"/>
    <mergeCell ref="B121:C121"/>
    <mergeCell ref="B122:C122"/>
    <mergeCell ref="B123:C123"/>
    <mergeCell ref="B124:C124"/>
    <mergeCell ref="B131:C131"/>
    <mergeCell ref="B132:C132"/>
    <mergeCell ref="B133:C133"/>
    <mergeCell ref="B134:C134"/>
    <mergeCell ref="B135:C135"/>
    <mergeCell ref="B125:C125"/>
    <mergeCell ref="B126:C126"/>
    <mergeCell ref="B137:C137"/>
    <mergeCell ref="H139:J139"/>
    <mergeCell ref="B40:C40"/>
    <mergeCell ref="B41:C41"/>
    <mergeCell ref="B42:C42"/>
    <mergeCell ref="B43:C43"/>
    <mergeCell ref="B44:C44"/>
    <mergeCell ref="B45:C45"/>
    <mergeCell ref="B55:C55"/>
    <mergeCell ref="B56:C56"/>
    <mergeCell ref="B127:C127"/>
    <mergeCell ref="B128:C128"/>
    <mergeCell ref="B129:C129"/>
    <mergeCell ref="B63:C63"/>
    <mergeCell ref="B64:C64"/>
    <mergeCell ref="B65:C65"/>
    <mergeCell ref="B66:C66"/>
    <mergeCell ref="B67:C67"/>
    <mergeCell ref="B68:C68"/>
    <mergeCell ref="B57:C57"/>
    <mergeCell ref="B58:C58"/>
    <mergeCell ref="B59:C59"/>
    <mergeCell ref="B60:C60"/>
    <mergeCell ref="B61:C61"/>
    <mergeCell ref="B62:C62"/>
    <mergeCell ref="B75:C75"/>
    <mergeCell ref="B76:C76"/>
    <mergeCell ref="B77:C77"/>
    <mergeCell ref="B78:C78"/>
    <mergeCell ref="B79:C79"/>
    <mergeCell ref="B80:C80"/>
    <mergeCell ref="B69:C69"/>
    <mergeCell ref="B70:C70"/>
    <mergeCell ref="B71:C71"/>
    <mergeCell ref="B72:C72"/>
    <mergeCell ref="B73:C73"/>
    <mergeCell ref="B74:C74"/>
    <mergeCell ref="B87:C87"/>
    <mergeCell ref="B88:C88"/>
    <mergeCell ref="B89:C89"/>
    <mergeCell ref="B90:C90"/>
    <mergeCell ref="B91:C91"/>
    <mergeCell ref="B92:C92"/>
    <mergeCell ref="B81:C81"/>
    <mergeCell ref="B82:C82"/>
    <mergeCell ref="B83:C83"/>
    <mergeCell ref="B84:C84"/>
    <mergeCell ref="B85:C85"/>
    <mergeCell ref="B86:C86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7:C117"/>
    <mergeCell ref="B118:C118"/>
    <mergeCell ref="B111:C111"/>
    <mergeCell ref="B112:C112"/>
    <mergeCell ref="B113:C113"/>
    <mergeCell ref="B114:C114"/>
    <mergeCell ref="B115:C115"/>
    <mergeCell ref="B116:C116"/>
    <mergeCell ref="B105:C105"/>
    <mergeCell ref="B106:C106"/>
    <mergeCell ref="B107:C107"/>
    <mergeCell ref="B108:C108"/>
    <mergeCell ref="B109:C109"/>
    <mergeCell ref="B110:C110"/>
  </mergeCells>
  <conditionalFormatting sqref="B10:K135">
    <cfRule type="expression" dxfId="19" priority="3" stopIfTrue="1">
      <formula>$I10&gt;0</formula>
    </cfRule>
    <cfRule type="expression" dxfId="18" priority="4" stopIfTrue="1">
      <formula>$K10=100%</formula>
    </cfRule>
  </conditionalFormatting>
  <conditionalFormatting sqref="D10:K135">
    <cfRule type="expression" dxfId="17" priority="1" stopIfTrue="1">
      <formula>$K10=""</formula>
    </cfRule>
    <cfRule type="expression" dxfId="16" priority="2" stopIfTrue="1">
      <formula>$K10&gt;100%</formula>
    </cfRule>
  </conditionalFormatting>
  <pageMargins left="0.7" right="0.7" top="0.75" bottom="0.75" header="0.3" footer="0.3"/>
  <pageSetup scale="78" orientation="portrait" verticalDpi="1200" r:id="rId1"/>
  <colBreaks count="1" manualBreakCount="1">
    <brk id="11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48"/>
  <sheetViews>
    <sheetView showGridLines="0" zoomScale="90" zoomScaleNormal="90" workbookViewId="0">
      <selection activeCell="I17" sqref="I17"/>
    </sheetView>
  </sheetViews>
  <sheetFormatPr defaultColWidth="6.59765625" defaultRowHeight="15.75"/>
  <cols>
    <col min="1" max="1" width="4.8984375" style="1" customWidth="1"/>
    <col min="2" max="2" width="5.69921875" style="1" customWidth="1"/>
    <col min="3" max="3" width="15.19921875" style="1" customWidth="1"/>
    <col min="4" max="5" width="10.59765625" style="1" customWidth="1"/>
    <col min="6" max="9" width="10.69921875" style="1" customWidth="1"/>
    <col min="10" max="10" width="10.59765625" style="1" customWidth="1"/>
    <col min="11" max="11" width="5.09765625" style="18" customWidth="1"/>
    <col min="12" max="13" width="4.69921875" style="1" customWidth="1"/>
    <col min="14" max="16384" width="6.59765625" style="1"/>
  </cols>
  <sheetData>
    <row r="1" spans="1:13" ht="16.350000000000001" customHeight="1">
      <c r="A1" s="171" t="s">
        <v>18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</row>
    <row r="2" spans="1:13">
      <c r="A2" s="174"/>
      <c r="B2" s="153"/>
      <c r="C2" s="153"/>
      <c r="D2" s="153"/>
      <c r="E2" s="153"/>
      <c r="F2" s="153"/>
      <c r="G2" s="153"/>
      <c r="H2" s="153"/>
      <c r="I2" s="153"/>
      <c r="J2" s="153"/>
      <c r="K2" s="175"/>
    </row>
    <row r="3" spans="1:13">
      <c r="A3" s="74"/>
      <c r="B3" s="13" t="s">
        <v>7</v>
      </c>
      <c r="C3" s="35" t="str">
        <f>'SCHEDULE OF VALUE WORKSHEET'!$B$3</f>
        <v>Angeleno Investments</v>
      </c>
      <c r="F3" s="6"/>
      <c r="G3" s="28"/>
      <c r="H3" s="55"/>
      <c r="I3" s="41" t="s">
        <v>5</v>
      </c>
      <c r="J3" s="38">
        <f>SUM(J137)</f>
        <v>0</v>
      </c>
      <c r="K3" s="80" t="e">
        <f>SUM(J3)/J7</f>
        <v>#REF!</v>
      </c>
    </row>
    <row r="4" spans="1:13" ht="16.350000000000001" customHeight="1">
      <c r="A4" s="74"/>
      <c r="B4" s="34" t="s">
        <v>0</v>
      </c>
      <c r="C4" s="36">
        <f ca="1">TODAY()</f>
        <v>45978</v>
      </c>
      <c r="D4" s="36"/>
      <c r="E4" s="36"/>
      <c r="F4" s="15"/>
      <c r="G4" s="3"/>
      <c r="H4" s="75"/>
      <c r="I4" s="41" t="s">
        <v>13</v>
      </c>
      <c r="J4" s="38" t="e">
        <f>SUM(H137)</f>
        <v>#REF!</v>
      </c>
      <c r="K4" s="80"/>
    </row>
    <row r="5" spans="1:13">
      <c r="A5" s="74"/>
      <c r="B5" s="34" t="s">
        <v>6</v>
      </c>
      <c r="C5" s="37" t="str">
        <f>'SCHEDULE OF VALUE WORKSHEET'!B5</f>
        <v>10910 Huston Street</v>
      </c>
      <c r="F5" s="56"/>
      <c r="G5" s="57"/>
      <c r="H5" s="75"/>
      <c r="I5" s="41" t="s">
        <v>14</v>
      </c>
      <c r="J5" s="38" t="e">
        <f>SUM(D137)</f>
        <v>#REF!</v>
      </c>
      <c r="K5" s="80"/>
    </row>
    <row r="6" spans="1:13">
      <c r="A6" s="74"/>
      <c r="B6" s="34" t="s">
        <v>20</v>
      </c>
      <c r="C6" s="48">
        <f>SUM(I137)</f>
        <v>0</v>
      </c>
      <c r="D6" s="6"/>
      <c r="E6" s="6"/>
      <c r="F6" s="6"/>
      <c r="G6" s="57"/>
      <c r="H6" s="75"/>
      <c r="I6" s="42" t="s">
        <v>17</v>
      </c>
      <c r="J6" s="38">
        <f>SUM(F137)</f>
        <v>0</v>
      </c>
      <c r="K6" s="80"/>
    </row>
    <row r="7" spans="1:13">
      <c r="A7" s="78"/>
      <c r="G7" s="28"/>
      <c r="H7" s="20"/>
      <c r="I7" s="34" t="s">
        <v>15</v>
      </c>
      <c r="J7" s="29" t="e">
        <f>SUM(G137)</f>
        <v>#REF!</v>
      </c>
      <c r="K7" s="80"/>
    </row>
    <row r="8" spans="1:13">
      <c r="A8" s="19"/>
      <c r="B8" s="169" t="s">
        <v>1</v>
      </c>
      <c r="C8" s="170"/>
      <c r="D8" s="177" t="s">
        <v>8</v>
      </c>
      <c r="E8" s="102" t="s">
        <v>24</v>
      </c>
      <c r="F8" s="176" t="s">
        <v>26</v>
      </c>
      <c r="G8" s="177" t="s">
        <v>9</v>
      </c>
      <c r="H8" s="30" t="s">
        <v>10</v>
      </c>
      <c r="I8" s="31" t="s">
        <v>12</v>
      </c>
      <c r="J8" s="178" t="s">
        <v>3</v>
      </c>
      <c r="K8" s="179"/>
      <c r="L8" s="12"/>
      <c r="M8" s="12"/>
    </row>
    <row r="9" spans="1:13" ht="14.1" customHeight="1">
      <c r="A9" s="19"/>
      <c r="B9" s="146"/>
      <c r="C9" s="147"/>
      <c r="D9" s="162"/>
      <c r="E9" s="103" t="s">
        <v>25</v>
      </c>
      <c r="F9" s="164"/>
      <c r="G9" s="162"/>
      <c r="H9" s="32" t="s">
        <v>22</v>
      </c>
      <c r="I9" s="33">
        <v>17</v>
      </c>
      <c r="J9" s="180" t="s">
        <v>4</v>
      </c>
      <c r="K9" s="181"/>
      <c r="L9" s="12"/>
      <c r="M9" s="12"/>
    </row>
    <row r="10" spans="1:13" ht="14.1" customHeight="1">
      <c r="A10" s="4">
        <f>'SCHEDULE OF VALUE WORKSHEET'!A7</f>
        <v>1</v>
      </c>
      <c r="B10" s="142" t="str">
        <f>'SCHEDULE OF VALUE WORKSHEET'!B7</f>
        <v>SOFT COSTS</v>
      </c>
      <c r="C10" s="143"/>
      <c r="D10" s="104">
        <f>SUM('SCHEDULE OF VALUE WORKSHEET'!E7)</f>
        <v>0</v>
      </c>
      <c r="E10" s="104">
        <f>SUM('Draw #16'!E10:F10)</f>
        <v>0</v>
      </c>
      <c r="F10" s="105">
        <v>0</v>
      </c>
      <c r="G10" s="104">
        <f>SUM('Draw #16'!G10)+F10</f>
        <v>0</v>
      </c>
      <c r="H10" s="109">
        <f>SUM(G10-J10)</f>
        <v>0</v>
      </c>
      <c r="I10" s="110">
        <v>0</v>
      </c>
      <c r="J10" s="109">
        <f>SUM(I10+'Draw #16'!J10)</f>
        <v>0</v>
      </c>
      <c r="K10" s="101" t="str">
        <f>IF(J10=0,"",J10/G10)</f>
        <v/>
      </c>
      <c r="L10" s="9"/>
      <c r="M10" s="9"/>
    </row>
    <row r="11" spans="1:13" ht="14.1" customHeight="1">
      <c r="A11" s="4">
        <f>'SCHEDULE OF VALUE WORKSHEET'!A8</f>
        <v>2</v>
      </c>
      <c r="B11" s="142" t="str">
        <f>'SCHEDULE OF VALUE WORKSHEET'!B8</f>
        <v>Site Security</v>
      </c>
      <c r="C11" s="143"/>
      <c r="D11" s="104">
        <f>SUM('SCHEDULE OF VALUE WORKSHEET'!E8)</f>
        <v>10580.63</v>
      </c>
      <c r="E11" s="104">
        <f>SUM('Draw #16'!E11:F11)</f>
        <v>0</v>
      </c>
      <c r="F11" s="105">
        <v>0</v>
      </c>
      <c r="G11" s="104">
        <f>SUM('Draw #16'!G11)+F11</f>
        <v>10580.63</v>
      </c>
      <c r="H11" s="109">
        <f t="shared" ref="H11:H74" si="0">SUM(G11-J11)</f>
        <v>10580.63</v>
      </c>
      <c r="I11" s="110">
        <v>0</v>
      </c>
      <c r="J11" s="109">
        <f>SUM(I11+'Draw #16'!J11)</f>
        <v>0</v>
      </c>
      <c r="K11" s="101" t="str">
        <f t="shared" ref="K11:K74" si="1">IF(J11=0,"",J11/G11)</f>
        <v/>
      </c>
      <c r="L11" s="9"/>
      <c r="M11" s="9"/>
    </row>
    <row r="12" spans="1:13" ht="14.1" customHeight="1">
      <c r="A12" s="4">
        <f>'SCHEDULE OF VALUE WORKSHEET'!A9</f>
        <v>3</v>
      </c>
      <c r="B12" s="142" t="str">
        <f>'SCHEDULE OF VALUE WORKSHEET'!B9</f>
        <v>Soils Inspection</v>
      </c>
      <c r="C12" s="143"/>
      <c r="D12" s="104">
        <f>SUM('SCHEDULE OF VALUE WORKSHEET'!E9)</f>
        <v>0</v>
      </c>
      <c r="E12" s="104">
        <f>SUM('Draw #16'!E12:F12)</f>
        <v>0</v>
      </c>
      <c r="F12" s="105">
        <v>0</v>
      </c>
      <c r="G12" s="104">
        <f>SUM('Draw #16'!G12)+F12</f>
        <v>0</v>
      </c>
      <c r="H12" s="109">
        <f t="shared" si="0"/>
        <v>0</v>
      </c>
      <c r="I12" s="110">
        <v>0</v>
      </c>
      <c r="J12" s="109">
        <f>SUM(I12+'Draw #16'!J12)</f>
        <v>0</v>
      </c>
      <c r="K12" s="101" t="str">
        <f t="shared" si="1"/>
        <v/>
      </c>
      <c r="L12" s="9"/>
      <c r="M12" s="9"/>
    </row>
    <row r="13" spans="1:13" ht="14.1" customHeight="1">
      <c r="A13" s="4">
        <f>'SCHEDULE OF VALUE WORKSHEET'!A10</f>
        <v>4</v>
      </c>
      <c r="B13" s="142" t="str">
        <f>'SCHEDULE OF VALUE WORKSHEET'!B10</f>
        <v>Offsites (Transformer)</v>
      </c>
      <c r="C13" s="143"/>
      <c r="D13" s="104">
        <f>SUM('SCHEDULE OF VALUE WORKSHEET'!E10)</f>
        <v>20000</v>
      </c>
      <c r="E13" s="104">
        <f>SUM('Draw #16'!E13:F13)</f>
        <v>0</v>
      </c>
      <c r="F13" s="105">
        <v>0</v>
      </c>
      <c r="G13" s="104">
        <f>SUM('Draw #16'!G13)+F13</f>
        <v>20000</v>
      </c>
      <c r="H13" s="109">
        <f t="shared" si="0"/>
        <v>20000</v>
      </c>
      <c r="I13" s="110">
        <v>0</v>
      </c>
      <c r="J13" s="109">
        <f>SUM(I13+'Draw #16'!J13)</f>
        <v>0</v>
      </c>
      <c r="K13" s="101" t="str">
        <f t="shared" si="1"/>
        <v/>
      </c>
      <c r="L13" s="9"/>
      <c r="M13" s="9"/>
    </row>
    <row r="14" spans="1:13" ht="14.1" customHeight="1">
      <c r="A14" s="4">
        <f>'SCHEDULE OF VALUE WORKSHEET'!A11</f>
        <v>5</v>
      </c>
      <c r="B14" s="142" t="str">
        <f>'SCHEDULE OF VALUE WORKSHEET'!B11</f>
        <v>Plan Check Fees</v>
      </c>
      <c r="C14" s="143"/>
      <c r="D14" s="104">
        <f>SUM('SCHEDULE OF VALUE WORKSHEET'!E11)</f>
        <v>0</v>
      </c>
      <c r="E14" s="104">
        <f>SUM('Draw #16'!E14:F14)</f>
        <v>0</v>
      </c>
      <c r="F14" s="105">
        <v>0</v>
      </c>
      <c r="G14" s="104">
        <f>SUM('Draw #16'!G14)+F14</f>
        <v>0</v>
      </c>
      <c r="H14" s="109">
        <f t="shared" si="0"/>
        <v>0</v>
      </c>
      <c r="I14" s="110">
        <v>0</v>
      </c>
      <c r="J14" s="109">
        <f>SUM(I14+'Draw #16'!J14)</f>
        <v>0</v>
      </c>
      <c r="K14" s="101" t="str">
        <f t="shared" si="1"/>
        <v/>
      </c>
      <c r="L14" s="9"/>
      <c r="M14" s="9"/>
    </row>
    <row r="15" spans="1:13" ht="14.1" customHeight="1">
      <c r="A15" s="4">
        <f>'SCHEDULE OF VALUE WORKSHEET'!A12</f>
        <v>6</v>
      </c>
      <c r="B15" s="142" t="str">
        <f>'SCHEDULE OF VALUE WORKSHEET'!B12</f>
        <v>Permits</v>
      </c>
      <c r="C15" s="143"/>
      <c r="D15" s="104">
        <f>SUM('SCHEDULE OF VALUE WORKSHEET'!E12)</f>
        <v>0</v>
      </c>
      <c r="E15" s="104">
        <f>SUM('Draw #16'!E15:F15)</f>
        <v>0</v>
      </c>
      <c r="F15" s="105">
        <v>0</v>
      </c>
      <c r="G15" s="104">
        <f>SUM('Draw #16'!G15)+F15</f>
        <v>0</v>
      </c>
      <c r="H15" s="109">
        <f t="shared" si="0"/>
        <v>0</v>
      </c>
      <c r="I15" s="110">
        <v>0</v>
      </c>
      <c r="J15" s="109">
        <f>SUM(I15+'Draw #16'!J15)</f>
        <v>0</v>
      </c>
      <c r="K15" s="101" t="str">
        <f t="shared" si="1"/>
        <v/>
      </c>
      <c r="L15" s="9"/>
      <c r="M15" s="9"/>
    </row>
    <row r="16" spans="1:13" ht="14.1" customHeight="1">
      <c r="A16" s="4">
        <f>'SCHEDULE OF VALUE WORKSHEET'!A13</f>
        <v>7</v>
      </c>
      <c r="B16" s="142" t="str">
        <f>'SCHEDULE OF VALUE WORKSHEET'!B13</f>
        <v>Survey</v>
      </c>
      <c r="C16" s="143"/>
      <c r="D16" s="104">
        <f>SUM('SCHEDULE OF VALUE WORKSHEET'!E13)</f>
        <v>0</v>
      </c>
      <c r="E16" s="104">
        <f>SUM('Draw #16'!E16:F16)</f>
        <v>0</v>
      </c>
      <c r="F16" s="105">
        <v>0</v>
      </c>
      <c r="G16" s="104">
        <f>SUM('Draw #16'!G16)+F16</f>
        <v>0</v>
      </c>
      <c r="H16" s="109">
        <f t="shared" si="0"/>
        <v>0</v>
      </c>
      <c r="I16" s="110">
        <v>0</v>
      </c>
      <c r="J16" s="109">
        <f>SUM(I16+'Draw #16'!J16)</f>
        <v>0</v>
      </c>
      <c r="K16" s="101" t="str">
        <f t="shared" si="1"/>
        <v/>
      </c>
      <c r="L16" s="9"/>
      <c r="M16" s="9"/>
    </row>
    <row r="17" spans="1:13" ht="14.1" customHeight="1">
      <c r="A17" s="4">
        <f>'SCHEDULE OF VALUE WORKSHEET'!A14</f>
        <v>8</v>
      </c>
      <c r="B17" s="142" t="str">
        <f>'SCHEDULE OF VALUE WORKSHEET'!B14</f>
        <v>Soils Engineer</v>
      </c>
      <c r="C17" s="143"/>
      <c r="D17" s="104">
        <f>SUM('SCHEDULE OF VALUE WORKSHEET'!E14)</f>
        <v>0</v>
      </c>
      <c r="E17" s="104">
        <f>SUM('Draw #16'!E17:F17)</f>
        <v>0</v>
      </c>
      <c r="F17" s="105">
        <v>0</v>
      </c>
      <c r="G17" s="104">
        <f>SUM('Draw #16'!G17)+F17</f>
        <v>0</v>
      </c>
      <c r="H17" s="109">
        <f t="shared" si="0"/>
        <v>0</v>
      </c>
      <c r="I17" s="110">
        <v>0</v>
      </c>
      <c r="J17" s="109">
        <f>SUM(I17+'Draw #16'!J17)</f>
        <v>0</v>
      </c>
      <c r="K17" s="101" t="str">
        <f t="shared" si="1"/>
        <v/>
      </c>
      <c r="L17" s="9"/>
      <c r="M17" s="9"/>
    </row>
    <row r="18" spans="1:13" ht="14.1" customHeight="1">
      <c r="A18" s="4">
        <f>'SCHEDULE OF VALUE WORKSHEET'!A15</f>
        <v>9</v>
      </c>
      <c r="B18" s="142" t="str">
        <f>'SCHEDULE OF VALUE WORKSHEET'!B15</f>
        <v>Soils Permit + T24</v>
      </c>
      <c r="C18" s="143"/>
      <c r="D18" s="104">
        <f>SUM('SCHEDULE OF VALUE WORKSHEET'!E15)</f>
        <v>2500</v>
      </c>
      <c r="E18" s="104">
        <f>SUM('Draw #16'!E18:F18)</f>
        <v>0</v>
      </c>
      <c r="F18" s="105">
        <v>0</v>
      </c>
      <c r="G18" s="104">
        <f>SUM('Draw #16'!G18)+F18</f>
        <v>2500</v>
      </c>
      <c r="H18" s="109">
        <f t="shared" si="0"/>
        <v>2500</v>
      </c>
      <c r="I18" s="110">
        <v>0</v>
      </c>
      <c r="J18" s="109">
        <f>SUM(I18+'Draw #16'!J18)</f>
        <v>0</v>
      </c>
      <c r="K18" s="101" t="str">
        <f t="shared" si="1"/>
        <v/>
      </c>
      <c r="L18" s="9"/>
      <c r="M18" s="9"/>
    </row>
    <row r="19" spans="1:13" ht="14.1" customHeight="1">
      <c r="A19" s="4">
        <f>'SCHEDULE OF VALUE WORKSHEET'!A16</f>
        <v>10</v>
      </c>
      <c r="B19" s="142" t="str">
        <f>'SCHEDULE OF VALUE WORKSHEET'!B16</f>
        <v>Special Inspections - Deputy</v>
      </c>
      <c r="C19" s="143"/>
      <c r="D19" s="104">
        <f>SUM('SCHEDULE OF VALUE WORKSHEET'!E16)</f>
        <v>15000</v>
      </c>
      <c r="E19" s="104">
        <f>SUM('Draw #16'!E19:F19)</f>
        <v>0</v>
      </c>
      <c r="F19" s="105">
        <v>0</v>
      </c>
      <c r="G19" s="104">
        <f>SUM('Draw #16'!G19)+F19</f>
        <v>15000</v>
      </c>
      <c r="H19" s="109">
        <f t="shared" si="0"/>
        <v>15000</v>
      </c>
      <c r="I19" s="110">
        <v>0</v>
      </c>
      <c r="J19" s="109">
        <f>SUM(I19+'Draw #16'!J19)</f>
        <v>0</v>
      </c>
      <c r="K19" s="101" t="str">
        <f t="shared" si="1"/>
        <v/>
      </c>
      <c r="L19" s="9"/>
      <c r="M19" s="9"/>
    </row>
    <row r="20" spans="1:13" ht="14.1" customHeight="1">
      <c r="A20" s="4">
        <f>'SCHEDULE OF VALUE WORKSHEET'!A17</f>
        <v>11</v>
      </c>
      <c r="B20" s="142" t="str">
        <f>'SCHEDULE OF VALUE WORKSHEET'!B17</f>
        <v>Architect</v>
      </c>
      <c r="C20" s="143"/>
      <c r="D20" s="104">
        <f>SUM('SCHEDULE OF VALUE WORKSHEET'!E17)</f>
        <v>0</v>
      </c>
      <c r="E20" s="104">
        <f>SUM('Draw #16'!E20:F20)</f>
        <v>0</v>
      </c>
      <c r="F20" s="105">
        <v>0</v>
      </c>
      <c r="G20" s="104">
        <f>SUM('Draw #16'!G20)+F20</f>
        <v>0</v>
      </c>
      <c r="H20" s="109">
        <f t="shared" si="0"/>
        <v>0</v>
      </c>
      <c r="I20" s="110">
        <v>0</v>
      </c>
      <c r="J20" s="109">
        <f>SUM(I20+'Draw #16'!J20)</f>
        <v>0</v>
      </c>
      <c r="K20" s="101" t="str">
        <f t="shared" si="1"/>
        <v/>
      </c>
      <c r="L20" s="9"/>
      <c r="M20" s="9"/>
    </row>
    <row r="21" spans="1:13" ht="14.1" customHeight="1">
      <c r="A21" s="4">
        <f>'SCHEDULE OF VALUE WORKSHEET'!A18</f>
        <v>12</v>
      </c>
      <c r="B21" s="142" t="str">
        <f>'SCHEDULE OF VALUE WORKSHEET'!B18</f>
        <v>Structural Engineer</v>
      </c>
      <c r="C21" s="143"/>
      <c r="D21" s="104">
        <f>SUM('SCHEDULE OF VALUE WORKSHEET'!E18)</f>
        <v>0</v>
      </c>
      <c r="E21" s="104">
        <f>SUM('Draw #16'!E21:F21)</f>
        <v>0</v>
      </c>
      <c r="F21" s="105">
        <v>0</v>
      </c>
      <c r="G21" s="104">
        <f>SUM('Draw #16'!G21)+F21</f>
        <v>0</v>
      </c>
      <c r="H21" s="109">
        <f t="shared" si="0"/>
        <v>0</v>
      </c>
      <c r="I21" s="110">
        <v>0</v>
      </c>
      <c r="J21" s="109">
        <f>SUM(I21+'Draw #16'!J21)</f>
        <v>0</v>
      </c>
      <c r="K21" s="101" t="str">
        <f t="shared" si="1"/>
        <v/>
      </c>
      <c r="L21" s="9"/>
      <c r="M21" s="9"/>
    </row>
    <row r="22" spans="1:13" ht="14.1" customHeight="1">
      <c r="A22" s="4">
        <f>'SCHEDULE OF VALUE WORKSHEET'!A19</f>
        <v>13</v>
      </c>
      <c r="B22" s="142" t="str">
        <f>'SCHEDULE OF VALUE WORKSHEET'!B19</f>
        <v>Structural Observation</v>
      </c>
      <c r="C22" s="143"/>
      <c r="D22" s="104">
        <f>SUM('SCHEDULE OF VALUE WORKSHEET'!E19)</f>
        <v>8000</v>
      </c>
      <c r="E22" s="104">
        <f>SUM('Draw #16'!E22:F22)</f>
        <v>0</v>
      </c>
      <c r="F22" s="105">
        <v>0</v>
      </c>
      <c r="G22" s="104">
        <f>SUM('Draw #16'!G22)+F22</f>
        <v>8000</v>
      </c>
      <c r="H22" s="109">
        <f t="shared" si="0"/>
        <v>8000</v>
      </c>
      <c r="I22" s="110">
        <v>0</v>
      </c>
      <c r="J22" s="109">
        <f>SUM(I22+'Draw #16'!J22)</f>
        <v>0</v>
      </c>
      <c r="K22" s="101" t="str">
        <f t="shared" si="1"/>
        <v/>
      </c>
      <c r="L22" s="9"/>
      <c r="M22" s="9"/>
    </row>
    <row r="23" spans="1:13" ht="14.1" customHeight="1">
      <c r="A23" s="4">
        <f>'SCHEDULE OF VALUE WORKSHEET'!A20</f>
        <v>14</v>
      </c>
      <c r="B23" s="142" t="str">
        <f>'SCHEDULE OF VALUE WORKSHEET'!B20</f>
        <v>Civil Engineering</v>
      </c>
      <c r="C23" s="143"/>
      <c r="D23" s="104">
        <f>SUM('SCHEDULE OF VALUE WORKSHEET'!E20)</f>
        <v>0</v>
      </c>
      <c r="E23" s="104">
        <f>SUM('Draw #16'!E23:F23)</f>
        <v>0</v>
      </c>
      <c r="F23" s="105">
        <v>0</v>
      </c>
      <c r="G23" s="104">
        <f>SUM('Draw #16'!G23)+F23</f>
        <v>0</v>
      </c>
      <c r="H23" s="109">
        <f t="shared" si="0"/>
        <v>0</v>
      </c>
      <c r="I23" s="110">
        <v>0</v>
      </c>
      <c r="J23" s="109">
        <f>SUM(I23+'Draw #16'!J23)</f>
        <v>0</v>
      </c>
      <c r="K23" s="101" t="str">
        <f t="shared" si="1"/>
        <v/>
      </c>
      <c r="L23" s="9"/>
      <c r="M23" s="9"/>
    </row>
    <row r="24" spans="1:13" ht="14.1" customHeight="1">
      <c r="A24" s="4">
        <f>'SCHEDULE OF VALUE WORKSHEET'!A21</f>
        <v>15</v>
      </c>
      <c r="B24" s="142" t="str">
        <f>'SCHEDULE OF VALUE WORKSHEET'!B21</f>
        <v>Grading Permit</v>
      </c>
      <c r="C24" s="143"/>
      <c r="D24" s="104">
        <f>SUM('SCHEDULE OF VALUE WORKSHEET'!E21)</f>
        <v>0</v>
      </c>
      <c r="E24" s="104">
        <f>SUM('Draw #16'!E24:F24)</f>
        <v>0</v>
      </c>
      <c r="F24" s="105">
        <v>0</v>
      </c>
      <c r="G24" s="104">
        <f>SUM('Draw #16'!G24)+F24</f>
        <v>0</v>
      </c>
      <c r="H24" s="109">
        <f t="shared" si="0"/>
        <v>0</v>
      </c>
      <c r="I24" s="110">
        <v>0</v>
      </c>
      <c r="J24" s="109">
        <f>SUM(I24+'Draw #16'!J24)</f>
        <v>0</v>
      </c>
      <c r="K24" s="101" t="str">
        <f t="shared" si="1"/>
        <v/>
      </c>
      <c r="L24" s="9"/>
      <c r="M24" s="9"/>
    </row>
    <row r="25" spans="1:13" ht="14.1" customHeight="1">
      <c r="A25" s="4">
        <f>'SCHEDULE OF VALUE WORKSHEET'!A22</f>
        <v>16</v>
      </c>
      <c r="B25" s="142" t="str">
        <f>'SCHEDULE OF VALUE WORKSHEET'!B22</f>
        <v>Landscape Architect/Designer</v>
      </c>
      <c r="C25" s="143"/>
      <c r="D25" s="104">
        <f>SUM('SCHEDULE OF VALUE WORKSHEET'!E22)</f>
        <v>0</v>
      </c>
      <c r="E25" s="104">
        <f>SUM('Draw #16'!E25:F25)</f>
        <v>0</v>
      </c>
      <c r="F25" s="105">
        <v>0</v>
      </c>
      <c r="G25" s="104">
        <f>SUM('Draw #16'!G25)+F25</f>
        <v>0</v>
      </c>
      <c r="H25" s="109">
        <f t="shared" si="0"/>
        <v>0</v>
      </c>
      <c r="I25" s="110">
        <v>0</v>
      </c>
      <c r="J25" s="109">
        <f>SUM(I25+'Draw #16'!J25)</f>
        <v>0</v>
      </c>
      <c r="K25" s="101" t="str">
        <f t="shared" si="1"/>
        <v/>
      </c>
      <c r="L25" s="9"/>
      <c r="M25" s="9"/>
    </row>
    <row r="26" spans="1:13" ht="14.1" customHeight="1">
      <c r="A26" s="4">
        <f>'SCHEDULE OF VALUE WORKSHEET'!A23</f>
        <v>17</v>
      </c>
      <c r="B26" s="142" t="str">
        <f>'SCHEDULE OF VALUE WORKSHEET'!B23</f>
        <v>Driveway Apron Permit</v>
      </c>
      <c r="C26" s="143"/>
      <c r="D26" s="104">
        <f>SUM('SCHEDULE OF VALUE WORKSHEET'!E23)</f>
        <v>2500</v>
      </c>
      <c r="E26" s="104">
        <f>SUM('Draw #16'!E26:F26)</f>
        <v>0</v>
      </c>
      <c r="F26" s="105">
        <v>0</v>
      </c>
      <c r="G26" s="104">
        <f>SUM('Draw #16'!G26)+F26</f>
        <v>2500</v>
      </c>
      <c r="H26" s="109">
        <f t="shared" si="0"/>
        <v>2500</v>
      </c>
      <c r="I26" s="110">
        <v>0</v>
      </c>
      <c r="J26" s="109">
        <f>SUM(I26+'Draw #16'!J26)</f>
        <v>0</v>
      </c>
      <c r="K26" s="101" t="str">
        <f t="shared" si="1"/>
        <v/>
      </c>
      <c r="L26" s="9"/>
      <c r="M26" s="9"/>
    </row>
    <row r="27" spans="1:13" ht="14.1" customHeight="1">
      <c r="A27" s="4">
        <f>'SCHEDULE OF VALUE WORKSHEET'!A24</f>
        <v>18</v>
      </c>
      <c r="B27" s="142" t="str">
        <f>'SCHEDULE OF VALUE WORKSHEET'!B24</f>
        <v>Punch List - Misc.</v>
      </c>
      <c r="C27" s="143"/>
      <c r="D27" s="104">
        <f>SUM('SCHEDULE OF VALUE WORKSHEET'!E24)</f>
        <v>21962.77</v>
      </c>
      <c r="E27" s="104">
        <f>SUM('Draw #16'!E27:F27)</f>
        <v>0</v>
      </c>
      <c r="F27" s="105">
        <v>0</v>
      </c>
      <c r="G27" s="104">
        <f>SUM('Draw #16'!G27)+F27</f>
        <v>21962.77</v>
      </c>
      <c r="H27" s="109">
        <f t="shared" si="0"/>
        <v>21962.77</v>
      </c>
      <c r="I27" s="110">
        <v>0</v>
      </c>
      <c r="J27" s="109">
        <f>SUM(I27+'Draw #16'!J27)</f>
        <v>0</v>
      </c>
      <c r="K27" s="101" t="str">
        <f t="shared" si="1"/>
        <v/>
      </c>
      <c r="L27" s="9"/>
      <c r="M27" s="9"/>
    </row>
    <row r="28" spans="1:13" ht="14.1" customHeight="1">
      <c r="A28" s="4">
        <f>'SCHEDULE OF VALUE WORKSHEET'!A25</f>
        <v>19</v>
      </c>
      <c r="B28" s="142" t="str">
        <f>'SCHEDULE OF VALUE WORKSHEET'!B25</f>
        <v>EBM, Low Voltage, Landscape, Waterproofing CA</v>
      </c>
      <c r="C28" s="143"/>
      <c r="D28" s="104">
        <f>SUM('SCHEDULE OF VALUE WORKSHEET'!E25)</f>
        <v>0</v>
      </c>
      <c r="E28" s="104">
        <f>SUM('Draw #16'!E28:F28)</f>
        <v>0</v>
      </c>
      <c r="F28" s="105">
        <v>0</v>
      </c>
      <c r="G28" s="104">
        <f>SUM('Draw #16'!G28)+F28</f>
        <v>0</v>
      </c>
      <c r="H28" s="109">
        <f t="shared" si="0"/>
        <v>0</v>
      </c>
      <c r="I28" s="110">
        <v>0</v>
      </c>
      <c r="J28" s="109">
        <f>SUM(I28+'Draw #16'!J28)</f>
        <v>0</v>
      </c>
      <c r="K28" s="101" t="str">
        <f t="shared" si="1"/>
        <v/>
      </c>
      <c r="L28" s="9"/>
      <c r="M28" s="9"/>
    </row>
    <row r="29" spans="1:13" ht="14.1" customHeight="1">
      <c r="A29" s="4">
        <f>'SCHEDULE OF VALUE WORKSHEET'!A26</f>
        <v>20</v>
      </c>
      <c r="B29" s="142" t="str">
        <f>'SCHEDULE OF VALUE WORKSHEET'!B26</f>
        <v>Project Accounting/Tax Filing</v>
      </c>
      <c r="C29" s="143"/>
      <c r="D29" s="104">
        <f>SUM('SCHEDULE OF VALUE WORKSHEET'!E26)</f>
        <v>12994.01</v>
      </c>
      <c r="E29" s="104">
        <f>SUM('Draw #16'!E29:F29)</f>
        <v>0</v>
      </c>
      <c r="F29" s="105">
        <v>0</v>
      </c>
      <c r="G29" s="104">
        <f>SUM('Draw #16'!G29)+F29</f>
        <v>12994.01</v>
      </c>
      <c r="H29" s="109">
        <f t="shared" si="0"/>
        <v>12994.01</v>
      </c>
      <c r="I29" s="110">
        <v>0</v>
      </c>
      <c r="J29" s="109">
        <f>SUM(I29+'Draw #16'!J29)</f>
        <v>0</v>
      </c>
      <c r="K29" s="101" t="str">
        <f t="shared" si="1"/>
        <v/>
      </c>
      <c r="L29" s="9"/>
      <c r="M29" s="9"/>
    </row>
    <row r="30" spans="1:13" ht="14.1" customHeight="1">
      <c r="A30" s="4">
        <f>'SCHEDULE OF VALUE WORKSHEET'!A27</f>
        <v>21</v>
      </c>
      <c r="B30" s="142" t="str">
        <f>'SCHEDULE OF VALUE WORKSHEET'!B27</f>
        <v>Legal &amp; Professional Fees</v>
      </c>
      <c r="C30" s="143"/>
      <c r="D30" s="104">
        <f>SUM('SCHEDULE OF VALUE WORKSHEET'!E27)</f>
        <v>873.38999999999942</v>
      </c>
      <c r="E30" s="104">
        <f>SUM('Draw #16'!E30:F30)</f>
        <v>0</v>
      </c>
      <c r="F30" s="105">
        <v>0</v>
      </c>
      <c r="G30" s="104">
        <f>SUM('Draw #16'!G30)+F30</f>
        <v>873.38999999999942</v>
      </c>
      <c r="H30" s="109">
        <f t="shared" si="0"/>
        <v>873.38999999999942</v>
      </c>
      <c r="I30" s="110">
        <v>0</v>
      </c>
      <c r="J30" s="109">
        <f>SUM(I30+'Draw #16'!J30)</f>
        <v>0</v>
      </c>
      <c r="K30" s="101" t="str">
        <f t="shared" si="1"/>
        <v/>
      </c>
      <c r="L30" s="9"/>
      <c r="M30" s="9"/>
    </row>
    <row r="31" spans="1:13" ht="14.1" customHeight="1">
      <c r="A31" s="4">
        <f>'SCHEDULE OF VALUE WORKSHEET'!A28</f>
        <v>22</v>
      </c>
      <c r="B31" s="142" t="str">
        <f>'SCHEDULE OF VALUE WORKSHEET'!B28</f>
        <v>Sewer CCTV and inspection</v>
      </c>
      <c r="C31" s="143"/>
      <c r="D31" s="104">
        <f>SUM('SCHEDULE OF VALUE WORKSHEET'!E28)</f>
        <v>0</v>
      </c>
      <c r="E31" s="104">
        <f>SUM('Draw #16'!E31:F31)</f>
        <v>0</v>
      </c>
      <c r="F31" s="105">
        <v>0</v>
      </c>
      <c r="G31" s="104">
        <f>SUM('Draw #16'!G31)+F31</f>
        <v>0</v>
      </c>
      <c r="H31" s="109">
        <f t="shared" si="0"/>
        <v>0</v>
      </c>
      <c r="I31" s="110">
        <v>0</v>
      </c>
      <c r="J31" s="109">
        <f>SUM(I31+'Draw #16'!J31)</f>
        <v>0</v>
      </c>
      <c r="K31" s="101" t="str">
        <f t="shared" si="1"/>
        <v/>
      </c>
      <c r="L31" s="9"/>
      <c r="M31" s="9"/>
    </row>
    <row r="32" spans="1:13" ht="14.1" customHeight="1">
      <c r="A32" s="4">
        <f>'SCHEDULE OF VALUE WORKSHEET'!A29</f>
        <v>23</v>
      </c>
      <c r="B32" s="142" t="str">
        <f>'SCHEDULE OF VALUE WORKSHEET'!B29</f>
        <v>Environmental Phase I</v>
      </c>
      <c r="C32" s="143"/>
      <c r="D32" s="104">
        <f>SUM('SCHEDULE OF VALUE WORKSHEET'!E29)</f>
        <v>0</v>
      </c>
      <c r="E32" s="104">
        <f>SUM('Draw #16'!E32:F32)</f>
        <v>0</v>
      </c>
      <c r="F32" s="105">
        <v>0</v>
      </c>
      <c r="G32" s="104">
        <f>SUM('Draw #16'!G32)+F32</f>
        <v>0</v>
      </c>
      <c r="H32" s="109">
        <f t="shared" si="0"/>
        <v>0</v>
      </c>
      <c r="I32" s="110">
        <v>0</v>
      </c>
      <c r="J32" s="109">
        <f>SUM(I32+'Draw #16'!J32)</f>
        <v>0</v>
      </c>
      <c r="K32" s="101" t="str">
        <f t="shared" si="1"/>
        <v/>
      </c>
      <c r="L32" s="9"/>
      <c r="M32" s="9"/>
    </row>
    <row r="33" spans="1:13" ht="14.1" customHeight="1">
      <c r="A33" s="4">
        <f>'SCHEDULE OF VALUE WORKSHEET'!A30</f>
        <v>24</v>
      </c>
      <c r="B33" s="142" t="str">
        <f>'SCHEDULE OF VALUE WORKSHEET'!B30</f>
        <v>Dry Utility Consultant</v>
      </c>
      <c r="C33" s="143"/>
      <c r="D33" s="104">
        <f>SUM('SCHEDULE OF VALUE WORKSHEET'!E30)</f>
        <v>0</v>
      </c>
      <c r="E33" s="104">
        <f>SUM('Draw #16'!E33:F33)</f>
        <v>0</v>
      </c>
      <c r="F33" s="105">
        <v>0</v>
      </c>
      <c r="G33" s="104">
        <f>SUM('Draw #16'!G33)+F33</f>
        <v>0</v>
      </c>
      <c r="H33" s="109">
        <f t="shared" si="0"/>
        <v>0</v>
      </c>
      <c r="I33" s="110">
        <v>0</v>
      </c>
      <c r="J33" s="109">
        <f>SUM(I33+'Draw #16'!J33)</f>
        <v>0</v>
      </c>
      <c r="K33" s="101" t="str">
        <f t="shared" si="1"/>
        <v/>
      </c>
      <c r="L33" s="9"/>
      <c r="M33" s="9"/>
    </row>
    <row r="34" spans="1:13" ht="14.1" customHeight="1">
      <c r="A34" s="4">
        <f>'SCHEDULE OF VALUE WORKSHEET'!A31</f>
        <v>25</v>
      </c>
      <c r="B34" s="142" t="str">
        <f>'SCHEDULE OF VALUE WORKSHEET'!B31</f>
        <v>Dry Utility Survey</v>
      </c>
      <c r="C34" s="143"/>
      <c r="D34" s="104">
        <f>SUM('SCHEDULE OF VALUE WORKSHEET'!E31)</f>
        <v>5000</v>
      </c>
      <c r="E34" s="104">
        <f>SUM('Draw #16'!E34:F34)</f>
        <v>0</v>
      </c>
      <c r="F34" s="105">
        <v>0</v>
      </c>
      <c r="G34" s="104">
        <f>SUM('Draw #16'!G34)+F34</f>
        <v>5000</v>
      </c>
      <c r="H34" s="109">
        <f t="shared" si="0"/>
        <v>5000</v>
      </c>
      <c r="I34" s="110">
        <v>0</v>
      </c>
      <c r="J34" s="109">
        <f>SUM(I34+'Draw #16'!J34)</f>
        <v>0</v>
      </c>
      <c r="K34" s="101" t="str">
        <f t="shared" si="1"/>
        <v/>
      </c>
      <c r="L34" s="9"/>
      <c r="M34" s="9"/>
    </row>
    <row r="35" spans="1:13" ht="14.1" customHeight="1">
      <c r="A35" s="4">
        <f>'SCHEDULE OF VALUE WORKSHEET'!A32</f>
        <v>26</v>
      </c>
      <c r="B35" s="142" t="str">
        <f>'SCHEDULE OF VALUE WORKSHEET'!B32</f>
        <v>MEP</v>
      </c>
      <c r="C35" s="143"/>
      <c r="D35" s="104">
        <f>SUM('SCHEDULE OF VALUE WORKSHEET'!E32)</f>
        <v>0</v>
      </c>
      <c r="E35" s="104">
        <f>SUM('Draw #16'!E35:F35)</f>
        <v>0</v>
      </c>
      <c r="F35" s="105">
        <v>0</v>
      </c>
      <c r="G35" s="104">
        <f>SUM('Draw #16'!G35)+F35</f>
        <v>0</v>
      </c>
      <c r="H35" s="109">
        <f t="shared" si="0"/>
        <v>0</v>
      </c>
      <c r="I35" s="110">
        <v>0</v>
      </c>
      <c r="J35" s="109">
        <f>SUM(I35+'Draw #16'!J35)</f>
        <v>0</v>
      </c>
      <c r="K35" s="101" t="str">
        <f t="shared" si="1"/>
        <v/>
      </c>
      <c r="L35" s="9"/>
      <c r="M35" s="9"/>
    </row>
    <row r="36" spans="1:13" ht="14.1" customHeight="1">
      <c r="A36" s="4">
        <f>'SCHEDULE OF VALUE WORKSHEET'!A33</f>
        <v>27</v>
      </c>
      <c r="B36" s="142" t="str">
        <f>'SCHEDULE OF VALUE WORKSHEET'!B33</f>
        <v>Civil Construction Administration</v>
      </c>
      <c r="C36" s="143"/>
      <c r="D36" s="104">
        <f>SUM('SCHEDULE OF VALUE WORKSHEET'!E33)</f>
        <v>5000</v>
      </c>
      <c r="E36" s="104">
        <f>SUM('Draw #16'!E36:F36)</f>
        <v>0</v>
      </c>
      <c r="F36" s="105">
        <v>0</v>
      </c>
      <c r="G36" s="104">
        <f>SUM('Draw #16'!G36)+F36</f>
        <v>5000</v>
      </c>
      <c r="H36" s="109">
        <f t="shared" si="0"/>
        <v>5000</v>
      </c>
      <c r="I36" s="110">
        <v>0</v>
      </c>
      <c r="J36" s="109">
        <f>SUM(I36+'Draw #16'!J36)</f>
        <v>0</v>
      </c>
      <c r="K36" s="101" t="str">
        <f t="shared" si="1"/>
        <v/>
      </c>
      <c r="L36" s="9"/>
      <c r="M36" s="9"/>
    </row>
    <row r="37" spans="1:13" ht="14.1" customHeight="1">
      <c r="A37" s="4">
        <f>'SCHEDULE OF VALUE WORKSHEET'!A34</f>
        <v>28</v>
      </c>
      <c r="B37" s="142" t="str">
        <f>'SCHEDULE OF VALUE WORKSHEET'!B34</f>
        <v>Permit Clearances &amp; Agency Reviews</v>
      </c>
      <c r="C37" s="143"/>
      <c r="D37" s="104">
        <f>SUM('SCHEDULE OF VALUE WORKSHEET'!E34)</f>
        <v>0</v>
      </c>
      <c r="E37" s="104">
        <f>SUM('Draw #16'!E37:F37)</f>
        <v>0</v>
      </c>
      <c r="F37" s="105">
        <v>0</v>
      </c>
      <c r="G37" s="104">
        <f>SUM('Draw #16'!G37)+F37</f>
        <v>0</v>
      </c>
      <c r="H37" s="109">
        <f t="shared" si="0"/>
        <v>0</v>
      </c>
      <c r="I37" s="110">
        <v>0</v>
      </c>
      <c r="J37" s="109">
        <f>SUM(I37+'Draw #16'!J37)</f>
        <v>0</v>
      </c>
      <c r="K37" s="101" t="str">
        <f t="shared" si="1"/>
        <v/>
      </c>
      <c r="L37" s="9"/>
      <c r="M37" s="9"/>
    </row>
    <row r="38" spans="1:13" ht="14.1" customHeight="1">
      <c r="A38" s="4">
        <f>'SCHEDULE OF VALUE WORKSHEET'!A35</f>
        <v>29</v>
      </c>
      <c r="B38" s="142" t="str">
        <f>'SCHEDULE OF VALUE WORKSHEET'!B35</f>
        <v>Demo Permit Fees</v>
      </c>
      <c r="C38" s="143"/>
      <c r="D38" s="104">
        <f>SUM('SCHEDULE OF VALUE WORKSHEET'!E35)</f>
        <v>500</v>
      </c>
      <c r="E38" s="104">
        <f>SUM('Draw #16'!E38:F38)</f>
        <v>0</v>
      </c>
      <c r="F38" s="105">
        <v>0</v>
      </c>
      <c r="G38" s="104">
        <f>SUM('Draw #16'!G38)+F38</f>
        <v>500</v>
      </c>
      <c r="H38" s="109">
        <f t="shared" si="0"/>
        <v>500</v>
      </c>
      <c r="I38" s="110">
        <v>0</v>
      </c>
      <c r="J38" s="109">
        <f>SUM(I38+'Draw #16'!J38)</f>
        <v>0</v>
      </c>
      <c r="K38" s="101" t="str">
        <f t="shared" si="1"/>
        <v/>
      </c>
      <c r="L38" s="9"/>
      <c r="M38" s="9"/>
    </row>
    <row r="39" spans="1:13" ht="14.1" customHeight="1">
      <c r="A39" s="4">
        <f>'SCHEDULE OF VALUE WORKSHEET'!A36</f>
        <v>30</v>
      </c>
      <c r="B39" s="142" t="str">
        <f>'SCHEDULE OF VALUE WORKSHEET'!B36</f>
        <v>MEP Fees</v>
      </c>
      <c r="C39" s="143"/>
      <c r="D39" s="104">
        <f>SUM('SCHEDULE OF VALUE WORKSHEET'!E36)</f>
        <v>0</v>
      </c>
      <c r="E39" s="104">
        <f>SUM('Draw #16'!E39:F39)</f>
        <v>0</v>
      </c>
      <c r="F39" s="105">
        <v>0</v>
      </c>
      <c r="G39" s="104">
        <f>SUM('Draw #16'!G39)+F39</f>
        <v>0</v>
      </c>
      <c r="H39" s="109">
        <f t="shared" si="0"/>
        <v>0</v>
      </c>
      <c r="I39" s="110">
        <v>0</v>
      </c>
      <c r="J39" s="109">
        <f>SUM(I39+'Draw #16'!J39)</f>
        <v>0</v>
      </c>
      <c r="K39" s="101" t="str">
        <f t="shared" si="1"/>
        <v/>
      </c>
      <c r="L39" s="9"/>
      <c r="M39" s="9"/>
    </row>
    <row r="40" spans="1:13" ht="14.1" customHeight="1">
      <c r="A40" s="4">
        <f>'SCHEDULE OF VALUE WORKSHEET'!A37</f>
        <v>31</v>
      </c>
      <c r="B40" s="142" t="str">
        <f>'SCHEDULE OF VALUE WORKSHEET'!B37</f>
        <v>Agency Signoffs</v>
      </c>
      <c r="C40" s="143"/>
      <c r="D40" s="104">
        <f>SUM('SCHEDULE OF VALUE WORKSHEET'!E37)</f>
        <v>0</v>
      </c>
      <c r="E40" s="104">
        <f>SUM('Draw #16'!E40:F40)</f>
        <v>0</v>
      </c>
      <c r="F40" s="105">
        <v>0</v>
      </c>
      <c r="G40" s="104">
        <f>SUM('Draw #16'!G40)+F40</f>
        <v>0</v>
      </c>
      <c r="H40" s="109">
        <f t="shared" si="0"/>
        <v>0</v>
      </c>
      <c r="I40" s="110">
        <v>0</v>
      </c>
      <c r="J40" s="109">
        <f>SUM(I40+'Draw #16'!J40)</f>
        <v>0</v>
      </c>
      <c r="K40" s="101" t="str">
        <f t="shared" si="1"/>
        <v/>
      </c>
      <c r="L40" s="9"/>
      <c r="M40" s="9"/>
    </row>
    <row r="41" spans="1:13" ht="14.1" customHeight="1">
      <c r="A41" s="4">
        <f>'SCHEDULE OF VALUE WORKSHEET'!A38</f>
        <v>32</v>
      </c>
      <c r="B41" s="142" t="str">
        <f>'SCHEDULE OF VALUE WORKSHEET'!B38</f>
        <v>Specifications Writer Consultant</v>
      </c>
      <c r="C41" s="143"/>
      <c r="D41" s="104">
        <f>SUM('SCHEDULE OF VALUE WORKSHEET'!E38)</f>
        <v>2000</v>
      </c>
      <c r="E41" s="104">
        <f>SUM('Draw #16'!E41:F41)</f>
        <v>0</v>
      </c>
      <c r="F41" s="105">
        <v>0</v>
      </c>
      <c r="G41" s="104">
        <f>SUM('Draw #16'!G41)+F41</f>
        <v>2000</v>
      </c>
      <c r="H41" s="109">
        <f t="shared" si="0"/>
        <v>2000</v>
      </c>
      <c r="I41" s="110">
        <v>0</v>
      </c>
      <c r="J41" s="109">
        <f>SUM(I41+'Draw #16'!J41)</f>
        <v>0</v>
      </c>
      <c r="K41" s="101" t="str">
        <f t="shared" si="1"/>
        <v/>
      </c>
      <c r="L41" s="9"/>
      <c r="M41" s="9"/>
    </row>
    <row r="42" spans="1:13" ht="14.1" customHeight="1">
      <c r="A42" s="4">
        <f>'SCHEDULE OF VALUE WORKSHEET'!A39</f>
        <v>33</v>
      </c>
      <c r="B42" s="142" t="str">
        <f>'SCHEDULE OF VALUE WORKSHEET'!B39</f>
        <v>Construction Consultant</v>
      </c>
      <c r="C42" s="143"/>
      <c r="D42" s="104">
        <f>SUM('SCHEDULE OF VALUE WORKSHEET'!E39)</f>
        <v>0</v>
      </c>
      <c r="E42" s="104">
        <f>SUM('Draw #16'!E42:F42)</f>
        <v>0</v>
      </c>
      <c r="F42" s="105">
        <v>0</v>
      </c>
      <c r="G42" s="104">
        <f>SUM('Draw #16'!G42)+F42</f>
        <v>0</v>
      </c>
      <c r="H42" s="109">
        <f t="shared" si="0"/>
        <v>0</v>
      </c>
      <c r="I42" s="110">
        <v>0</v>
      </c>
      <c r="J42" s="109">
        <f>SUM(I42+'Draw #16'!J42)</f>
        <v>0</v>
      </c>
      <c r="K42" s="101" t="str">
        <f t="shared" si="1"/>
        <v/>
      </c>
      <c r="L42" s="9"/>
      <c r="M42" s="9"/>
    </row>
    <row r="43" spans="1:13" ht="14.1" customHeight="1">
      <c r="A43" s="4">
        <f>'SCHEDULE OF VALUE WORKSHEET'!A40</f>
        <v>34</v>
      </c>
      <c r="B43" s="142" t="str">
        <f>'SCHEDULE OF VALUE WORKSHEET'!B40</f>
        <v>Low Voltage Consultant</v>
      </c>
      <c r="C43" s="143"/>
      <c r="D43" s="104">
        <f>SUM('SCHEDULE OF VALUE WORKSHEET'!E40)</f>
        <v>15524</v>
      </c>
      <c r="E43" s="104">
        <f>SUM('Draw #16'!E43:F43)</f>
        <v>0</v>
      </c>
      <c r="F43" s="105">
        <v>0</v>
      </c>
      <c r="G43" s="104">
        <f>SUM('Draw #16'!G43)+F43</f>
        <v>15524</v>
      </c>
      <c r="H43" s="109">
        <f t="shared" si="0"/>
        <v>15524</v>
      </c>
      <c r="I43" s="110">
        <v>0</v>
      </c>
      <c r="J43" s="109">
        <f>SUM(I43+'Draw #16'!J43)</f>
        <v>0</v>
      </c>
      <c r="K43" s="101" t="str">
        <f t="shared" si="1"/>
        <v/>
      </c>
      <c r="L43" s="9"/>
      <c r="M43" s="9"/>
    </row>
    <row r="44" spans="1:13" ht="14.1" customHeight="1">
      <c r="A44" s="4">
        <f>'SCHEDULE OF VALUE WORKSHEET'!A41</f>
        <v>35</v>
      </c>
      <c r="B44" s="142" t="str">
        <f>'SCHEDULE OF VALUE WORKSHEET'!B41</f>
        <v>Photovoltaic Consultant</v>
      </c>
      <c r="C44" s="143"/>
      <c r="D44" s="104">
        <f>SUM('SCHEDULE OF VALUE WORKSHEET'!E41)</f>
        <v>5000</v>
      </c>
      <c r="E44" s="104">
        <f>SUM('Draw #16'!E44:F44)</f>
        <v>0</v>
      </c>
      <c r="F44" s="105">
        <v>0</v>
      </c>
      <c r="G44" s="104">
        <f>SUM('Draw #16'!G44)+F44</f>
        <v>5000</v>
      </c>
      <c r="H44" s="109">
        <f t="shared" si="0"/>
        <v>5000</v>
      </c>
      <c r="I44" s="110">
        <v>0</v>
      </c>
      <c r="J44" s="109">
        <f>SUM(I44+'Draw #16'!J44)</f>
        <v>0</v>
      </c>
      <c r="K44" s="101" t="str">
        <f t="shared" si="1"/>
        <v/>
      </c>
      <c r="L44" s="9"/>
      <c r="M44" s="9"/>
    </row>
    <row r="45" spans="1:13" ht="14.1" customHeight="1">
      <c r="A45" s="4">
        <f>'SCHEDULE OF VALUE WORKSHEET'!A42</f>
        <v>36</v>
      </c>
      <c r="B45" s="142" t="str">
        <f>'SCHEDULE OF VALUE WORKSHEET'!B42</f>
        <v>Construction Management / Observation (OO)</v>
      </c>
      <c r="C45" s="143"/>
      <c r="D45" s="104">
        <f>SUM('SCHEDULE OF VALUE WORKSHEET'!E42)</f>
        <v>49427.9</v>
      </c>
      <c r="E45" s="104">
        <f>SUM('Draw #16'!E45:F45)</f>
        <v>0</v>
      </c>
      <c r="F45" s="105">
        <v>0</v>
      </c>
      <c r="G45" s="104">
        <f>SUM('Draw #16'!G45)+F45</f>
        <v>49427.9</v>
      </c>
      <c r="H45" s="109">
        <f t="shared" si="0"/>
        <v>49427.9</v>
      </c>
      <c r="I45" s="110">
        <v>0</v>
      </c>
      <c r="J45" s="109">
        <f>SUM(I45+'Draw #16'!J45)</f>
        <v>0</v>
      </c>
      <c r="K45" s="101" t="str">
        <f t="shared" si="1"/>
        <v/>
      </c>
      <c r="L45" s="9"/>
      <c r="M45" s="9"/>
    </row>
    <row r="46" spans="1:13" ht="14.1" customHeight="1">
      <c r="A46" s="4" t="e">
        <f>'SCHEDULE OF VALUE WORKSHEET'!#REF!</f>
        <v>#REF!</v>
      </c>
      <c r="B46" s="142" t="e">
        <f>'SCHEDULE OF VALUE WORKSHEET'!#REF!</f>
        <v>#REF!</v>
      </c>
      <c r="C46" s="143"/>
      <c r="D46" s="104" t="e">
        <f>SUM('SCHEDULE OF VALUE WORKSHEET'!#REF!)</f>
        <v>#REF!</v>
      </c>
      <c r="E46" s="104">
        <f>SUM('Draw #16'!E46:F46)</f>
        <v>0</v>
      </c>
      <c r="F46" s="105">
        <v>0</v>
      </c>
      <c r="G46" s="104" t="e">
        <f>SUM('Draw #16'!G46)+F46</f>
        <v>#REF!</v>
      </c>
      <c r="H46" s="109" t="e">
        <f t="shared" si="0"/>
        <v>#REF!</v>
      </c>
      <c r="I46" s="110">
        <v>0</v>
      </c>
      <c r="J46" s="109">
        <f>SUM(I46+'Draw #16'!J46)</f>
        <v>0</v>
      </c>
      <c r="K46" s="101" t="str">
        <f t="shared" si="1"/>
        <v/>
      </c>
      <c r="L46" s="9"/>
      <c r="M46" s="9"/>
    </row>
    <row r="47" spans="1:13" ht="14.1" customHeight="1">
      <c r="A47" s="4">
        <f>'SCHEDULE OF VALUE WORKSHEET'!A43</f>
        <v>37</v>
      </c>
      <c r="B47" s="142" t="str">
        <f>'SCHEDULE OF VALUE WORKSHEET'!B43</f>
        <v>CMFA Startup Fee</v>
      </c>
      <c r="C47" s="143"/>
      <c r="D47" s="104">
        <f>SUM('SCHEDULE OF VALUE WORKSHEET'!E43)</f>
        <v>22800</v>
      </c>
      <c r="E47" s="104">
        <f>SUM('Draw #16'!E47:F47)</f>
        <v>0</v>
      </c>
      <c r="F47" s="105">
        <v>0</v>
      </c>
      <c r="G47" s="104">
        <f>SUM('Draw #16'!G47)+F47</f>
        <v>22800</v>
      </c>
      <c r="H47" s="109">
        <f t="shared" si="0"/>
        <v>22800</v>
      </c>
      <c r="I47" s="110">
        <v>0</v>
      </c>
      <c r="J47" s="109">
        <f>SUM(I47+'Draw #16'!J47)</f>
        <v>0</v>
      </c>
      <c r="K47" s="101" t="str">
        <f t="shared" si="1"/>
        <v/>
      </c>
      <c r="L47" s="9"/>
      <c r="M47" s="9"/>
    </row>
    <row r="48" spans="1:13" ht="14.1" customHeight="1">
      <c r="A48" s="4">
        <f>'SCHEDULE OF VALUE WORKSHEET'!A44</f>
        <v>38</v>
      </c>
      <c r="B48" s="142" t="str">
        <f>'SCHEDULE OF VALUE WORKSHEET'!B44</f>
        <v>Non-Profit Start Up Fee</v>
      </c>
      <c r="C48" s="143"/>
      <c r="D48" s="104">
        <f>SUM('SCHEDULE OF VALUE WORKSHEET'!E44)</f>
        <v>25000</v>
      </c>
      <c r="E48" s="104">
        <f>SUM('Draw #16'!E48:F48)</f>
        <v>0</v>
      </c>
      <c r="F48" s="105">
        <v>0</v>
      </c>
      <c r="G48" s="104">
        <f>SUM('Draw #16'!G48)+F48</f>
        <v>25000</v>
      </c>
      <c r="H48" s="109">
        <f t="shared" si="0"/>
        <v>25000</v>
      </c>
      <c r="I48" s="110">
        <v>0</v>
      </c>
      <c r="J48" s="109">
        <f>SUM(I48+'Draw #16'!J48)</f>
        <v>0</v>
      </c>
      <c r="K48" s="101" t="str">
        <f t="shared" si="1"/>
        <v/>
      </c>
      <c r="L48" s="9"/>
      <c r="M48" s="9"/>
    </row>
    <row r="49" spans="1:13" ht="14.1" customHeight="1">
      <c r="A49" s="4">
        <f>'SCHEDULE OF VALUE WORKSHEET'!A45</f>
        <v>39</v>
      </c>
      <c r="B49" s="142" t="str">
        <f>'SCHEDULE OF VALUE WORKSHEET'!B45</f>
        <v>CMFA Construction Fee</v>
      </c>
      <c r="C49" s="143"/>
      <c r="D49" s="104">
        <f>SUM('SCHEDULE OF VALUE WORKSHEET'!E45)</f>
        <v>12000</v>
      </c>
      <c r="E49" s="104">
        <f>SUM('Draw #16'!E49:F49)</f>
        <v>0</v>
      </c>
      <c r="F49" s="105">
        <v>0</v>
      </c>
      <c r="G49" s="104">
        <f>SUM('Draw #16'!G49)+F49</f>
        <v>12000</v>
      </c>
      <c r="H49" s="109">
        <f t="shared" si="0"/>
        <v>12000</v>
      </c>
      <c r="I49" s="110">
        <v>0</v>
      </c>
      <c r="J49" s="109">
        <f>SUM(I49+'Draw #16'!J49)</f>
        <v>0</v>
      </c>
      <c r="K49" s="101" t="str">
        <f t="shared" si="1"/>
        <v/>
      </c>
      <c r="L49" s="9"/>
      <c r="M49" s="9"/>
    </row>
    <row r="50" spans="1:13" ht="14.1" customHeight="1">
      <c r="A50" s="4">
        <f>'SCHEDULE OF VALUE WORKSHEET'!A46</f>
        <v>40</v>
      </c>
      <c r="B50" s="142" t="str">
        <f>'SCHEDULE OF VALUE WORKSHEET'!B46</f>
        <v>Non-Profit Construction Fee</v>
      </c>
      <c r="C50" s="143"/>
      <c r="D50" s="104">
        <f>SUM('SCHEDULE OF VALUE WORKSHEET'!E46)</f>
        <v>10000</v>
      </c>
      <c r="E50" s="104">
        <f>SUM('Draw #16'!E50:F50)</f>
        <v>0</v>
      </c>
      <c r="F50" s="105">
        <v>0</v>
      </c>
      <c r="G50" s="104">
        <f>SUM('Draw #16'!G50)+F50</f>
        <v>10000</v>
      </c>
      <c r="H50" s="109">
        <f t="shared" si="0"/>
        <v>10000</v>
      </c>
      <c r="I50" s="110">
        <v>0</v>
      </c>
      <c r="J50" s="109">
        <f>SUM(I50+'Draw #16'!J50)</f>
        <v>0</v>
      </c>
      <c r="K50" s="101" t="str">
        <f t="shared" si="1"/>
        <v/>
      </c>
      <c r="L50" s="9"/>
      <c r="M50" s="9"/>
    </row>
    <row r="51" spans="1:13" ht="14.1" customHeight="1">
      <c r="A51" s="4">
        <f>'SCHEDULE OF VALUE WORKSHEET'!A47</f>
        <v>41</v>
      </c>
      <c r="B51" s="142" t="str">
        <f>'SCHEDULE OF VALUE WORKSHEET'!B47</f>
        <v>WTE Legal Costs for CMFA &amp; Non-Profit Partner</v>
      </c>
      <c r="C51" s="143"/>
      <c r="D51" s="104">
        <f>SUM('SCHEDULE OF VALUE WORKSHEET'!E47)</f>
        <v>20000</v>
      </c>
      <c r="E51" s="104">
        <f>SUM('Draw #16'!E51:F51)</f>
        <v>0</v>
      </c>
      <c r="F51" s="105">
        <v>0</v>
      </c>
      <c r="G51" s="104">
        <f>SUM('Draw #16'!G51)+F51</f>
        <v>20000</v>
      </c>
      <c r="H51" s="109">
        <f t="shared" si="0"/>
        <v>20000</v>
      </c>
      <c r="I51" s="110">
        <v>0</v>
      </c>
      <c r="J51" s="109">
        <f>SUM(I51+'Draw #16'!J51)</f>
        <v>0</v>
      </c>
      <c r="K51" s="101" t="str">
        <f t="shared" si="1"/>
        <v/>
      </c>
      <c r="L51" s="9"/>
      <c r="M51" s="9"/>
    </row>
    <row r="52" spans="1:13" ht="14.1" customHeight="1">
      <c r="A52" s="4" t="e">
        <f>'SCHEDULE OF VALUE WORKSHEET'!#REF!</f>
        <v>#REF!</v>
      </c>
      <c r="B52" s="142" t="e">
        <f>'SCHEDULE OF VALUE WORKSHEET'!#REF!</f>
        <v>#REF!</v>
      </c>
      <c r="C52" s="143"/>
      <c r="D52" s="104" t="e">
        <f>SUM('SCHEDULE OF VALUE WORKSHEET'!#REF!)</f>
        <v>#REF!</v>
      </c>
      <c r="E52" s="104">
        <f>SUM('Draw #16'!E52:F52)</f>
        <v>0</v>
      </c>
      <c r="F52" s="105">
        <v>0</v>
      </c>
      <c r="G52" s="104" t="e">
        <f>SUM('Draw #16'!G52)+F52</f>
        <v>#REF!</v>
      </c>
      <c r="H52" s="109" t="e">
        <f t="shared" si="0"/>
        <v>#REF!</v>
      </c>
      <c r="I52" s="110">
        <v>0</v>
      </c>
      <c r="J52" s="109">
        <f>SUM(I52+'Draw #16'!J52)</f>
        <v>0</v>
      </c>
      <c r="K52" s="101" t="str">
        <f t="shared" si="1"/>
        <v/>
      </c>
      <c r="L52" s="9"/>
      <c r="M52" s="9"/>
    </row>
    <row r="53" spans="1:13" ht="14.1" customHeight="1">
      <c r="A53" s="4">
        <f>'SCHEDULE OF VALUE WORKSHEET'!A49</f>
        <v>43</v>
      </c>
      <c r="B53" s="142" t="str">
        <f>'SCHEDULE OF VALUE WORKSHEET'!B49</f>
        <v>GENERAL CONDITIONS</v>
      </c>
      <c r="C53" s="143"/>
      <c r="D53" s="104">
        <f>SUM('SCHEDULE OF VALUE WORKSHEET'!E49)</f>
        <v>362115.24</v>
      </c>
      <c r="E53" s="104">
        <f>SUM('Draw #16'!E53:F53)</f>
        <v>0</v>
      </c>
      <c r="F53" s="105">
        <v>0</v>
      </c>
      <c r="G53" s="104">
        <f>SUM('Draw #16'!G53)+F53</f>
        <v>362115.24</v>
      </c>
      <c r="H53" s="109">
        <f t="shared" si="0"/>
        <v>362115.24</v>
      </c>
      <c r="I53" s="110">
        <v>0</v>
      </c>
      <c r="J53" s="109">
        <f>SUM(I53+'Draw #16'!J53)</f>
        <v>0</v>
      </c>
      <c r="K53" s="101" t="str">
        <f t="shared" si="1"/>
        <v/>
      </c>
      <c r="L53" s="9"/>
      <c r="M53" s="9"/>
    </row>
    <row r="54" spans="1:13" ht="14.1" customHeight="1">
      <c r="A54" s="4">
        <f>'SCHEDULE OF VALUE WORKSHEET'!A50</f>
        <v>44</v>
      </c>
      <c r="B54" s="142" t="str">
        <f>'SCHEDULE OF VALUE WORKSHEET'!B50</f>
        <v>GENERAL REQUIREMENT</v>
      </c>
      <c r="C54" s="143"/>
      <c r="D54" s="104">
        <f>SUM('SCHEDULE OF VALUE WORKSHEET'!E50)</f>
        <v>124657.88</v>
      </c>
      <c r="E54" s="104">
        <f>SUM('Draw #16'!E54:F54)</f>
        <v>0</v>
      </c>
      <c r="F54" s="105">
        <v>0</v>
      </c>
      <c r="G54" s="104">
        <f>SUM('Draw #16'!G54)+F54</f>
        <v>124657.88</v>
      </c>
      <c r="H54" s="109">
        <f t="shared" si="0"/>
        <v>124657.88</v>
      </c>
      <c r="I54" s="110">
        <v>0</v>
      </c>
      <c r="J54" s="109">
        <f>SUM(I54+'Draw #16'!J54)</f>
        <v>0</v>
      </c>
      <c r="K54" s="101" t="str">
        <f t="shared" si="1"/>
        <v/>
      </c>
      <c r="L54" s="9"/>
      <c r="M54" s="9"/>
    </row>
    <row r="55" spans="1:13" ht="14.1" customHeight="1">
      <c r="A55" s="4">
        <f>'SCHEDULE OF VALUE WORKSHEET'!A51</f>
        <v>45</v>
      </c>
      <c r="B55" s="142" t="str">
        <f>'SCHEDULE OF VALUE WORKSHEET'!B51</f>
        <v>SITE WORK</v>
      </c>
      <c r="C55" s="143"/>
      <c r="D55" s="104">
        <f>SUM('SCHEDULE OF VALUE WORKSHEET'!E51)</f>
        <v>139049.51</v>
      </c>
      <c r="E55" s="104">
        <f>SUM('Draw #16'!E55:F55)</f>
        <v>0</v>
      </c>
      <c r="F55" s="105">
        <v>0</v>
      </c>
      <c r="G55" s="104">
        <f>SUM('Draw #16'!G55)+F55</f>
        <v>139049.51</v>
      </c>
      <c r="H55" s="109">
        <f t="shared" si="0"/>
        <v>139049.51</v>
      </c>
      <c r="I55" s="110">
        <v>0</v>
      </c>
      <c r="J55" s="109">
        <f>SUM(I55+'Draw #16'!J55)</f>
        <v>0</v>
      </c>
      <c r="K55" s="101" t="str">
        <f t="shared" si="1"/>
        <v/>
      </c>
      <c r="L55" s="9"/>
      <c r="M55" s="9"/>
    </row>
    <row r="56" spans="1:13" ht="14.1" customHeight="1">
      <c r="A56" s="4">
        <f>'SCHEDULE OF VALUE WORKSHEET'!A52</f>
        <v>46</v>
      </c>
      <c r="B56" s="142" t="str">
        <f>'SCHEDULE OF VALUE WORKSHEET'!B52</f>
        <v>CONCRETE</v>
      </c>
      <c r="C56" s="143"/>
      <c r="D56" s="104">
        <f>SUM('SCHEDULE OF VALUE WORKSHEET'!E52)</f>
        <v>253182</v>
      </c>
      <c r="E56" s="104">
        <f>SUM('Draw #16'!E56:F56)</f>
        <v>0</v>
      </c>
      <c r="F56" s="105">
        <v>0</v>
      </c>
      <c r="G56" s="104">
        <f>SUM('Draw #16'!G56)+F56</f>
        <v>253182</v>
      </c>
      <c r="H56" s="109">
        <f t="shared" si="0"/>
        <v>253182</v>
      </c>
      <c r="I56" s="110">
        <v>0</v>
      </c>
      <c r="J56" s="109">
        <f>SUM(I56+'Draw #16'!J56)</f>
        <v>0</v>
      </c>
      <c r="K56" s="101" t="str">
        <f t="shared" si="1"/>
        <v/>
      </c>
      <c r="L56" s="9"/>
      <c r="M56" s="9"/>
    </row>
    <row r="57" spans="1:13" ht="14.1" customHeight="1">
      <c r="A57" s="4">
        <f>'SCHEDULE OF VALUE WORKSHEET'!A53</f>
        <v>47</v>
      </c>
      <c r="B57" s="142" t="str">
        <f>'SCHEDULE OF VALUE WORKSHEET'!B53</f>
        <v>MASONRY</v>
      </c>
      <c r="C57" s="143"/>
      <c r="D57" s="104">
        <f>SUM('SCHEDULE OF VALUE WORKSHEET'!E53)</f>
        <v>3562.64</v>
      </c>
      <c r="E57" s="104">
        <f>SUM('Draw #16'!E57:F57)</f>
        <v>0</v>
      </c>
      <c r="F57" s="105">
        <v>0</v>
      </c>
      <c r="G57" s="104">
        <f>SUM('Draw #16'!G57)+F57</f>
        <v>3562.64</v>
      </c>
      <c r="H57" s="109">
        <f t="shared" si="0"/>
        <v>3562.64</v>
      </c>
      <c r="I57" s="110">
        <v>0</v>
      </c>
      <c r="J57" s="109">
        <f>SUM(I57+'Draw #16'!J57)</f>
        <v>0</v>
      </c>
      <c r="K57" s="101" t="str">
        <f t="shared" si="1"/>
        <v/>
      </c>
      <c r="L57" s="9"/>
      <c r="M57" s="9"/>
    </row>
    <row r="58" spans="1:13" ht="14.1" customHeight="1">
      <c r="A58" s="4">
        <f>'SCHEDULE OF VALUE WORKSHEET'!A54</f>
        <v>48</v>
      </c>
      <c r="B58" s="142" t="str">
        <f>'SCHEDULE OF VALUE WORKSHEET'!B54</f>
        <v>METALS</v>
      </c>
      <c r="C58" s="143"/>
      <c r="D58" s="104">
        <f>SUM('SCHEDULE OF VALUE WORKSHEET'!E54)</f>
        <v>324100</v>
      </c>
      <c r="E58" s="104">
        <f>SUM('Draw #16'!E58:F58)</f>
        <v>0</v>
      </c>
      <c r="F58" s="105">
        <v>0</v>
      </c>
      <c r="G58" s="104">
        <f>SUM('Draw #16'!G58)+F58</f>
        <v>324100</v>
      </c>
      <c r="H58" s="109">
        <f t="shared" si="0"/>
        <v>324100</v>
      </c>
      <c r="I58" s="110">
        <v>0</v>
      </c>
      <c r="J58" s="109">
        <f>SUM(I58+'Draw #16'!J58)</f>
        <v>0</v>
      </c>
      <c r="K58" s="101" t="str">
        <f t="shared" si="1"/>
        <v/>
      </c>
      <c r="L58" s="9"/>
      <c r="M58" s="9"/>
    </row>
    <row r="59" spans="1:13" ht="14.1" customHeight="1">
      <c r="A59" s="4">
        <f>'SCHEDULE OF VALUE WORKSHEET'!A55</f>
        <v>49</v>
      </c>
      <c r="B59" s="142" t="str">
        <f>'SCHEDULE OF VALUE WORKSHEET'!B55</f>
        <v>FRAMING</v>
      </c>
      <c r="C59" s="143"/>
      <c r="D59" s="104">
        <f>SUM('SCHEDULE OF VALUE WORKSHEET'!E55)</f>
        <v>818554</v>
      </c>
      <c r="E59" s="104">
        <f>SUM('Draw #16'!E59:F59)</f>
        <v>0</v>
      </c>
      <c r="F59" s="105">
        <v>0</v>
      </c>
      <c r="G59" s="104">
        <f>SUM('Draw #16'!G59)+F59</f>
        <v>818554</v>
      </c>
      <c r="H59" s="109">
        <f t="shared" si="0"/>
        <v>818554</v>
      </c>
      <c r="I59" s="110">
        <v>0</v>
      </c>
      <c r="J59" s="109">
        <f>SUM(I59+'Draw #16'!J59)</f>
        <v>0</v>
      </c>
      <c r="K59" s="101" t="str">
        <f t="shared" si="1"/>
        <v/>
      </c>
      <c r="L59" s="9"/>
      <c r="M59" s="9"/>
    </row>
    <row r="60" spans="1:13" ht="14.1" customHeight="1">
      <c r="A60" s="4">
        <f>'SCHEDULE OF VALUE WORKSHEET'!A56</f>
        <v>50</v>
      </c>
      <c r="B60" s="142" t="str">
        <f>'SCHEDULE OF VALUE WORKSHEET'!B56</f>
        <v>COUNTERTOPS</v>
      </c>
      <c r="C60" s="143"/>
      <c r="D60" s="104">
        <f>SUM('SCHEDULE OF VALUE WORKSHEET'!E56)</f>
        <v>56930</v>
      </c>
      <c r="E60" s="104">
        <f>SUM('Draw #16'!E60:F60)</f>
        <v>0</v>
      </c>
      <c r="F60" s="105">
        <v>0</v>
      </c>
      <c r="G60" s="104">
        <f>SUM('Draw #16'!G60)+F60</f>
        <v>56930</v>
      </c>
      <c r="H60" s="109">
        <f t="shared" si="0"/>
        <v>56930</v>
      </c>
      <c r="I60" s="110">
        <v>0</v>
      </c>
      <c r="J60" s="109">
        <f>SUM(I60+'Draw #16'!J60)</f>
        <v>0</v>
      </c>
      <c r="K60" s="101" t="str">
        <f t="shared" si="1"/>
        <v/>
      </c>
      <c r="L60" s="9"/>
      <c r="M60" s="9"/>
    </row>
    <row r="61" spans="1:13" ht="14.1" customHeight="1">
      <c r="A61" s="4">
        <f>'SCHEDULE OF VALUE WORKSHEET'!A57</f>
        <v>51</v>
      </c>
      <c r="B61" s="142" t="str">
        <f>'SCHEDULE OF VALUE WORKSHEET'!B57</f>
        <v>CABINETS</v>
      </c>
      <c r="C61" s="143"/>
      <c r="D61" s="104">
        <f>SUM('SCHEDULE OF VALUE WORKSHEET'!E57)</f>
        <v>56930</v>
      </c>
      <c r="E61" s="104">
        <f>SUM('Draw #16'!E61:F61)</f>
        <v>0</v>
      </c>
      <c r="F61" s="105">
        <v>0</v>
      </c>
      <c r="G61" s="104">
        <f>SUM('Draw #16'!G61)+F61</f>
        <v>56930</v>
      </c>
      <c r="H61" s="109">
        <f t="shared" si="0"/>
        <v>56930</v>
      </c>
      <c r="I61" s="110">
        <v>0</v>
      </c>
      <c r="J61" s="109">
        <f>SUM(I61+'Draw #16'!J61)</f>
        <v>0</v>
      </c>
      <c r="K61" s="101" t="str">
        <f t="shared" si="1"/>
        <v/>
      </c>
      <c r="L61" s="9"/>
      <c r="M61" s="9"/>
    </row>
    <row r="62" spans="1:13" ht="14.1" customHeight="1">
      <c r="A62" s="4">
        <f>'SCHEDULE OF VALUE WORKSHEET'!A58</f>
        <v>52</v>
      </c>
      <c r="B62" s="142" t="str">
        <f>'SCHEDULE OF VALUE WORKSHEET'!B58</f>
        <v>THERMAL MOISTURE PROTECTION</v>
      </c>
      <c r="C62" s="143"/>
      <c r="D62" s="104">
        <f>SUM('SCHEDULE OF VALUE WORKSHEET'!E58)</f>
        <v>173148</v>
      </c>
      <c r="E62" s="104">
        <f>SUM('Draw #16'!E62:F62)</f>
        <v>0</v>
      </c>
      <c r="F62" s="105">
        <v>0</v>
      </c>
      <c r="G62" s="104">
        <f>SUM('Draw #16'!G62)+F62</f>
        <v>173148</v>
      </c>
      <c r="H62" s="109">
        <f t="shared" si="0"/>
        <v>173148</v>
      </c>
      <c r="I62" s="110">
        <v>0</v>
      </c>
      <c r="J62" s="109">
        <f>SUM(I62+'Draw #16'!J62)</f>
        <v>0</v>
      </c>
      <c r="K62" s="101" t="str">
        <f t="shared" si="1"/>
        <v/>
      </c>
      <c r="L62" s="9"/>
      <c r="M62" s="9"/>
    </row>
    <row r="63" spans="1:13" ht="14.1" customHeight="1">
      <c r="A63" s="4">
        <f>'SCHEDULE OF VALUE WORKSHEET'!A59</f>
        <v>53</v>
      </c>
      <c r="B63" s="142" t="str">
        <f>'SCHEDULE OF VALUE WORKSHEET'!B59</f>
        <v>DOORS</v>
      </c>
      <c r="C63" s="143"/>
      <c r="D63" s="104">
        <f>SUM('SCHEDULE OF VALUE WORKSHEET'!E59)</f>
        <v>204087.33</v>
      </c>
      <c r="E63" s="104">
        <f>SUM('Draw #16'!E63:F63)</f>
        <v>0</v>
      </c>
      <c r="F63" s="105">
        <v>0</v>
      </c>
      <c r="G63" s="104">
        <f>SUM('Draw #16'!G63)+F63</f>
        <v>204087.33</v>
      </c>
      <c r="H63" s="109">
        <f t="shared" si="0"/>
        <v>204087.33</v>
      </c>
      <c r="I63" s="110">
        <v>0</v>
      </c>
      <c r="J63" s="109">
        <f>SUM(I63+'Draw #16'!J63)</f>
        <v>0</v>
      </c>
      <c r="K63" s="101" t="str">
        <f t="shared" si="1"/>
        <v/>
      </c>
      <c r="L63" s="9"/>
      <c r="M63" s="9"/>
    </row>
    <row r="64" spans="1:13" ht="14.1" customHeight="1">
      <c r="A64" s="4">
        <f>'SCHEDULE OF VALUE WORKSHEET'!A60</f>
        <v>54</v>
      </c>
      <c r="B64" s="142" t="str">
        <f>'SCHEDULE OF VALUE WORKSHEET'!B60</f>
        <v>WINDOWS</v>
      </c>
      <c r="C64" s="143"/>
      <c r="D64" s="104">
        <f>SUM('SCHEDULE OF VALUE WORKSHEET'!E60)</f>
        <v>106274.25</v>
      </c>
      <c r="E64" s="104">
        <f>SUM('Draw #16'!E64:F64)</f>
        <v>0</v>
      </c>
      <c r="F64" s="105">
        <v>0</v>
      </c>
      <c r="G64" s="104">
        <f>SUM('Draw #16'!G64)+F64</f>
        <v>106274.25</v>
      </c>
      <c r="H64" s="109">
        <f t="shared" si="0"/>
        <v>106274.25</v>
      </c>
      <c r="I64" s="110">
        <v>0</v>
      </c>
      <c r="J64" s="109">
        <f>SUM(I64+'Draw #16'!J64)</f>
        <v>0</v>
      </c>
      <c r="K64" s="101" t="str">
        <f t="shared" si="1"/>
        <v/>
      </c>
      <c r="L64" s="9"/>
      <c r="M64" s="9"/>
    </row>
    <row r="65" spans="1:13" ht="14.1" customHeight="1">
      <c r="A65" s="4">
        <f>'SCHEDULE OF VALUE WORKSHEET'!A61</f>
        <v>55</v>
      </c>
      <c r="B65" s="142" t="str">
        <f>'SCHEDULE OF VALUE WORKSHEET'!B61</f>
        <v>STUCCO</v>
      </c>
      <c r="C65" s="143"/>
      <c r="D65" s="104">
        <f>SUM('SCHEDULE OF VALUE WORKSHEET'!E61)</f>
        <v>208002</v>
      </c>
      <c r="E65" s="104">
        <f>SUM('Draw #16'!E65:F65)</f>
        <v>0</v>
      </c>
      <c r="F65" s="105">
        <v>0</v>
      </c>
      <c r="G65" s="104">
        <f>SUM('Draw #16'!G65)+F65</f>
        <v>208002</v>
      </c>
      <c r="H65" s="109">
        <f t="shared" si="0"/>
        <v>208002</v>
      </c>
      <c r="I65" s="110">
        <v>0</v>
      </c>
      <c r="J65" s="109">
        <f>SUM(I65+'Draw #16'!J65)</f>
        <v>0</v>
      </c>
      <c r="K65" s="101" t="str">
        <f t="shared" si="1"/>
        <v/>
      </c>
      <c r="L65" s="9"/>
      <c r="M65" s="9"/>
    </row>
    <row r="66" spans="1:13" ht="14.1" customHeight="1">
      <c r="A66" s="4">
        <f>'SCHEDULE OF VALUE WORKSHEET'!A62</f>
        <v>56</v>
      </c>
      <c r="B66" s="142" t="str">
        <f>'SCHEDULE OF VALUE WORKSHEET'!B62</f>
        <v>DRYWALL</v>
      </c>
      <c r="C66" s="143"/>
      <c r="D66" s="104">
        <f>SUM('SCHEDULE OF VALUE WORKSHEET'!E62)</f>
        <v>416355</v>
      </c>
      <c r="E66" s="104">
        <f>SUM('Draw #16'!E66:F66)</f>
        <v>0</v>
      </c>
      <c r="F66" s="105">
        <v>0</v>
      </c>
      <c r="G66" s="104">
        <f>SUM('Draw #16'!G66)+F66</f>
        <v>416355</v>
      </c>
      <c r="H66" s="109">
        <f t="shared" si="0"/>
        <v>416355</v>
      </c>
      <c r="I66" s="110">
        <v>0</v>
      </c>
      <c r="J66" s="109">
        <f>SUM(I66+'Draw #16'!J66)</f>
        <v>0</v>
      </c>
      <c r="K66" s="101" t="str">
        <f t="shared" si="1"/>
        <v/>
      </c>
      <c r="L66" s="9"/>
      <c r="M66" s="9"/>
    </row>
    <row r="67" spans="1:13" ht="14.1" customHeight="1">
      <c r="A67" s="4">
        <f>'SCHEDULE OF VALUE WORKSHEET'!A63</f>
        <v>57</v>
      </c>
      <c r="B67" s="142" t="str">
        <f>'SCHEDULE OF VALUE WORKSHEET'!B63</f>
        <v>PAINTING</v>
      </c>
      <c r="C67" s="143"/>
      <c r="D67" s="104">
        <f>SUM('SCHEDULE OF VALUE WORKSHEET'!E63)</f>
        <v>120700</v>
      </c>
      <c r="E67" s="104">
        <f>SUM('Draw #16'!E67:F67)</f>
        <v>0</v>
      </c>
      <c r="F67" s="105">
        <v>0</v>
      </c>
      <c r="G67" s="104">
        <f>SUM('Draw #16'!G67)+F67</f>
        <v>120700</v>
      </c>
      <c r="H67" s="109">
        <f t="shared" si="0"/>
        <v>120700</v>
      </c>
      <c r="I67" s="110">
        <v>0</v>
      </c>
      <c r="J67" s="109">
        <f>SUM(I67+'Draw #16'!J67)</f>
        <v>0</v>
      </c>
      <c r="K67" s="101" t="str">
        <f t="shared" si="1"/>
        <v/>
      </c>
      <c r="L67" s="9"/>
      <c r="M67" s="9"/>
    </row>
    <row r="68" spans="1:13" ht="14.1" customHeight="1">
      <c r="A68" s="4">
        <f>'SCHEDULE OF VALUE WORKSHEET'!A64</f>
        <v>58</v>
      </c>
      <c r="B68" s="142" t="str">
        <f>'SCHEDULE OF VALUE WORKSHEET'!B64</f>
        <v>FLOORING - common areas</v>
      </c>
      <c r="C68" s="143"/>
      <c r="D68" s="104">
        <f>SUM('SCHEDULE OF VALUE WORKSHEET'!E64)</f>
        <v>45150</v>
      </c>
      <c r="E68" s="104">
        <f>SUM('Draw #16'!E68:F68)</f>
        <v>0</v>
      </c>
      <c r="F68" s="105">
        <v>0</v>
      </c>
      <c r="G68" s="104">
        <f>SUM('Draw #16'!G68)+F68</f>
        <v>45150</v>
      </c>
      <c r="H68" s="109">
        <f t="shared" si="0"/>
        <v>45150</v>
      </c>
      <c r="I68" s="110">
        <v>0</v>
      </c>
      <c r="J68" s="109">
        <f>SUM(I68+'Draw #16'!J68)</f>
        <v>0</v>
      </c>
      <c r="K68" s="101" t="str">
        <f t="shared" si="1"/>
        <v/>
      </c>
      <c r="L68" s="9"/>
      <c r="M68" s="9"/>
    </row>
    <row r="69" spans="1:13" ht="14.1" customHeight="1">
      <c r="A69" s="4">
        <f>'SCHEDULE OF VALUE WORKSHEET'!A65</f>
        <v>59</v>
      </c>
      <c r="B69" s="142" t="str">
        <f>'SCHEDULE OF VALUE WORKSHEET'!B65</f>
        <v>FLOORING - Units with baseboards</v>
      </c>
      <c r="C69" s="143"/>
      <c r="D69" s="104">
        <f>SUM('SCHEDULE OF VALUE WORKSHEET'!E65)</f>
        <v>93335</v>
      </c>
      <c r="E69" s="104">
        <f>SUM('Draw #16'!E69:F69)</f>
        <v>0</v>
      </c>
      <c r="F69" s="105">
        <v>0</v>
      </c>
      <c r="G69" s="104">
        <f>SUM('Draw #16'!G69)+F69</f>
        <v>93335</v>
      </c>
      <c r="H69" s="109">
        <f t="shared" si="0"/>
        <v>93335</v>
      </c>
      <c r="I69" s="110">
        <v>0</v>
      </c>
      <c r="J69" s="109">
        <f>SUM(I69+'Draw #16'!J69)</f>
        <v>0</v>
      </c>
      <c r="K69" s="101" t="str">
        <f t="shared" si="1"/>
        <v/>
      </c>
      <c r="L69" s="9"/>
      <c r="M69" s="9"/>
    </row>
    <row r="70" spans="1:13" ht="14.1" customHeight="1">
      <c r="A70" s="4">
        <f>'SCHEDULE OF VALUE WORKSHEET'!A66</f>
        <v>60</v>
      </c>
      <c r="B70" s="142" t="str">
        <f>'SCHEDULE OF VALUE WORKSHEET'!B66</f>
        <v>SPECIALTIES</v>
      </c>
      <c r="C70" s="143"/>
      <c r="D70" s="104">
        <f>SUM('SCHEDULE OF VALUE WORKSHEET'!E66)</f>
        <v>25109.21</v>
      </c>
      <c r="E70" s="104">
        <f>SUM('Draw #16'!E70:F70)</f>
        <v>0</v>
      </c>
      <c r="F70" s="105">
        <v>0</v>
      </c>
      <c r="G70" s="104">
        <f>SUM('Draw #16'!G70)+F70</f>
        <v>25109.21</v>
      </c>
      <c r="H70" s="109">
        <f t="shared" si="0"/>
        <v>25109.21</v>
      </c>
      <c r="I70" s="110">
        <v>0</v>
      </c>
      <c r="J70" s="109">
        <f>SUM(I70+'Draw #16'!J70)</f>
        <v>0</v>
      </c>
      <c r="K70" s="101" t="str">
        <f t="shared" si="1"/>
        <v/>
      </c>
      <c r="L70" s="9"/>
      <c r="M70" s="9"/>
    </row>
    <row r="71" spans="1:13" ht="14.1" customHeight="1">
      <c r="A71" s="4">
        <f>'SCHEDULE OF VALUE WORKSHEET'!A67</f>
        <v>61</v>
      </c>
      <c r="B71" s="142" t="str">
        <f>'SCHEDULE OF VALUE WORKSHEET'!B67</f>
        <v>EQUIPMENT</v>
      </c>
      <c r="C71" s="143"/>
      <c r="D71" s="104">
        <f>SUM('SCHEDULE OF VALUE WORKSHEET'!E67)</f>
        <v>153636</v>
      </c>
      <c r="E71" s="104">
        <f>SUM('Draw #16'!E71:F71)</f>
        <v>0</v>
      </c>
      <c r="F71" s="105">
        <v>0</v>
      </c>
      <c r="G71" s="104">
        <f>SUM('Draw #16'!G71)+F71</f>
        <v>153636</v>
      </c>
      <c r="H71" s="109">
        <f t="shared" si="0"/>
        <v>153636</v>
      </c>
      <c r="I71" s="110">
        <v>0</v>
      </c>
      <c r="J71" s="109">
        <f>SUM(I71+'Draw #16'!J71)</f>
        <v>0</v>
      </c>
      <c r="K71" s="101" t="str">
        <f t="shared" si="1"/>
        <v/>
      </c>
      <c r="L71" s="9"/>
      <c r="M71" s="9"/>
    </row>
    <row r="72" spans="1:13" ht="14.1" customHeight="1">
      <c r="A72" s="4">
        <f>'SCHEDULE OF VALUE WORKSHEET'!A68</f>
        <v>62</v>
      </c>
      <c r="B72" s="142" t="str">
        <f>'SCHEDULE OF VALUE WORKSHEET'!B68</f>
        <v>FURNISHING</v>
      </c>
      <c r="C72" s="143"/>
      <c r="D72" s="104">
        <f>SUM('SCHEDULE OF VALUE WORKSHEET'!E68)</f>
        <v>0</v>
      </c>
      <c r="E72" s="104">
        <f>SUM('Draw #16'!E72:F72)</f>
        <v>0</v>
      </c>
      <c r="F72" s="105">
        <v>0</v>
      </c>
      <c r="G72" s="104">
        <f>SUM('Draw #16'!G72)+F72</f>
        <v>0</v>
      </c>
      <c r="H72" s="109">
        <f t="shared" si="0"/>
        <v>0</v>
      </c>
      <c r="I72" s="110">
        <v>0</v>
      </c>
      <c r="J72" s="109">
        <f>SUM(I72+'Draw #16'!J72)</f>
        <v>0</v>
      </c>
      <c r="K72" s="101" t="str">
        <f t="shared" si="1"/>
        <v/>
      </c>
      <c r="L72" s="9"/>
      <c r="M72" s="9"/>
    </row>
    <row r="73" spans="1:13" ht="14.1" customHeight="1">
      <c r="A73" s="4">
        <f>'SCHEDULE OF VALUE WORKSHEET'!A69</f>
        <v>63</v>
      </c>
      <c r="B73" s="142" t="str">
        <f>'SCHEDULE OF VALUE WORKSHEET'!B69</f>
        <v>FIRE SPRINKLERS</v>
      </c>
      <c r="C73" s="143"/>
      <c r="D73" s="104">
        <f>SUM('SCHEDULE OF VALUE WORKSHEET'!E69)</f>
        <v>108500</v>
      </c>
      <c r="E73" s="104">
        <f>SUM('Draw #16'!E73:F73)</f>
        <v>0</v>
      </c>
      <c r="F73" s="105">
        <v>0</v>
      </c>
      <c r="G73" s="104">
        <f>SUM('Draw #16'!G73)+F73</f>
        <v>108500</v>
      </c>
      <c r="H73" s="109">
        <f t="shared" si="0"/>
        <v>108500</v>
      </c>
      <c r="I73" s="110">
        <v>0</v>
      </c>
      <c r="J73" s="109">
        <f>SUM(I73+'Draw #16'!J73)</f>
        <v>0</v>
      </c>
      <c r="K73" s="101" t="str">
        <f t="shared" si="1"/>
        <v/>
      </c>
      <c r="L73" s="9"/>
      <c r="M73" s="9"/>
    </row>
    <row r="74" spans="1:13" ht="14.1" customHeight="1">
      <c r="A74" s="4">
        <f>'SCHEDULE OF VALUE WORKSHEET'!A70</f>
        <v>64</v>
      </c>
      <c r="B74" s="142" t="str">
        <f>'SCHEDULE OF VALUE WORKSHEET'!B70</f>
        <v>FIRE ALARM</v>
      </c>
      <c r="C74" s="143"/>
      <c r="D74" s="104">
        <f>SUM('SCHEDULE OF VALUE WORKSHEET'!E70)</f>
        <v>68401</v>
      </c>
      <c r="E74" s="104">
        <f>SUM('Draw #16'!E74:F74)</f>
        <v>0</v>
      </c>
      <c r="F74" s="105">
        <v>0</v>
      </c>
      <c r="G74" s="104">
        <f>SUM('Draw #16'!G74)+F74</f>
        <v>68401</v>
      </c>
      <c r="H74" s="109">
        <f t="shared" si="0"/>
        <v>68401</v>
      </c>
      <c r="I74" s="110">
        <v>0</v>
      </c>
      <c r="J74" s="109">
        <f>SUM(I74+'Draw #16'!J74)</f>
        <v>0</v>
      </c>
      <c r="K74" s="101" t="str">
        <f t="shared" si="1"/>
        <v/>
      </c>
      <c r="L74" s="9"/>
      <c r="M74" s="9"/>
    </row>
    <row r="75" spans="1:13" ht="14.1" customHeight="1">
      <c r="A75" s="4">
        <f>'SCHEDULE OF VALUE WORKSHEET'!A71</f>
        <v>65</v>
      </c>
      <c r="B75" s="142" t="str">
        <f>'SCHEDULE OF VALUE WORKSHEET'!B71</f>
        <v>SOLAR PANELS</v>
      </c>
      <c r="C75" s="143"/>
      <c r="D75" s="104">
        <f>SUM('SCHEDULE OF VALUE WORKSHEET'!E71)</f>
        <v>97000</v>
      </c>
      <c r="E75" s="104">
        <f>SUM('Draw #16'!E75:F75)</f>
        <v>0</v>
      </c>
      <c r="F75" s="105">
        <v>0</v>
      </c>
      <c r="G75" s="104">
        <f>SUM('Draw #16'!G75)+F75</f>
        <v>97000</v>
      </c>
      <c r="H75" s="109">
        <f t="shared" ref="H75:H135" si="2">SUM(G75-J75)</f>
        <v>97000</v>
      </c>
      <c r="I75" s="110">
        <v>0</v>
      </c>
      <c r="J75" s="109">
        <f>SUM(I75+'Draw #16'!J75)</f>
        <v>0</v>
      </c>
      <c r="K75" s="101" t="str">
        <f t="shared" ref="K75:K135" si="3">IF(J75=0,"",J75/G75)</f>
        <v/>
      </c>
      <c r="L75" s="9"/>
      <c r="M75" s="9"/>
    </row>
    <row r="76" spans="1:13" ht="14.1" customHeight="1">
      <c r="A76" s="4">
        <f>'SCHEDULE OF VALUE WORKSHEET'!A72</f>
        <v>66</v>
      </c>
      <c r="B76" s="142" t="str">
        <f>'SCHEDULE OF VALUE WORKSHEET'!B72</f>
        <v>SECURITY ACCESS &amp; SURVEILLANCE</v>
      </c>
      <c r="C76" s="143"/>
      <c r="D76" s="104">
        <f>SUM('SCHEDULE OF VALUE WORKSHEET'!E72)</f>
        <v>136430</v>
      </c>
      <c r="E76" s="104">
        <f>SUM('Draw #16'!E76:F76)</f>
        <v>0</v>
      </c>
      <c r="F76" s="105">
        <v>0</v>
      </c>
      <c r="G76" s="104">
        <f>SUM('Draw #16'!G76)+F76</f>
        <v>136430</v>
      </c>
      <c r="H76" s="109">
        <f t="shared" si="2"/>
        <v>136430</v>
      </c>
      <c r="I76" s="110">
        <v>0</v>
      </c>
      <c r="J76" s="109">
        <f>SUM(I76+'Draw #16'!J76)</f>
        <v>0</v>
      </c>
      <c r="K76" s="101" t="str">
        <f t="shared" si="3"/>
        <v/>
      </c>
      <c r="L76" s="9"/>
      <c r="M76" s="9"/>
    </row>
    <row r="77" spans="1:13" ht="14.1" customHeight="1">
      <c r="A77" s="4">
        <f>'SCHEDULE OF VALUE WORKSHEET'!A73</f>
        <v>67</v>
      </c>
      <c r="B77" s="142" t="str">
        <f>'SCHEDULE OF VALUE WORKSHEET'!B73</f>
        <v>ELEVATORS &amp; LIFT</v>
      </c>
      <c r="C77" s="143"/>
      <c r="D77" s="104">
        <f>SUM('SCHEDULE OF VALUE WORKSHEET'!E73)</f>
        <v>174882</v>
      </c>
      <c r="E77" s="104">
        <f>SUM('Draw #16'!E77:F77)</f>
        <v>0</v>
      </c>
      <c r="F77" s="105">
        <v>0</v>
      </c>
      <c r="G77" s="104">
        <f>SUM('Draw #16'!G77)+F77</f>
        <v>174882</v>
      </c>
      <c r="H77" s="109">
        <f t="shared" si="2"/>
        <v>174882</v>
      </c>
      <c r="I77" s="110">
        <v>0</v>
      </c>
      <c r="J77" s="109">
        <f>SUM(I77+'Draw #16'!J77)</f>
        <v>0</v>
      </c>
      <c r="K77" s="101" t="str">
        <f t="shared" si="3"/>
        <v/>
      </c>
      <c r="L77" s="9"/>
      <c r="M77" s="9"/>
    </row>
    <row r="78" spans="1:13" ht="14.1" customHeight="1">
      <c r="A78" s="4">
        <f>'SCHEDULE OF VALUE WORKSHEET'!A74</f>
        <v>68</v>
      </c>
      <c r="B78" s="142" t="str">
        <f>'SCHEDULE OF VALUE WORKSHEET'!B74</f>
        <v>WATER SUBMETER (material)</v>
      </c>
      <c r="C78" s="143"/>
      <c r="D78" s="104">
        <f>SUM('SCHEDULE OF VALUE WORKSHEET'!E74)</f>
        <v>12273</v>
      </c>
      <c r="E78" s="104">
        <f>SUM('Draw #16'!E78:F78)</f>
        <v>0</v>
      </c>
      <c r="F78" s="105">
        <v>0</v>
      </c>
      <c r="G78" s="104">
        <f>SUM('Draw #16'!G78)+F78</f>
        <v>12273</v>
      </c>
      <c r="H78" s="109">
        <f t="shared" si="2"/>
        <v>12273</v>
      </c>
      <c r="I78" s="110">
        <v>0</v>
      </c>
      <c r="J78" s="109">
        <f>SUM(I78+'Draw #16'!J78)</f>
        <v>0</v>
      </c>
      <c r="K78" s="101" t="str">
        <f t="shared" si="3"/>
        <v/>
      </c>
      <c r="L78" s="9"/>
      <c r="M78" s="9"/>
    </row>
    <row r="79" spans="1:13" ht="14.1" customHeight="1">
      <c r="A79" s="4">
        <f>'SCHEDULE OF VALUE WORKSHEET'!A75</f>
        <v>69</v>
      </c>
      <c r="B79" s="142" t="str">
        <f>'SCHEDULE OF VALUE WORKSHEET'!B75</f>
        <v>WATER SUBMETER (labor)</v>
      </c>
      <c r="C79" s="143"/>
      <c r="D79" s="104">
        <f>SUM('SCHEDULE OF VALUE WORKSHEET'!E75)</f>
        <v>0</v>
      </c>
      <c r="E79" s="104">
        <f>SUM('Draw #16'!E79:F79)</f>
        <v>0</v>
      </c>
      <c r="F79" s="105">
        <v>0</v>
      </c>
      <c r="G79" s="104">
        <f>SUM('Draw #16'!G79)+F79</f>
        <v>0</v>
      </c>
      <c r="H79" s="109">
        <f t="shared" si="2"/>
        <v>0</v>
      </c>
      <c r="I79" s="110">
        <v>0</v>
      </c>
      <c r="J79" s="109">
        <f>SUM(I79+'Draw #16'!J79)</f>
        <v>0</v>
      </c>
      <c r="K79" s="101" t="str">
        <f t="shared" si="3"/>
        <v/>
      </c>
      <c r="L79" s="9"/>
      <c r="M79" s="9"/>
    </row>
    <row r="80" spans="1:13" ht="14.1" customHeight="1">
      <c r="A80" s="4">
        <f>'SCHEDULE OF VALUE WORKSHEET'!A76</f>
        <v>70</v>
      </c>
      <c r="B80" s="142" t="str">
        <f>'SCHEDULE OF VALUE WORKSHEET'!B76</f>
        <v>ROUGH PLUMBING</v>
      </c>
      <c r="C80" s="143"/>
      <c r="D80" s="104">
        <f>SUM('SCHEDULE OF VALUE WORKSHEET'!E76)</f>
        <v>751927</v>
      </c>
      <c r="E80" s="104">
        <f>SUM('Draw #16'!E80:F80)</f>
        <v>0</v>
      </c>
      <c r="F80" s="105">
        <v>0</v>
      </c>
      <c r="G80" s="104">
        <f>SUM('Draw #16'!G80)+F80</f>
        <v>751927</v>
      </c>
      <c r="H80" s="109">
        <f t="shared" si="2"/>
        <v>751927</v>
      </c>
      <c r="I80" s="110">
        <v>0</v>
      </c>
      <c r="J80" s="109">
        <f>SUM(I80+'Draw #16'!J80)</f>
        <v>0</v>
      </c>
      <c r="K80" s="101" t="str">
        <f t="shared" si="3"/>
        <v/>
      </c>
      <c r="L80" s="9"/>
      <c r="M80" s="9"/>
    </row>
    <row r="81" spans="1:13" ht="14.1" customHeight="1">
      <c r="A81" s="4">
        <f>'SCHEDULE OF VALUE WORKSHEET'!A77</f>
        <v>71</v>
      </c>
      <c r="B81" s="142" t="str">
        <f>'SCHEDULE OF VALUE WORKSHEET'!B77</f>
        <v>FINISH PLUMBING</v>
      </c>
      <c r="C81" s="143"/>
      <c r="D81" s="104">
        <f>SUM('SCHEDULE OF VALUE WORKSHEET'!E77)</f>
        <v>90000</v>
      </c>
      <c r="E81" s="104">
        <f>SUM('Draw #16'!E81:F81)</f>
        <v>0</v>
      </c>
      <c r="F81" s="105">
        <v>0</v>
      </c>
      <c r="G81" s="104">
        <f>SUM('Draw #16'!G81)+F81</f>
        <v>90000</v>
      </c>
      <c r="H81" s="109">
        <f t="shared" si="2"/>
        <v>90000</v>
      </c>
      <c r="I81" s="110">
        <v>0</v>
      </c>
      <c r="J81" s="109">
        <f>SUM(I81+'Draw #16'!J81)</f>
        <v>0</v>
      </c>
      <c r="K81" s="101" t="str">
        <f t="shared" si="3"/>
        <v/>
      </c>
      <c r="L81" s="9"/>
      <c r="M81" s="9"/>
    </row>
    <row r="82" spans="1:13" ht="14.1" customHeight="1">
      <c r="A82" s="4">
        <f>'SCHEDULE OF VALUE WORKSHEET'!A78</f>
        <v>72</v>
      </c>
      <c r="B82" s="142" t="str">
        <f>'SCHEDULE OF VALUE WORKSHEET'!B78</f>
        <v>HVAC</v>
      </c>
      <c r="C82" s="143"/>
      <c r="D82" s="104">
        <f>SUM('SCHEDULE OF VALUE WORKSHEET'!E78)</f>
        <v>259000</v>
      </c>
      <c r="E82" s="104">
        <f>SUM('Draw #16'!E82:F82)</f>
        <v>0</v>
      </c>
      <c r="F82" s="105">
        <v>0</v>
      </c>
      <c r="G82" s="104">
        <f>SUM('Draw #16'!G82)+F82</f>
        <v>259000</v>
      </c>
      <c r="H82" s="109">
        <f t="shared" si="2"/>
        <v>259000</v>
      </c>
      <c r="I82" s="110">
        <v>0</v>
      </c>
      <c r="J82" s="109">
        <f>SUM(I82+'Draw #16'!J82)</f>
        <v>0</v>
      </c>
      <c r="K82" s="101" t="str">
        <f t="shared" si="3"/>
        <v/>
      </c>
      <c r="L82" s="9"/>
      <c r="M82" s="9"/>
    </row>
    <row r="83" spans="1:13" ht="14.1" customHeight="1">
      <c r="A83" s="4">
        <f>'SCHEDULE OF VALUE WORKSHEET'!A79</f>
        <v>73</v>
      </c>
      <c r="B83" s="142" t="str">
        <f>'SCHEDULE OF VALUE WORKSHEET'!B79</f>
        <v>ELECTRICAL</v>
      </c>
      <c r="C83" s="143"/>
      <c r="D83" s="104">
        <f>SUM('SCHEDULE OF VALUE WORKSHEET'!E79)</f>
        <v>880486.32</v>
      </c>
      <c r="E83" s="104">
        <f>SUM('Draw #16'!E83:F83)</f>
        <v>0</v>
      </c>
      <c r="F83" s="105">
        <v>0</v>
      </c>
      <c r="G83" s="104">
        <f>SUM('Draw #16'!G83)+F83</f>
        <v>880486.32</v>
      </c>
      <c r="H83" s="109">
        <f t="shared" si="2"/>
        <v>880486.32</v>
      </c>
      <c r="I83" s="110">
        <v>0</v>
      </c>
      <c r="J83" s="109">
        <f>SUM(I83+'Draw #16'!J83)</f>
        <v>0</v>
      </c>
      <c r="K83" s="101" t="str">
        <f t="shared" si="3"/>
        <v/>
      </c>
      <c r="L83" s="9"/>
      <c r="M83" s="9"/>
    </row>
    <row r="84" spans="1:13" ht="14.1" customHeight="1">
      <c r="A84" s="4">
        <f>'SCHEDULE OF VALUE WORKSHEET'!A80</f>
        <v>74</v>
      </c>
      <c r="B84" s="142" t="str">
        <f>'SCHEDULE OF VALUE WORKSHEET'!B80</f>
        <v xml:space="preserve">CONTINGENCY </v>
      </c>
      <c r="C84" s="143"/>
      <c r="D84" s="104">
        <f>SUM('SCHEDULE OF VALUE WORKSHEET'!E80)</f>
        <v>529215.20000000007</v>
      </c>
      <c r="E84" s="104">
        <f>SUM('Draw #16'!E84:F84)</f>
        <v>0</v>
      </c>
      <c r="F84" s="105">
        <v>0</v>
      </c>
      <c r="G84" s="104">
        <f>SUM('Draw #16'!G84)+F84</f>
        <v>529215.20000000007</v>
      </c>
      <c r="H84" s="109">
        <f t="shared" si="2"/>
        <v>529215.20000000007</v>
      </c>
      <c r="I84" s="110">
        <v>0</v>
      </c>
      <c r="J84" s="109">
        <f>SUM(I84+'Draw #16'!J84)</f>
        <v>0</v>
      </c>
      <c r="K84" s="101" t="str">
        <f t="shared" si="3"/>
        <v/>
      </c>
      <c r="L84" s="9"/>
      <c r="M84" s="9"/>
    </row>
    <row r="85" spans="1:13" ht="14.1" customHeight="1">
      <c r="A85" s="4">
        <f>'SCHEDULE OF VALUE WORKSHEET'!A81</f>
        <v>75</v>
      </c>
      <c r="B85" s="142" t="str">
        <f>'SCHEDULE OF VALUE WORKSHEET'!B81</f>
        <v>INSURANCE (GL w/auto, workers compl)</v>
      </c>
      <c r="C85" s="143"/>
      <c r="D85" s="104">
        <f>SUM('SCHEDULE OF VALUE WORKSHEET'!E81)</f>
        <v>97177.07</v>
      </c>
      <c r="E85" s="104">
        <f>SUM('Draw #16'!E85:F85)</f>
        <v>0</v>
      </c>
      <c r="F85" s="105">
        <v>0</v>
      </c>
      <c r="G85" s="104">
        <f>SUM('Draw #16'!G85)+F85</f>
        <v>97177.07</v>
      </c>
      <c r="H85" s="109">
        <f t="shared" si="2"/>
        <v>97177.07</v>
      </c>
      <c r="I85" s="110">
        <v>0</v>
      </c>
      <c r="J85" s="109">
        <f>SUM(I85+'Draw #16'!J85)</f>
        <v>0</v>
      </c>
      <c r="K85" s="101" t="str">
        <f t="shared" si="3"/>
        <v/>
      </c>
      <c r="L85" s="9"/>
      <c r="M85" s="9"/>
    </row>
    <row r="86" spans="1:13" ht="14.1" customHeight="1">
      <c r="A86" s="4">
        <f>'SCHEDULE OF VALUE WORKSHEET'!A82</f>
        <v>76</v>
      </c>
      <c r="B86" s="142" t="str">
        <f>'SCHEDULE OF VALUE WORKSHEET'!B82</f>
        <v>GROSS RECEIPT TAX</v>
      </c>
      <c r="C86" s="143"/>
      <c r="D86" s="104">
        <f>SUM('SCHEDULE OF VALUE WORKSHEET'!E82)</f>
        <v>6543.26</v>
      </c>
      <c r="E86" s="104">
        <f>SUM('Draw #16'!E86:F86)</f>
        <v>0</v>
      </c>
      <c r="F86" s="105">
        <v>0</v>
      </c>
      <c r="G86" s="104">
        <f>SUM('Draw #16'!G86)+F86</f>
        <v>6543.26</v>
      </c>
      <c r="H86" s="109">
        <f t="shared" si="2"/>
        <v>6543.26</v>
      </c>
      <c r="I86" s="110">
        <v>0</v>
      </c>
      <c r="J86" s="109">
        <f>SUM(I86+'Draw #16'!J86)</f>
        <v>0</v>
      </c>
      <c r="K86" s="101" t="str">
        <f t="shared" si="3"/>
        <v/>
      </c>
      <c r="L86" s="9"/>
      <c r="M86" s="9"/>
    </row>
    <row r="87" spans="1:13" ht="14.1" customHeight="1">
      <c r="A87" s="4">
        <f>'SCHEDULE OF VALUE WORKSHEET'!A83</f>
        <v>77</v>
      </c>
      <c r="B87" s="142" t="str">
        <f>'SCHEDULE OF VALUE WORKSHEET'!B83</f>
        <v>GC FEE</v>
      </c>
      <c r="C87" s="143"/>
      <c r="D87" s="104">
        <f>SUM('SCHEDULE OF VALUE WORKSHEET'!E83)</f>
        <v>388708.28</v>
      </c>
      <c r="E87" s="104">
        <f>SUM('Draw #16'!E87:F87)</f>
        <v>0</v>
      </c>
      <c r="F87" s="105">
        <v>0</v>
      </c>
      <c r="G87" s="104">
        <f>SUM('Draw #16'!G87)+F87</f>
        <v>388708.28</v>
      </c>
      <c r="H87" s="109">
        <f t="shared" si="2"/>
        <v>388708.28</v>
      </c>
      <c r="I87" s="110">
        <v>0</v>
      </c>
      <c r="J87" s="109">
        <f>SUM(I87+'Draw #16'!J87)</f>
        <v>0</v>
      </c>
      <c r="K87" s="101" t="str">
        <f t="shared" si="3"/>
        <v/>
      </c>
      <c r="L87" s="9"/>
      <c r="M87" s="9"/>
    </row>
    <row r="88" spans="1:13" ht="14.1" customHeight="1">
      <c r="A88" s="4">
        <f>'SCHEDULE OF VALUE WORKSHEET'!A84</f>
        <v>78</v>
      </c>
      <c r="B88" s="142" t="str">
        <f>'SCHEDULE OF VALUE WORKSHEET'!B84</f>
        <v>DEVELOPMENT FEE</v>
      </c>
      <c r="C88" s="143"/>
      <c r="D88" s="104">
        <f>SUM('SCHEDULE OF VALUE WORKSHEET'!E84)</f>
        <v>180523.5</v>
      </c>
      <c r="E88" s="104">
        <f>SUM('Draw #16'!E88:F88)</f>
        <v>0</v>
      </c>
      <c r="F88" s="105">
        <v>0</v>
      </c>
      <c r="G88" s="104">
        <f>SUM('Draw #16'!G88)+F88</f>
        <v>180523.5</v>
      </c>
      <c r="H88" s="109">
        <f t="shared" si="2"/>
        <v>180523.5</v>
      </c>
      <c r="I88" s="110">
        <v>0</v>
      </c>
      <c r="J88" s="109">
        <f>SUM(I88+'Draw #16'!J88)</f>
        <v>0</v>
      </c>
      <c r="K88" s="101" t="str">
        <f t="shared" si="3"/>
        <v/>
      </c>
      <c r="L88" s="9"/>
      <c r="M88" s="9"/>
    </row>
    <row r="89" spans="1:13" ht="14.1" customHeight="1">
      <c r="A89" s="4">
        <f>'SCHEDULE OF VALUE WORKSHEET'!A85</f>
        <v>79</v>
      </c>
      <c r="B89" s="142" t="str">
        <f>'SCHEDULE OF VALUE WORKSHEET'!B85</f>
        <v>CARRYING COSTS</v>
      </c>
      <c r="C89" s="143"/>
      <c r="D89" s="104">
        <f>SUM('SCHEDULE OF VALUE WORKSHEET'!E85)</f>
        <v>92885.53</v>
      </c>
      <c r="E89" s="104">
        <f>SUM('Draw #16'!E89:F89)</f>
        <v>0</v>
      </c>
      <c r="F89" s="105">
        <v>0</v>
      </c>
      <c r="G89" s="104">
        <f>SUM('Draw #16'!G89)+F89</f>
        <v>92885.53</v>
      </c>
      <c r="H89" s="109">
        <f t="shared" si="2"/>
        <v>92885.53</v>
      </c>
      <c r="I89" s="110">
        <v>0</v>
      </c>
      <c r="J89" s="109">
        <f>SUM(I89+'Draw #16'!J89)</f>
        <v>0</v>
      </c>
      <c r="K89" s="101" t="str">
        <f t="shared" si="3"/>
        <v/>
      </c>
      <c r="L89" s="9"/>
      <c r="M89" s="9"/>
    </row>
    <row r="90" spans="1:13" ht="14.1" customHeight="1">
      <c r="A90" s="4">
        <f>'SCHEDULE OF VALUE WORKSHEET'!A86</f>
        <v>80</v>
      </c>
      <c r="B90" s="142" t="str">
        <f>'SCHEDULE OF VALUE WORKSHEET'!B86</f>
        <v>FINANCING COSTS</v>
      </c>
      <c r="C90" s="143"/>
      <c r="D90" s="104">
        <f>SUM('SCHEDULE OF VALUE WORKSHEET'!E86)</f>
        <v>0</v>
      </c>
      <c r="E90" s="104">
        <f>SUM('Draw #16'!E90:F90)</f>
        <v>0</v>
      </c>
      <c r="F90" s="105">
        <v>0</v>
      </c>
      <c r="G90" s="104">
        <f>SUM('Draw #16'!G90)+F90</f>
        <v>0</v>
      </c>
      <c r="H90" s="109">
        <f t="shared" si="2"/>
        <v>0</v>
      </c>
      <c r="I90" s="110">
        <v>0</v>
      </c>
      <c r="J90" s="109">
        <f>SUM(I90+'Draw #16'!J90)</f>
        <v>0</v>
      </c>
      <c r="K90" s="101" t="str">
        <f t="shared" si="3"/>
        <v/>
      </c>
      <c r="L90" s="9"/>
      <c r="M90" s="9"/>
    </row>
    <row r="91" spans="1:13" ht="14.1" customHeight="1">
      <c r="A91" s="4" t="e">
        <f>'SCHEDULE OF VALUE WORKSHEET'!#REF!</f>
        <v>#REF!</v>
      </c>
      <c r="B91" s="142" t="e">
        <f>'SCHEDULE OF VALUE WORKSHEET'!#REF!</f>
        <v>#REF!</v>
      </c>
      <c r="C91" s="143"/>
      <c r="D91" s="104" t="e">
        <f>SUM('SCHEDULE OF VALUE WORKSHEET'!#REF!)</f>
        <v>#REF!</v>
      </c>
      <c r="E91" s="104">
        <f>SUM('Draw #16'!E91:F91)</f>
        <v>0</v>
      </c>
      <c r="F91" s="105">
        <v>0</v>
      </c>
      <c r="G91" s="104" t="e">
        <f>SUM('Draw #16'!G91)+F91</f>
        <v>#REF!</v>
      </c>
      <c r="H91" s="109" t="e">
        <f t="shared" si="2"/>
        <v>#REF!</v>
      </c>
      <c r="I91" s="110">
        <v>0</v>
      </c>
      <c r="J91" s="109">
        <f>SUM(I91+'Draw #16'!J91)</f>
        <v>0</v>
      </c>
      <c r="K91" s="101" t="str">
        <f t="shared" si="3"/>
        <v/>
      </c>
      <c r="L91" s="9"/>
      <c r="M91" s="9"/>
    </row>
    <row r="92" spans="1:13" ht="14.1" customHeight="1">
      <c r="A92" s="4" t="e">
        <f>'SCHEDULE OF VALUE WORKSHEET'!#REF!</f>
        <v>#REF!</v>
      </c>
      <c r="B92" s="142" t="e">
        <f>'SCHEDULE OF VALUE WORKSHEET'!#REF!</f>
        <v>#REF!</v>
      </c>
      <c r="C92" s="143"/>
      <c r="D92" s="104" t="e">
        <f>SUM('SCHEDULE OF VALUE WORKSHEET'!#REF!)</f>
        <v>#REF!</v>
      </c>
      <c r="E92" s="104">
        <f>SUM('Draw #16'!E92:F92)</f>
        <v>0</v>
      </c>
      <c r="F92" s="105">
        <v>0</v>
      </c>
      <c r="G92" s="104" t="e">
        <f>SUM('Draw #16'!G92)+F92</f>
        <v>#REF!</v>
      </c>
      <c r="H92" s="109" t="e">
        <f t="shared" si="2"/>
        <v>#REF!</v>
      </c>
      <c r="I92" s="110">
        <v>0</v>
      </c>
      <c r="J92" s="109">
        <f>SUM(I92+'Draw #16'!J92)</f>
        <v>0</v>
      </c>
      <c r="K92" s="101" t="str">
        <f t="shared" si="3"/>
        <v/>
      </c>
      <c r="L92" s="9"/>
      <c r="M92" s="9"/>
    </row>
    <row r="93" spans="1:13" ht="14.1" customHeight="1">
      <c r="A93" s="4" t="e">
        <f>'SCHEDULE OF VALUE WORKSHEET'!#REF!</f>
        <v>#REF!</v>
      </c>
      <c r="B93" s="142" t="e">
        <f>'SCHEDULE OF VALUE WORKSHEET'!#REF!</f>
        <v>#REF!</v>
      </c>
      <c r="C93" s="143"/>
      <c r="D93" s="104" t="e">
        <f>SUM('SCHEDULE OF VALUE WORKSHEET'!#REF!)</f>
        <v>#REF!</v>
      </c>
      <c r="E93" s="104">
        <f>SUM('Draw #16'!E93:F93)</f>
        <v>0</v>
      </c>
      <c r="F93" s="105">
        <v>0</v>
      </c>
      <c r="G93" s="104" t="e">
        <f>SUM('Draw #16'!G93)+F93</f>
        <v>#REF!</v>
      </c>
      <c r="H93" s="109" t="e">
        <f t="shared" si="2"/>
        <v>#REF!</v>
      </c>
      <c r="I93" s="110">
        <v>0</v>
      </c>
      <c r="J93" s="109">
        <f>SUM(I93+'Draw #16'!J93)</f>
        <v>0</v>
      </c>
      <c r="K93" s="101" t="str">
        <f t="shared" si="3"/>
        <v/>
      </c>
      <c r="L93" s="9"/>
      <c r="M93" s="9"/>
    </row>
    <row r="94" spans="1:13" ht="14.1" customHeight="1">
      <c r="A94" s="4" t="e">
        <f>'SCHEDULE OF VALUE WORKSHEET'!#REF!</f>
        <v>#REF!</v>
      </c>
      <c r="B94" s="142" t="e">
        <f>'SCHEDULE OF VALUE WORKSHEET'!#REF!</f>
        <v>#REF!</v>
      </c>
      <c r="C94" s="143"/>
      <c r="D94" s="104" t="e">
        <f>SUM('SCHEDULE OF VALUE WORKSHEET'!#REF!)</f>
        <v>#REF!</v>
      </c>
      <c r="E94" s="104">
        <f>SUM('Draw #16'!E94:F94)</f>
        <v>0</v>
      </c>
      <c r="F94" s="105">
        <v>0</v>
      </c>
      <c r="G94" s="104" t="e">
        <f>SUM('Draw #16'!G94)+F94</f>
        <v>#REF!</v>
      </c>
      <c r="H94" s="109" t="e">
        <f t="shared" si="2"/>
        <v>#REF!</v>
      </c>
      <c r="I94" s="110">
        <v>0</v>
      </c>
      <c r="J94" s="109">
        <f>SUM(I94+'Draw #16'!J94)</f>
        <v>0</v>
      </c>
      <c r="K94" s="101" t="str">
        <f t="shared" si="3"/>
        <v/>
      </c>
      <c r="L94" s="9"/>
      <c r="M94" s="9"/>
    </row>
    <row r="95" spans="1:13" ht="14.1" customHeight="1">
      <c r="A95" s="4" t="e">
        <f>'SCHEDULE OF VALUE WORKSHEET'!#REF!</f>
        <v>#REF!</v>
      </c>
      <c r="B95" s="142" t="e">
        <f>'SCHEDULE OF VALUE WORKSHEET'!#REF!</f>
        <v>#REF!</v>
      </c>
      <c r="C95" s="143"/>
      <c r="D95" s="104" t="e">
        <f>SUM('SCHEDULE OF VALUE WORKSHEET'!#REF!)</f>
        <v>#REF!</v>
      </c>
      <c r="E95" s="104">
        <f>SUM('Draw #16'!E95:F95)</f>
        <v>0</v>
      </c>
      <c r="F95" s="105">
        <v>0</v>
      </c>
      <c r="G95" s="104" t="e">
        <f>SUM('Draw #16'!G95)+F95</f>
        <v>#REF!</v>
      </c>
      <c r="H95" s="109" t="e">
        <f t="shared" si="2"/>
        <v>#REF!</v>
      </c>
      <c r="I95" s="110">
        <v>0</v>
      </c>
      <c r="J95" s="109">
        <f>SUM(I95+'Draw #16'!J95)</f>
        <v>0</v>
      </c>
      <c r="K95" s="101" t="str">
        <f t="shared" si="3"/>
        <v/>
      </c>
      <c r="L95" s="9"/>
      <c r="M95" s="9"/>
    </row>
    <row r="96" spans="1:13" ht="14.1" customHeight="1">
      <c r="A96" s="4" t="e">
        <f>'SCHEDULE OF VALUE WORKSHEET'!#REF!</f>
        <v>#REF!</v>
      </c>
      <c r="B96" s="142" t="e">
        <f>'SCHEDULE OF VALUE WORKSHEET'!#REF!</f>
        <v>#REF!</v>
      </c>
      <c r="C96" s="143"/>
      <c r="D96" s="104" t="e">
        <f>SUM('SCHEDULE OF VALUE WORKSHEET'!#REF!)</f>
        <v>#REF!</v>
      </c>
      <c r="E96" s="104">
        <f>SUM('Draw #16'!E96:F96)</f>
        <v>0</v>
      </c>
      <c r="F96" s="105">
        <v>0</v>
      </c>
      <c r="G96" s="104" t="e">
        <f>SUM('Draw #16'!G96)+F96</f>
        <v>#REF!</v>
      </c>
      <c r="H96" s="109" t="e">
        <f t="shared" si="2"/>
        <v>#REF!</v>
      </c>
      <c r="I96" s="110">
        <v>0</v>
      </c>
      <c r="J96" s="109">
        <f>SUM(I96+'Draw #16'!J96)</f>
        <v>0</v>
      </c>
      <c r="K96" s="101" t="str">
        <f t="shared" si="3"/>
        <v/>
      </c>
      <c r="L96" s="9"/>
      <c r="M96" s="9"/>
    </row>
    <row r="97" spans="1:13" ht="14.1" customHeight="1">
      <c r="A97" s="4" t="e">
        <f>'SCHEDULE OF VALUE WORKSHEET'!#REF!</f>
        <v>#REF!</v>
      </c>
      <c r="B97" s="142" t="e">
        <f>'SCHEDULE OF VALUE WORKSHEET'!#REF!</f>
        <v>#REF!</v>
      </c>
      <c r="C97" s="143"/>
      <c r="D97" s="104" t="e">
        <f>SUM('SCHEDULE OF VALUE WORKSHEET'!#REF!)</f>
        <v>#REF!</v>
      </c>
      <c r="E97" s="104">
        <f>SUM('Draw #16'!E97:F97)</f>
        <v>0</v>
      </c>
      <c r="F97" s="105">
        <v>0</v>
      </c>
      <c r="G97" s="104" t="e">
        <f>SUM('Draw #16'!G97)+F97</f>
        <v>#REF!</v>
      </c>
      <c r="H97" s="109" t="e">
        <f t="shared" si="2"/>
        <v>#REF!</v>
      </c>
      <c r="I97" s="110">
        <v>0</v>
      </c>
      <c r="J97" s="109">
        <f>SUM(I97+'Draw #16'!J97)</f>
        <v>0</v>
      </c>
      <c r="K97" s="101" t="str">
        <f t="shared" si="3"/>
        <v/>
      </c>
      <c r="L97" s="9"/>
      <c r="M97" s="9"/>
    </row>
    <row r="98" spans="1:13" ht="14.1" customHeight="1">
      <c r="A98" s="4" t="e">
        <f>'SCHEDULE OF VALUE WORKSHEET'!#REF!</f>
        <v>#REF!</v>
      </c>
      <c r="B98" s="142" t="e">
        <f>'SCHEDULE OF VALUE WORKSHEET'!#REF!</f>
        <v>#REF!</v>
      </c>
      <c r="C98" s="143"/>
      <c r="D98" s="104" t="e">
        <f>SUM('SCHEDULE OF VALUE WORKSHEET'!#REF!)</f>
        <v>#REF!</v>
      </c>
      <c r="E98" s="104">
        <f>SUM('Draw #16'!E98:F98)</f>
        <v>0</v>
      </c>
      <c r="F98" s="105">
        <v>0</v>
      </c>
      <c r="G98" s="104" t="e">
        <f>SUM('Draw #16'!G98)+F98</f>
        <v>#REF!</v>
      </c>
      <c r="H98" s="109" t="e">
        <f t="shared" si="2"/>
        <v>#REF!</v>
      </c>
      <c r="I98" s="110">
        <v>0</v>
      </c>
      <c r="J98" s="109">
        <f>SUM(I98+'Draw #16'!J98)</f>
        <v>0</v>
      </c>
      <c r="K98" s="101" t="str">
        <f t="shared" si="3"/>
        <v/>
      </c>
      <c r="L98" s="9"/>
      <c r="M98" s="9"/>
    </row>
    <row r="99" spans="1:13" ht="14.1" customHeight="1">
      <c r="A99" s="4" t="e">
        <f>'SCHEDULE OF VALUE WORKSHEET'!#REF!</f>
        <v>#REF!</v>
      </c>
      <c r="B99" s="142" t="e">
        <f>'SCHEDULE OF VALUE WORKSHEET'!#REF!</f>
        <v>#REF!</v>
      </c>
      <c r="C99" s="143"/>
      <c r="D99" s="104" t="e">
        <f>SUM('SCHEDULE OF VALUE WORKSHEET'!#REF!)</f>
        <v>#REF!</v>
      </c>
      <c r="E99" s="104">
        <f>SUM('Draw #16'!E99:F99)</f>
        <v>0</v>
      </c>
      <c r="F99" s="105">
        <v>0</v>
      </c>
      <c r="G99" s="104" t="e">
        <f>SUM('Draw #16'!G99)+F99</f>
        <v>#REF!</v>
      </c>
      <c r="H99" s="109" t="e">
        <f t="shared" si="2"/>
        <v>#REF!</v>
      </c>
      <c r="I99" s="110">
        <v>0</v>
      </c>
      <c r="J99" s="109">
        <f>SUM(I99+'Draw #16'!J99)</f>
        <v>0</v>
      </c>
      <c r="K99" s="101" t="str">
        <f t="shared" si="3"/>
        <v/>
      </c>
      <c r="L99" s="9"/>
      <c r="M99" s="9"/>
    </row>
    <row r="100" spans="1:13" ht="14.1" customHeight="1">
      <c r="A100" s="4" t="e">
        <f>'SCHEDULE OF VALUE WORKSHEET'!#REF!</f>
        <v>#REF!</v>
      </c>
      <c r="B100" s="142" t="e">
        <f>'SCHEDULE OF VALUE WORKSHEET'!#REF!</f>
        <v>#REF!</v>
      </c>
      <c r="C100" s="143"/>
      <c r="D100" s="104" t="e">
        <f>SUM('SCHEDULE OF VALUE WORKSHEET'!#REF!)</f>
        <v>#REF!</v>
      </c>
      <c r="E100" s="104">
        <f>SUM('Draw #16'!E100:F100)</f>
        <v>0</v>
      </c>
      <c r="F100" s="105">
        <v>0</v>
      </c>
      <c r="G100" s="104" t="e">
        <f>SUM('Draw #16'!G100)+F100</f>
        <v>#REF!</v>
      </c>
      <c r="H100" s="109" t="e">
        <f t="shared" si="2"/>
        <v>#REF!</v>
      </c>
      <c r="I100" s="110">
        <v>0</v>
      </c>
      <c r="J100" s="109">
        <f>SUM(I100+'Draw #16'!J100)</f>
        <v>0</v>
      </c>
      <c r="K100" s="101" t="str">
        <f t="shared" si="3"/>
        <v/>
      </c>
      <c r="L100" s="9"/>
      <c r="M100" s="9"/>
    </row>
    <row r="101" spans="1:13" ht="14.1" customHeight="1">
      <c r="A101" s="4" t="e">
        <f>'SCHEDULE OF VALUE WORKSHEET'!#REF!</f>
        <v>#REF!</v>
      </c>
      <c r="B101" s="142" t="e">
        <f>'SCHEDULE OF VALUE WORKSHEET'!#REF!</f>
        <v>#REF!</v>
      </c>
      <c r="C101" s="143"/>
      <c r="D101" s="104" t="e">
        <f>SUM('SCHEDULE OF VALUE WORKSHEET'!#REF!)</f>
        <v>#REF!</v>
      </c>
      <c r="E101" s="104">
        <f>SUM('Draw #16'!E101:F101)</f>
        <v>0</v>
      </c>
      <c r="F101" s="105">
        <v>0</v>
      </c>
      <c r="G101" s="104" t="e">
        <f>SUM('Draw #16'!G101)+F101</f>
        <v>#REF!</v>
      </c>
      <c r="H101" s="109" t="e">
        <f t="shared" si="2"/>
        <v>#REF!</v>
      </c>
      <c r="I101" s="110">
        <v>0</v>
      </c>
      <c r="J101" s="109">
        <f>SUM(I101+'Draw #16'!J101)</f>
        <v>0</v>
      </c>
      <c r="K101" s="101" t="str">
        <f t="shared" si="3"/>
        <v/>
      </c>
      <c r="L101" s="9"/>
      <c r="M101" s="9"/>
    </row>
    <row r="102" spans="1:13" ht="14.1" customHeight="1">
      <c r="A102" s="4" t="e">
        <f>'SCHEDULE OF VALUE WORKSHEET'!#REF!</f>
        <v>#REF!</v>
      </c>
      <c r="B102" s="142" t="e">
        <f>'SCHEDULE OF VALUE WORKSHEET'!#REF!</f>
        <v>#REF!</v>
      </c>
      <c r="C102" s="143"/>
      <c r="D102" s="104" t="e">
        <f>SUM('SCHEDULE OF VALUE WORKSHEET'!#REF!)</f>
        <v>#REF!</v>
      </c>
      <c r="E102" s="104">
        <f>SUM('Draw #16'!E102:F102)</f>
        <v>0</v>
      </c>
      <c r="F102" s="105">
        <v>0</v>
      </c>
      <c r="G102" s="104" t="e">
        <f>SUM('Draw #16'!G102)+F102</f>
        <v>#REF!</v>
      </c>
      <c r="H102" s="109" t="e">
        <f t="shared" si="2"/>
        <v>#REF!</v>
      </c>
      <c r="I102" s="110">
        <v>0</v>
      </c>
      <c r="J102" s="109">
        <f>SUM(I102+'Draw #16'!J102)</f>
        <v>0</v>
      </c>
      <c r="K102" s="101" t="str">
        <f t="shared" si="3"/>
        <v/>
      </c>
      <c r="L102" s="9"/>
      <c r="M102" s="9"/>
    </row>
    <row r="103" spans="1:13" ht="14.1" customHeight="1">
      <c r="A103" s="4" t="e">
        <f>'SCHEDULE OF VALUE WORKSHEET'!#REF!</f>
        <v>#REF!</v>
      </c>
      <c r="B103" s="142" t="e">
        <f>'SCHEDULE OF VALUE WORKSHEET'!#REF!</f>
        <v>#REF!</v>
      </c>
      <c r="C103" s="143"/>
      <c r="D103" s="104" t="e">
        <f>SUM('SCHEDULE OF VALUE WORKSHEET'!#REF!)</f>
        <v>#REF!</v>
      </c>
      <c r="E103" s="104">
        <f>SUM('Draw #16'!E103:F103)</f>
        <v>0</v>
      </c>
      <c r="F103" s="105">
        <v>0</v>
      </c>
      <c r="G103" s="104" t="e">
        <f>SUM('Draw #16'!G103)+F103</f>
        <v>#REF!</v>
      </c>
      <c r="H103" s="109" t="e">
        <f t="shared" si="2"/>
        <v>#REF!</v>
      </c>
      <c r="I103" s="110">
        <v>0</v>
      </c>
      <c r="J103" s="109">
        <f>SUM(I103+'Draw #16'!J103)</f>
        <v>0</v>
      </c>
      <c r="K103" s="101" t="str">
        <f t="shared" si="3"/>
        <v/>
      </c>
      <c r="L103" s="9"/>
      <c r="M103" s="9"/>
    </row>
    <row r="104" spans="1:13" ht="14.1" customHeight="1">
      <c r="A104" s="4" t="e">
        <f>'SCHEDULE OF VALUE WORKSHEET'!#REF!</f>
        <v>#REF!</v>
      </c>
      <c r="B104" s="142" t="e">
        <f>'SCHEDULE OF VALUE WORKSHEET'!#REF!</f>
        <v>#REF!</v>
      </c>
      <c r="C104" s="143"/>
      <c r="D104" s="104" t="e">
        <f>SUM('SCHEDULE OF VALUE WORKSHEET'!#REF!)</f>
        <v>#REF!</v>
      </c>
      <c r="E104" s="104">
        <f>SUM('Draw #16'!E104:F104)</f>
        <v>0</v>
      </c>
      <c r="F104" s="105">
        <v>0</v>
      </c>
      <c r="G104" s="104" t="e">
        <f>SUM('Draw #16'!G104)+F104</f>
        <v>#REF!</v>
      </c>
      <c r="H104" s="109" t="e">
        <f t="shared" si="2"/>
        <v>#REF!</v>
      </c>
      <c r="I104" s="110">
        <v>0</v>
      </c>
      <c r="J104" s="109">
        <f>SUM(I104+'Draw #16'!J104)</f>
        <v>0</v>
      </c>
      <c r="K104" s="101" t="str">
        <f t="shared" si="3"/>
        <v/>
      </c>
      <c r="L104" s="9"/>
      <c r="M104" s="9"/>
    </row>
    <row r="105" spans="1:13" ht="14.1" customHeight="1">
      <c r="A105" s="4" t="e">
        <f>'SCHEDULE OF VALUE WORKSHEET'!#REF!</f>
        <v>#REF!</v>
      </c>
      <c r="B105" s="142" t="e">
        <f>'SCHEDULE OF VALUE WORKSHEET'!#REF!</f>
        <v>#REF!</v>
      </c>
      <c r="C105" s="143"/>
      <c r="D105" s="104" t="e">
        <f>SUM('SCHEDULE OF VALUE WORKSHEET'!#REF!)</f>
        <v>#REF!</v>
      </c>
      <c r="E105" s="104">
        <f>SUM('Draw #16'!E105:F105)</f>
        <v>0</v>
      </c>
      <c r="F105" s="105">
        <v>0</v>
      </c>
      <c r="G105" s="104" t="e">
        <f>SUM('Draw #16'!G105)+F105</f>
        <v>#REF!</v>
      </c>
      <c r="H105" s="109" t="e">
        <f t="shared" si="2"/>
        <v>#REF!</v>
      </c>
      <c r="I105" s="110">
        <v>0</v>
      </c>
      <c r="J105" s="109">
        <f>SUM(I105+'Draw #16'!J105)</f>
        <v>0</v>
      </c>
      <c r="K105" s="101" t="str">
        <f t="shared" si="3"/>
        <v/>
      </c>
      <c r="L105" s="9"/>
      <c r="M105" s="9"/>
    </row>
    <row r="106" spans="1:13" ht="14.1" customHeight="1">
      <c r="A106" s="4" t="e">
        <f>'SCHEDULE OF VALUE WORKSHEET'!#REF!</f>
        <v>#REF!</v>
      </c>
      <c r="B106" s="142" t="e">
        <f>'SCHEDULE OF VALUE WORKSHEET'!#REF!</f>
        <v>#REF!</v>
      </c>
      <c r="C106" s="143"/>
      <c r="D106" s="104" t="e">
        <f>SUM('SCHEDULE OF VALUE WORKSHEET'!#REF!)</f>
        <v>#REF!</v>
      </c>
      <c r="E106" s="104">
        <f>SUM('Draw #16'!E106:F106)</f>
        <v>0</v>
      </c>
      <c r="F106" s="105">
        <v>0</v>
      </c>
      <c r="G106" s="104" t="e">
        <f>SUM('Draw #16'!G106)+F106</f>
        <v>#REF!</v>
      </c>
      <c r="H106" s="109" t="e">
        <f t="shared" si="2"/>
        <v>#REF!</v>
      </c>
      <c r="I106" s="110">
        <v>0</v>
      </c>
      <c r="J106" s="109">
        <f>SUM(I106+'Draw #16'!J106)</f>
        <v>0</v>
      </c>
      <c r="K106" s="101" t="str">
        <f t="shared" si="3"/>
        <v/>
      </c>
      <c r="L106" s="9"/>
      <c r="M106" s="9"/>
    </row>
    <row r="107" spans="1:13" ht="14.1" customHeight="1">
      <c r="A107" s="4" t="e">
        <f>'SCHEDULE OF VALUE WORKSHEET'!#REF!</f>
        <v>#REF!</v>
      </c>
      <c r="B107" s="142" t="e">
        <f>'SCHEDULE OF VALUE WORKSHEET'!#REF!</f>
        <v>#REF!</v>
      </c>
      <c r="C107" s="143"/>
      <c r="D107" s="104" t="e">
        <f>SUM('SCHEDULE OF VALUE WORKSHEET'!#REF!)</f>
        <v>#REF!</v>
      </c>
      <c r="E107" s="104">
        <f>SUM('Draw #16'!E107:F107)</f>
        <v>0</v>
      </c>
      <c r="F107" s="105">
        <v>0</v>
      </c>
      <c r="G107" s="104" t="e">
        <f>SUM('Draw #16'!G107)+F107</f>
        <v>#REF!</v>
      </c>
      <c r="H107" s="109" t="e">
        <f t="shared" si="2"/>
        <v>#REF!</v>
      </c>
      <c r="I107" s="110">
        <v>0</v>
      </c>
      <c r="J107" s="109">
        <f>SUM(I107+'Draw #16'!J107)</f>
        <v>0</v>
      </c>
      <c r="K107" s="101" t="str">
        <f t="shared" si="3"/>
        <v/>
      </c>
      <c r="L107" s="9"/>
      <c r="M107" s="9"/>
    </row>
    <row r="108" spans="1:13" ht="14.1" customHeight="1">
      <c r="A108" s="4" t="e">
        <f>'SCHEDULE OF VALUE WORKSHEET'!#REF!</f>
        <v>#REF!</v>
      </c>
      <c r="B108" s="142" t="e">
        <f>'SCHEDULE OF VALUE WORKSHEET'!#REF!</f>
        <v>#REF!</v>
      </c>
      <c r="C108" s="143"/>
      <c r="D108" s="104" t="e">
        <f>SUM('SCHEDULE OF VALUE WORKSHEET'!#REF!)</f>
        <v>#REF!</v>
      </c>
      <c r="E108" s="104">
        <f>SUM('Draw #16'!E108:F108)</f>
        <v>0</v>
      </c>
      <c r="F108" s="105">
        <v>0</v>
      </c>
      <c r="G108" s="104" t="e">
        <f>SUM('Draw #16'!G108)+F108</f>
        <v>#REF!</v>
      </c>
      <c r="H108" s="109" t="e">
        <f t="shared" si="2"/>
        <v>#REF!</v>
      </c>
      <c r="I108" s="110">
        <v>0</v>
      </c>
      <c r="J108" s="109">
        <f>SUM(I108+'Draw #16'!J108)</f>
        <v>0</v>
      </c>
      <c r="K108" s="101" t="str">
        <f t="shared" si="3"/>
        <v/>
      </c>
      <c r="L108" s="9"/>
      <c r="M108" s="9"/>
    </row>
    <row r="109" spans="1:13" ht="14.1" customHeight="1">
      <c r="A109" s="4" t="e">
        <f>'SCHEDULE OF VALUE WORKSHEET'!#REF!</f>
        <v>#REF!</v>
      </c>
      <c r="B109" s="142" t="e">
        <f>'SCHEDULE OF VALUE WORKSHEET'!#REF!</f>
        <v>#REF!</v>
      </c>
      <c r="C109" s="143"/>
      <c r="D109" s="104" t="e">
        <f>SUM('SCHEDULE OF VALUE WORKSHEET'!#REF!)</f>
        <v>#REF!</v>
      </c>
      <c r="E109" s="104">
        <f>SUM('Draw #16'!E109:F109)</f>
        <v>0</v>
      </c>
      <c r="F109" s="105">
        <v>0</v>
      </c>
      <c r="G109" s="104" t="e">
        <f>SUM('Draw #16'!G109)+F109</f>
        <v>#REF!</v>
      </c>
      <c r="H109" s="109" t="e">
        <f t="shared" si="2"/>
        <v>#REF!</v>
      </c>
      <c r="I109" s="110">
        <v>0</v>
      </c>
      <c r="J109" s="109">
        <f>SUM(I109+'Draw #16'!J109)</f>
        <v>0</v>
      </c>
      <c r="K109" s="101" t="str">
        <f t="shared" si="3"/>
        <v/>
      </c>
      <c r="L109" s="9"/>
      <c r="M109" s="9"/>
    </row>
    <row r="110" spans="1:13" ht="14.1" customHeight="1">
      <c r="A110" s="4" t="e">
        <f>'SCHEDULE OF VALUE WORKSHEET'!#REF!</f>
        <v>#REF!</v>
      </c>
      <c r="B110" s="142" t="e">
        <f>'SCHEDULE OF VALUE WORKSHEET'!#REF!</f>
        <v>#REF!</v>
      </c>
      <c r="C110" s="143"/>
      <c r="D110" s="104" t="e">
        <f>SUM('SCHEDULE OF VALUE WORKSHEET'!#REF!)</f>
        <v>#REF!</v>
      </c>
      <c r="E110" s="104">
        <f>SUM('Draw #16'!E110:F110)</f>
        <v>0</v>
      </c>
      <c r="F110" s="105">
        <v>0</v>
      </c>
      <c r="G110" s="104" t="e">
        <f>SUM('Draw #16'!G110)+F110</f>
        <v>#REF!</v>
      </c>
      <c r="H110" s="109" t="e">
        <f t="shared" si="2"/>
        <v>#REF!</v>
      </c>
      <c r="I110" s="110">
        <v>0</v>
      </c>
      <c r="J110" s="109">
        <f>SUM(I110+'Draw #16'!J110)</f>
        <v>0</v>
      </c>
      <c r="K110" s="101" t="str">
        <f t="shared" si="3"/>
        <v/>
      </c>
      <c r="L110" s="9"/>
      <c r="M110" s="9"/>
    </row>
    <row r="111" spans="1:13" ht="14.1" customHeight="1">
      <c r="A111" s="4" t="e">
        <f>'SCHEDULE OF VALUE WORKSHEET'!#REF!</f>
        <v>#REF!</v>
      </c>
      <c r="B111" s="142" t="e">
        <f>'SCHEDULE OF VALUE WORKSHEET'!#REF!</f>
        <v>#REF!</v>
      </c>
      <c r="C111" s="143"/>
      <c r="D111" s="104" t="e">
        <f>SUM('SCHEDULE OF VALUE WORKSHEET'!#REF!)</f>
        <v>#REF!</v>
      </c>
      <c r="E111" s="104">
        <f>SUM('Draw #16'!E111:F111)</f>
        <v>0</v>
      </c>
      <c r="F111" s="105">
        <v>0</v>
      </c>
      <c r="G111" s="104" t="e">
        <f>SUM('Draw #16'!G111)+F111</f>
        <v>#REF!</v>
      </c>
      <c r="H111" s="109" t="e">
        <f t="shared" si="2"/>
        <v>#REF!</v>
      </c>
      <c r="I111" s="110">
        <v>0</v>
      </c>
      <c r="J111" s="109">
        <f>SUM(I111+'Draw #16'!J111)</f>
        <v>0</v>
      </c>
      <c r="K111" s="101" t="str">
        <f t="shared" si="3"/>
        <v/>
      </c>
      <c r="L111" s="9"/>
      <c r="M111" s="9"/>
    </row>
    <row r="112" spans="1:13" ht="14.1" customHeight="1">
      <c r="A112" s="4" t="e">
        <f>'SCHEDULE OF VALUE WORKSHEET'!#REF!</f>
        <v>#REF!</v>
      </c>
      <c r="B112" s="142" t="e">
        <f>'SCHEDULE OF VALUE WORKSHEET'!#REF!</f>
        <v>#REF!</v>
      </c>
      <c r="C112" s="143"/>
      <c r="D112" s="104" t="e">
        <f>SUM('SCHEDULE OF VALUE WORKSHEET'!#REF!)</f>
        <v>#REF!</v>
      </c>
      <c r="E112" s="104">
        <f>SUM('Draw #16'!E112:F112)</f>
        <v>0</v>
      </c>
      <c r="F112" s="105">
        <v>0</v>
      </c>
      <c r="G112" s="104" t="e">
        <f>SUM('Draw #16'!G112)+F112</f>
        <v>#REF!</v>
      </c>
      <c r="H112" s="109" t="e">
        <f t="shared" si="2"/>
        <v>#REF!</v>
      </c>
      <c r="I112" s="110">
        <v>0</v>
      </c>
      <c r="J112" s="109">
        <f>SUM(I112+'Draw #16'!J112)</f>
        <v>0</v>
      </c>
      <c r="K112" s="101" t="str">
        <f t="shared" si="3"/>
        <v/>
      </c>
      <c r="L112" s="9"/>
      <c r="M112" s="9"/>
    </row>
    <row r="113" spans="1:13" ht="14.1" customHeight="1">
      <c r="A113" s="4" t="e">
        <f>'SCHEDULE OF VALUE WORKSHEET'!#REF!</f>
        <v>#REF!</v>
      </c>
      <c r="B113" s="142" t="e">
        <f>'SCHEDULE OF VALUE WORKSHEET'!#REF!</f>
        <v>#REF!</v>
      </c>
      <c r="C113" s="143"/>
      <c r="D113" s="104" t="e">
        <f>SUM('SCHEDULE OF VALUE WORKSHEET'!#REF!)</f>
        <v>#REF!</v>
      </c>
      <c r="E113" s="104">
        <f>SUM('Draw #16'!E113:F113)</f>
        <v>0</v>
      </c>
      <c r="F113" s="105">
        <v>0</v>
      </c>
      <c r="G113" s="104" t="e">
        <f>SUM('Draw #16'!G113)+F113</f>
        <v>#REF!</v>
      </c>
      <c r="H113" s="109" t="e">
        <f t="shared" si="2"/>
        <v>#REF!</v>
      </c>
      <c r="I113" s="110">
        <v>0</v>
      </c>
      <c r="J113" s="109">
        <f>SUM(I113+'Draw #16'!J113)</f>
        <v>0</v>
      </c>
      <c r="K113" s="101" t="str">
        <f t="shared" si="3"/>
        <v/>
      </c>
      <c r="L113" s="9"/>
      <c r="M113" s="9"/>
    </row>
    <row r="114" spans="1:13" ht="14.1" customHeight="1">
      <c r="A114" s="4" t="e">
        <f>'SCHEDULE OF VALUE WORKSHEET'!#REF!</f>
        <v>#REF!</v>
      </c>
      <c r="B114" s="142" t="e">
        <f>'SCHEDULE OF VALUE WORKSHEET'!#REF!</f>
        <v>#REF!</v>
      </c>
      <c r="C114" s="143"/>
      <c r="D114" s="104" t="e">
        <f>SUM('SCHEDULE OF VALUE WORKSHEET'!#REF!)</f>
        <v>#REF!</v>
      </c>
      <c r="E114" s="104">
        <f>SUM('Draw #16'!E114:F114)</f>
        <v>0</v>
      </c>
      <c r="F114" s="105">
        <v>0</v>
      </c>
      <c r="G114" s="104" t="e">
        <f>SUM('Draw #16'!G114)+F114</f>
        <v>#REF!</v>
      </c>
      <c r="H114" s="109" t="e">
        <f t="shared" si="2"/>
        <v>#REF!</v>
      </c>
      <c r="I114" s="110">
        <v>0</v>
      </c>
      <c r="J114" s="109">
        <f>SUM(I114+'Draw #16'!J114)</f>
        <v>0</v>
      </c>
      <c r="K114" s="101" t="str">
        <f t="shared" si="3"/>
        <v/>
      </c>
      <c r="L114" s="9"/>
      <c r="M114" s="9"/>
    </row>
    <row r="115" spans="1:13" ht="14.1" customHeight="1">
      <c r="A115" s="4" t="e">
        <f>'SCHEDULE OF VALUE WORKSHEET'!#REF!</f>
        <v>#REF!</v>
      </c>
      <c r="B115" s="142" t="e">
        <f>'SCHEDULE OF VALUE WORKSHEET'!#REF!</f>
        <v>#REF!</v>
      </c>
      <c r="C115" s="143"/>
      <c r="D115" s="104" t="e">
        <f>SUM('SCHEDULE OF VALUE WORKSHEET'!#REF!)</f>
        <v>#REF!</v>
      </c>
      <c r="E115" s="104">
        <f>SUM('Draw #16'!E115:F115)</f>
        <v>0</v>
      </c>
      <c r="F115" s="105">
        <v>0</v>
      </c>
      <c r="G115" s="104" t="e">
        <f>SUM('Draw #16'!G115)+F115</f>
        <v>#REF!</v>
      </c>
      <c r="H115" s="109" t="e">
        <f t="shared" si="2"/>
        <v>#REF!</v>
      </c>
      <c r="I115" s="110">
        <v>0</v>
      </c>
      <c r="J115" s="109">
        <f>SUM(I115+'Draw #16'!J115)</f>
        <v>0</v>
      </c>
      <c r="K115" s="101" t="str">
        <f t="shared" si="3"/>
        <v/>
      </c>
      <c r="L115" s="9"/>
      <c r="M115" s="9"/>
    </row>
    <row r="116" spans="1:13" ht="14.1" customHeight="1">
      <c r="A116" s="4" t="e">
        <f>'SCHEDULE OF VALUE WORKSHEET'!#REF!</f>
        <v>#REF!</v>
      </c>
      <c r="B116" s="142" t="e">
        <f>'SCHEDULE OF VALUE WORKSHEET'!#REF!</f>
        <v>#REF!</v>
      </c>
      <c r="C116" s="143"/>
      <c r="D116" s="104" t="e">
        <f>SUM('SCHEDULE OF VALUE WORKSHEET'!#REF!)</f>
        <v>#REF!</v>
      </c>
      <c r="E116" s="104">
        <f>SUM('Draw #16'!E116:F116)</f>
        <v>0</v>
      </c>
      <c r="F116" s="105">
        <v>0</v>
      </c>
      <c r="G116" s="104" t="e">
        <f>SUM('Draw #16'!G116)+F116</f>
        <v>#REF!</v>
      </c>
      <c r="H116" s="109" t="e">
        <f t="shared" si="2"/>
        <v>#REF!</v>
      </c>
      <c r="I116" s="110">
        <v>0</v>
      </c>
      <c r="J116" s="109">
        <f>SUM(I116+'Draw #16'!J116)</f>
        <v>0</v>
      </c>
      <c r="K116" s="101" t="str">
        <f t="shared" si="3"/>
        <v/>
      </c>
      <c r="L116" s="9"/>
      <c r="M116" s="9"/>
    </row>
    <row r="117" spans="1:13" ht="14.1" customHeight="1">
      <c r="A117" s="4">
        <f>'SCHEDULE OF VALUE WORKSHEET'!A87</f>
        <v>82</v>
      </c>
      <c r="B117" s="142" t="str">
        <f>'SCHEDULE OF VALUE WORKSHEET'!B87</f>
        <v xml:space="preserve">Open Item </v>
      </c>
      <c r="C117" s="143"/>
      <c r="D117" s="104">
        <f>SUM('SCHEDULE OF VALUE WORKSHEET'!E87)</f>
        <v>0</v>
      </c>
      <c r="E117" s="104">
        <f>SUM('Draw #16'!E117:F117)</f>
        <v>0</v>
      </c>
      <c r="F117" s="105">
        <v>0</v>
      </c>
      <c r="G117" s="104">
        <f>SUM('Draw #16'!G117)+F117</f>
        <v>0</v>
      </c>
      <c r="H117" s="109">
        <f t="shared" si="2"/>
        <v>0</v>
      </c>
      <c r="I117" s="110">
        <v>0</v>
      </c>
      <c r="J117" s="109">
        <f>SUM(I117+'Draw #16'!J117)</f>
        <v>0</v>
      </c>
      <c r="K117" s="101" t="str">
        <f t="shared" si="3"/>
        <v/>
      </c>
      <c r="L117" s="9"/>
      <c r="M117" s="9"/>
    </row>
    <row r="118" spans="1:13" ht="14.1" customHeight="1">
      <c r="A118" s="4">
        <f>'SCHEDULE OF VALUE WORKSHEET'!A88</f>
        <v>83</v>
      </c>
      <c r="B118" s="142" t="str">
        <f>'SCHEDULE OF VALUE WORKSHEET'!B88</f>
        <v xml:space="preserve">Open Item </v>
      </c>
      <c r="C118" s="143"/>
      <c r="D118" s="104">
        <f>SUM('SCHEDULE OF VALUE WORKSHEET'!E88)</f>
        <v>0</v>
      </c>
      <c r="E118" s="104">
        <f>SUM('Draw #16'!E118:F118)</f>
        <v>0</v>
      </c>
      <c r="F118" s="105">
        <v>0</v>
      </c>
      <c r="G118" s="104">
        <f>SUM('Draw #16'!G118)+F118</f>
        <v>0</v>
      </c>
      <c r="H118" s="109">
        <f t="shared" si="2"/>
        <v>0</v>
      </c>
      <c r="I118" s="110">
        <v>0</v>
      </c>
      <c r="J118" s="109">
        <f>SUM(I118+'Draw #16'!J118)</f>
        <v>0</v>
      </c>
      <c r="K118" s="101" t="str">
        <f t="shared" si="3"/>
        <v/>
      </c>
      <c r="L118" s="9"/>
      <c r="M118" s="9"/>
    </row>
    <row r="119" spans="1:13" ht="14.1" customHeight="1">
      <c r="A119" s="4">
        <f>'SCHEDULE OF VALUE WORKSHEET'!A89</f>
        <v>84</v>
      </c>
      <c r="B119" s="142" t="str">
        <f>'SCHEDULE OF VALUE WORKSHEET'!B89</f>
        <v xml:space="preserve">Open Item </v>
      </c>
      <c r="C119" s="143"/>
      <c r="D119" s="104">
        <f>SUM('SCHEDULE OF VALUE WORKSHEET'!E89)</f>
        <v>0</v>
      </c>
      <c r="E119" s="104">
        <f>SUM('Draw #16'!E119:F119)</f>
        <v>0</v>
      </c>
      <c r="F119" s="105">
        <v>0</v>
      </c>
      <c r="G119" s="104">
        <f>SUM('Draw #16'!G119)+F119</f>
        <v>0</v>
      </c>
      <c r="H119" s="109">
        <f t="shared" si="2"/>
        <v>0</v>
      </c>
      <c r="I119" s="110">
        <v>0</v>
      </c>
      <c r="J119" s="109">
        <f>SUM(I119+'Draw #16'!J119)</f>
        <v>0</v>
      </c>
      <c r="K119" s="101" t="str">
        <f t="shared" si="3"/>
        <v/>
      </c>
      <c r="L119" s="9"/>
      <c r="M119" s="9"/>
    </row>
    <row r="120" spans="1:13" ht="14.1" customHeight="1">
      <c r="A120" s="4">
        <f>'SCHEDULE OF VALUE WORKSHEET'!A90</f>
        <v>85</v>
      </c>
      <c r="B120" s="142" t="str">
        <f>'SCHEDULE OF VALUE WORKSHEET'!B90</f>
        <v xml:space="preserve">Open Item </v>
      </c>
      <c r="C120" s="143"/>
      <c r="D120" s="104">
        <f>SUM('SCHEDULE OF VALUE WORKSHEET'!E90)</f>
        <v>0</v>
      </c>
      <c r="E120" s="104">
        <f>SUM('Draw #16'!E120:F120)</f>
        <v>0</v>
      </c>
      <c r="F120" s="105">
        <v>0</v>
      </c>
      <c r="G120" s="104">
        <f>SUM('Draw #16'!G120)+F120</f>
        <v>0</v>
      </c>
      <c r="H120" s="109">
        <f t="shared" si="2"/>
        <v>0</v>
      </c>
      <c r="I120" s="110">
        <v>0</v>
      </c>
      <c r="J120" s="109">
        <f>SUM(I120+'Draw #16'!J120)</f>
        <v>0</v>
      </c>
      <c r="K120" s="101" t="str">
        <f t="shared" si="3"/>
        <v/>
      </c>
      <c r="L120" s="9"/>
      <c r="M120" s="9"/>
    </row>
    <row r="121" spans="1:13" ht="14.1" customHeight="1">
      <c r="A121" s="4">
        <f>'SCHEDULE OF VALUE WORKSHEET'!A91</f>
        <v>86</v>
      </c>
      <c r="B121" s="142" t="str">
        <f>'SCHEDULE OF VALUE WORKSHEET'!B91</f>
        <v xml:space="preserve">Open Item </v>
      </c>
      <c r="C121" s="143"/>
      <c r="D121" s="104">
        <f>SUM('SCHEDULE OF VALUE WORKSHEET'!E91)</f>
        <v>0</v>
      </c>
      <c r="E121" s="104">
        <f>SUM('Draw #16'!E121:F121)</f>
        <v>0</v>
      </c>
      <c r="F121" s="105">
        <v>0</v>
      </c>
      <c r="G121" s="104">
        <f>SUM('Draw #16'!G121)+F121</f>
        <v>0</v>
      </c>
      <c r="H121" s="109">
        <f t="shared" si="2"/>
        <v>0</v>
      </c>
      <c r="I121" s="110">
        <v>0</v>
      </c>
      <c r="J121" s="109">
        <f>SUM(I121+'Draw #16'!J121)</f>
        <v>0</v>
      </c>
      <c r="K121" s="101" t="str">
        <f t="shared" si="3"/>
        <v/>
      </c>
      <c r="L121" s="9"/>
      <c r="M121" s="9"/>
    </row>
    <row r="122" spans="1:13" ht="14.1" customHeight="1">
      <c r="A122" s="4">
        <f>'SCHEDULE OF VALUE WORKSHEET'!A92</f>
        <v>87</v>
      </c>
      <c r="B122" s="142" t="str">
        <f>'SCHEDULE OF VALUE WORKSHEET'!B92</f>
        <v xml:space="preserve">Open Item </v>
      </c>
      <c r="C122" s="143"/>
      <c r="D122" s="104">
        <f>SUM('SCHEDULE OF VALUE WORKSHEET'!E92)</f>
        <v>0</v>
      </c>
      <c r="E122" s="104">
        <f>SUM('Draw #16'!E122:F122)</f>
        <v>0</v>
      </c>
      <c r="F122" s="105">
        <v>0</v>
      </c>
      <c r="G122" s="104">
        <f>SUM('Draw #16'!G122)+F122</f>
        <v>0</v>
      </c>
      <c r="H122" s="109">
        <f t="shared" si="2"/>
        <v>0</v>
      </c>
      <c r="I122" s="110">
        <v>0</v>
      </c>
      <c r="J122" s="109">
        <f>SUM(I122+'Draw #16'!J122)</f>
        <v>0</v>
      </c>
      <c r="K122" s="101" t="str">
        <f t="shared" si="3"/>
        <v/>
      </c>
      <c r="L122" s="9"/>
      <c r="M122" s="9"/>
    </row>
    <row r="123" spans="1:13" ht="14.1" customHeight="1">
      <c r="A123" s="4">
        <f>'SCHEDULE OF VALUE WORKSHEET'!A93</f>
        <v>88</v>
      </c>
      <c r="B123" s="142" t="str">
        <f>'SCHEDULE OF VALUE WORKSHEET'!B93</f>
        <v xml:space="preserve">Open Item </v>
      </c>
      <c r="C123" s="143"/>
      <c r="D123" s="104">
        <f>SUM('SCHEDULE OF VALUE WORKSHEET'!E93)</f>
        <v>0</v>
      </c>
      <c r="E123" s="104">
        <f>SUM('Draw #16'!E123:F123)</f>
        <v>0</v>
      </c>
      <c r="F123" s="105">
        <v>0</v>
      </c>
      <c r="G123" s="104">
        <f>SUM('Draw #16'!G123)+F123</f>
        <v>0</v>
      </c>
      <c r="H123" s="109">
        <f t="shared" si="2"/>
        <v>0</v>
      </c>
      <c r="I123" s="110">
        <v>0</v>
      </c>
      <c r="J123" s="109">
        <f>SUM(I123+'Draw #16'!J123)</f>
        <v>0</v>
      </c>
      <c r="K123" s="101" t="str">
        <f t="shared" si="3"/>
        <v/>
      </c>
      <c r="L123" s="9"/>
      <c r="M123" s="9"/>
    </row>
    <row r="124" spans="1:13" ht="14.1" customHeight="1">
      <c r="A124" s="4">
        <f>'SCHEDULE OF VALUE WORKSHEET'!A94</f>
        <v>89</v>
      </c>
      <c r="B124" s="142" t="str">
        <f>'SCHEDULE OF VALUE WORKSHEET'!B94</f>
        <v xml:space="preserve">Open Item </v>
      </c>
      <c r="C124" s="143"/>
      <c r="D124" s="104">
        <f>SUM('SCHEDULE OF VALUE WORKSHEET'!E94)</f>
        <v>0</v>
      </c>
      <c r="E124" s="104">
        <f>SUM('Draw #16'!E124:F124)</f>
        <v>0</v>
      </c>
      <c r="F124" s="105">
        <v>0</v>
      </c>
      <c r="G124" s="104">
        <f>SUM('Draw #16'!G124)+F124</f>
        <v>0</v>
      </c>
      <c r="H124" s="109">
        <f t="shared" si="2"/>
        <v>0</v>
      </c>
      <c r="I124" s="110">
        <v>0</v>
      </c>
      <c r="J124" s="109">
        <f>SUM(I124+'Draw #16'!J124)</f>
        <v>0</v>
      </c>
      <c r="K124" s="101" t="str">
        <f t="shared" si="3"/>
        <v/>
      </c>
      <c r="L124" s="9"/>
      <c r="M124" s="9"/>
    </row>
    <row r="125" spans="1:13" ht="14.1" customHeight="1">
      <c r="A125" s="4">
        <f>'SCHEDULE OF VALUE WORKSHEET'!A95</f>
        <v>90</v>
      </c>
      <c r="B125" s="142" t="str">
        <f>'SCHEDULE OF VALUE WORKSHEET'!B95</f>
        <v xml:space="preserve">Open Item </v>
      </c>
      <c r="C125" s="143"/>
      <c r="D125" s="104">
        <f>SUM('SCHEDULE OF VALUE WORKSHEET'!E95)</f>
        <v>0</v>
      </c>
      <c r="E125" s="104">
        <f>SUM('Draw #16'!E125:F125)</f>
        <v>0</v>
      </c>
      <c r="F125" s="105">
        <v>0</v>
      </c>
      <c r="G125" s="104">
        <f>SUM('Draw #16'!G125)+F125</f>
        <v>0</v>
      </c>
      <c r="H125" s="109">
        <f t="shared" si="2"/>
        <v>0</v>
      </c>
      <c r="I125" s="110">
        <v>0</v>
      </c>
      <c r="J125" s="109">
        <f>SUM(I125+'Draw #16'!J125)</f>
        <v>0</v>
      </c>
      <c r="K125" s="101" t="str">
        <f t="shared" si="3"/>
        <v/>
      </c>
      <c r="L125" s="9"/>
      <c r="M125" s="9"/>
    </row>
    <row r="126" spans="1:13" ht="14.1" customHeight="1">
      <c r="A126" s="4">
        <f>'SCHEDULE OF VALUE WORKSHEET'!A96</f>
        <v>91</v>
      </c>
      <c r="B126" s="142" t="str">
        <f>'SCHEDULE OF VALUE WORKSHEET'!B96</f>
        <v xml:space="preserve">Open Item </v>
      </c>
      <c r="C126" s="143"/>
      <c r="D126" s="104">
        <f>SUM('SCHEDULE OF VALUE WORKSHEET'!E96)</f>
        <v>0</v>
      </c>
      <c r="E126" s="104">
        <f>SUM('Draw #16'!E126:F126)</f>
        <v>0</v>
      </c>
      <c r="F126" s="105">
        <v>0</v>
      </c>
      <c r="G126" s="104">
        <f>SUM('Draw #16'!G126)+F126</f>
        <v>0</v>
      </c>
      <c r="H126" s="109">
        <f t="shared" si="2"/>
        <v>0</v>
      </c>
      <c r="I126" s="110">
        <v>0</v>
      </c>
      <c r="J126" s="109">
        <f>SUM(I126+'Draw #16'!J126)</f>
        <v>0</v>
      </c>
      <c r="K126" s="101" t="str">
        <f t="shared" si="3"/>
        <v/>
      </c>
      <c r="L126" s="9"/>
      <c r="M126" s="9"/>
    </row>
    <row r="127" spans="1:13" ht="14.1" customHeight="1">
      <c r="A127" s="4">
        <f>'SCHEDULE OF VALUE WORKSHEET'!A97</f>
        <v>92</v>
      </c>
      <c r="B127" s="142" t="str">
        <f>'SCHEDULE OF VALUE WORKSHEET'!B97</f>
        <v xml:space="preserve">Open Item </v>
      </c>
      <c r="C127" s="143"/>
      <c r="D127" s="104">
        <f>SUM('SCHEDULE OF VALUE WORKSHEET'!E97)</f>
        <v>0</v>
      </c>
      <c r="E127" s="104">
        <f>SUM('Draw #16'!E127:F127)</f>
        <v>0</v>
      </c>
      <c r="F127" s="105">
        <v>0</v>
      </c>
      <c r="G127" s="104">
        <f>SUM('Draw #16'!G127)+F127</f>
        <v>0</v>
      </c>
      <c r="H127" s="109">
        <f t="shared" si="2"/>
        <v>0</v>
      </c>
      <c r="I127" s="110">
        <v>0</v>
      </c>
      <c r="J127" s="109">
        <f>SUM(I127+'Draw #16'!J127)</f>
        <v>0</v>
      </c>
      <c r="K127" s="101" t="str">
        <f t="shared" si="3"/>
        <v/>
      </c>
      <c r="L127" s="9"/>
      <c r="M127" s="9"/>
    </row>
    <row r="128" spans="1:13" ht="14.1" customHeight="1">
      <c r="A128" s="4">
        <f>'SCHEDULE OF VALUE WORKSHEET'!A98</f>
        <v>93</v>
      </c>
      <c r="B128" s="142" t="str">
        <f>'SCHEDULE OF VALUE WORKSHEET'!B98</f>
        <v xml:space="preserve">Open Item </v>
      </c>
      <c r="C128" s="143"/>
      <c r="D128" s="104">
        <f>SUM('SCHEDULE OF VALUE WORKSHEET'!E98)</f>
        <v>0</v>
      </c>
      <c r="E128" s="104">
        <f>SUM('Draw #16'!E128:F128)</f>
        <v>0</v>
      </c>
      <c r="F128" s="105">
        <v>0</v>
      </c>
      <c r="G128" s="104">
        <f>SUM('Draw #16'!G128)+F128</f>
        <v>0</v>
      </c>
      <c r="H128" s="109">
        <f t="shared" si="2"/>
        <v>0</v>
      </c>
      <c r="I128" s="110">
        <v>0</v>
      </c>
      <c r="J128" s="109">
        <f>SUM(I128+'Draw #16'!J128)</f>
        <v>0</v>
      </c>
      <c r="K128" s="101" t="str">
        <f t="shared" si="3"/>
        <v/>
      </c>
      <c r="L128" s="9"/>
      <c r="M128" s="9"/>
    </row>
    <row r="129" spans="1:13" ht="14.1" customHeight="1">
      <c r="A129" s="4">
        <f>'SCHEDULE OF VALUE WORKSHEET'!A99</f>
        <v>94</v>
      </c>
      <c r="B129" s="142" t="str">
        <f>'SCHEDULE OF VALUE WORKSHEET'!B99</f>
        <v xml:space="preserve">Open Item </v>
      </c>
      <c r="C129" s="143"/>
      <c r="D129" s="104">
        <f>SUM('SCHEDULE OF VALUE WORKSHEET'!E99)</f>
        <v>0</v>
      </c>
      <c r="E129" s="104">
        <f>SUM('Draw #16'!E129:F129)</f>
        <v>0</v>
      </c>
      <c r="F129" s="105">
        <v>0</v>
      </c>
      <c r="G129" s="104">
        <f>SUM('Draw #16'!G129)+F129</f>
        <v>0</v>
      </c>
      <c r="H129" s="109">
        <f t="shared" si="2"/>
        <v>0</v>
      </c>
      <c r="I129" s="110">
        <v>0</v>
      </c>
      <c r="J129" s="109">
        <f>SUM(I129+'Draw #16'!J129)</f>
        <v>0</v>
      </c>
      <c r="K129" s="101" t="str">
        <f t="shared" si="3"/>
        <v/>
      </c>
      <c r="L129" s="9"/>
      <c r="M129" s="9"/>
    </row>
    <row r="130" spans="1:13" ht="14.1" customHeight="1">
      <c r="A130" s="4">
        <f>'SCHEDULE OF VALUE WORKSHEET'!A100</f>
        <v>95</v>
      </c>
      <c r="B130" s="142" t="str">
        <f>'SCHEDULE OF VALUE WORKSHEET'!B100</f>
        <v xml:space="preserve">Open Item </v>
      </c>
      <c r="C130" s="143"/>
      <c r="D130" s="104">
        <f>SUM('SCHEDULE OF VALUE WORKSHEET'!E100)</f>
        <v>0</v>
      </c>
      <c r="E130" s="104">
        <f>SUM('Draw #16'!E130:F130)</f>
        <v>0</v>
      </c>
      <c r="F130" s="105">
        <v>0</v>
      </c>
      <c r="G130" s="104">
        <f>SUM('Draw #16'!G130)+F130</f>
        <v>0</v>
      </c>
      <c r="H130" s="109">
        <f t="shared" si="2"/>
        <v>0</v>
      </c>
      <c r="I130" s="110">
        <v>0</v>
      </c>
      <c r="J130" s="109">
        <f>SUM(I130+'Draw #16'!J130)</f>
        <v>0</v>
      </c>
      <c r="K130" s="101" t="str">
        <f t="shared" si="3"/>
        <v/>
      </c>
      <c r="L130" s="9"/>
      <c r="M130" s="9"/>
    </row>
    <row r="131" spans="1:13" ht="14.1" customHeight="1">
      <c r="A131" s="4">
        <f>'SCHEDULE OF VALUE WORKSHEET'!A101</f>
        <v>96</v>
      </c>
      <c r="B131" s="142" t="str">
        <f>'SCHEDULE OF VALUE WORKSHEET'!B101</f>
        <v xml:space="preserve">Open Item </v>
      </c>
      <c r="C131" s="143"/>
      <c r="D131" s="104">
        <f>SUM('SCHEDULE OF VALUE WORKSHEET'!E101)</f>
        <v>0</v>
      </c>
      <c r="E131" s="104">
        <f>SUM('Draw #16'!E131:F131)</f>
        <v>0</v>
      </c>
      <c r="F131" s="105">
        <v>0</v>
      </c>
      <c r="G131" s="104">
        <f>SUM('Draw #16'!G131)+F131</f>
        <v>0</v>
      </c>
      <c r="H131" s="109">
        <f t="shared" si="2"/>
        <v>0</v>
      </c>
      <c r="I131" s="110">
        <v>0</v>
      </c>
      <c r="J131" s="109">
        <f>SUM(I131+'Draw #16'!J131)</f>
        <v>0</v>
      </c>
      <c r="K131" s="101" t="str">
        <f t="shared" si="3"/>
        <v/>
      </c>
      <c r="L131" s="9"/>
      <c r="M131" s="9"/>
    </row>
    <row r="132" spans="1:13" ht="14.1" customHeight="1">
      <c r="A132" s="4">
        <f>'SCHEDULE OF VALUE WORKSHEET'!A102</f>
        <v>97</v>
      </c>
      <c r="B132" s="142" t="str">
        <f>'SCHEDULE OF VALUE WORKSHEET'!B102</f>
        <v xml:space="preserve">Open Item </v>
      </c>
      <c r="C132" s="143"/>
      <c r="D132" s="104">
        <f>SUM('SCHEDULE OF VALUE WORKSHEET'!E102)</f>
        <v>0</v>
      </c>
      <c r="E132" s="104">
        <f>SUM('Draw #16'!E132:F132)</f>
        <v>0</v>
      </c>
      <c r="F132" s="105">
        <v>0</v>
      </c>
      <c r="G132" s="104">
        <f>SUM('Draw #16'!G132)+F132</f>
        <v>0</v>
      </c>
      <c r="H132" s="109">
        <f t="shared" si="2"/>
        <v>0</v>
      </c>
      <c r="I132" s="110">
        <v>0</v>
      </c>
      <c r="J132" s="109">
        <f>SUM(I132+'Draw #16'!J132)</f>
        <v>0</v>
      </c>
      <c r="K132" s="101" t="str">
        <f t="shared" si="3"/>
        <v/>
      </c>
      <c r="L132" s="9"/>
      <c r="M132" s="9"/>
    </row>
    <row r="133" spans="1:13" ht="14.1" customHeight="1">
      <c r="A133" s="4">
        <f>'SCHEDULE OF VALUE WORKSHEET'!A103</f>
        <v>98</v>
      </c>
      <c r="B133" s="142" t="str">
        <f>'SCHEDULE OF VALUE WORKSHEET'!B103</f>
        <v xml:space="preserve">Open Item </v>
      </c>
      <c r="C133" s="143"/>
      <c r="D133" s="104">
        <f>SUM('SCHEDULE OF VALUE WORKSHEET'!E103)</f>
        <v>0</v>
      </c>
      <c r="E133" s="104">
        <f>SUM('Draw #16'!E133:F133)</f>
        <v>0</v>
      </c>
      <c r="F133" s="105">
        <v>0</v>
      </c>
      <c r="G133" s="104">
        <f>SUM('Draw #16'!G133)+F133</f>
        <v>0</v>
      </c>
      <c r="H133" s="109">
        <f t="shared" si="2"/>
        <v>0</v>
      </c>
      <c r="I133" s="110">
        <v>0</v>
      </c>
      <c r="J133" s="109">
        <f>SUM(I133+'Draw #16'!J133)</f>
        <v>0</v>
      </c>
      <c r="K133" s="101" t="str">
        <f t="shared" si="3"/>
        <v/>
      </c>
      <c r="L133" s="9"/>
      <c r="M133" s="9"/>
    </row>
    <row r="134" spans="1:13" ht="14.1" customHeight="1">
      <c r="A134" s="4">
        <f>'SCHEDULE OF VALUE WORKSHEET'!A104</f>
        <v>99</v>
      </c>
      <c r="B134" s="142" t="str">
        <f>'SCHEDULE OF VALUE WORKSHEET'!B104</f>
        <v xml:space="preserve">Open Item </v>
      </c>
      <c r="C134" s="143"/>
      <c r="D134" s="104">
        <f>SUM('SCHEDULE OF VALUE WORKSHEET'!E104)</f>
        <v>0</v>
      </c>
      <c r="E134" s="104">
        <f>SUM('Draw #16'!E134:F134)</f>
        <v>0</v>
      </c>
      <c r="F134" s="105">
        <v>0</v>
      </c>
      <c r="G134" s="104">
        <f>SUM('Draw #16'!G134)+F134</f>
        <v>0</v>
      </c>
      <c r="H134" s="109">
        <f t="shared" si="2"/>
        <v>0</v>
      </c>
      <c r="I134" s="110">
        <v>0</v>
      </c>
      <c r="J134" s="109">
        <f>SUM(I134+'Draw #16'!J134)</f>
        <v>0</v>
      </c>
      <c r="K134" s="101" t="str">
        <f t="shared" si="3"/>
        <v/>
      </c>
      <c r="L134" s="9"/>
      <c r="M134" s="9"/>
    </row>
    <row r="135" spans="1:13" ht="14.1" customHeight="1">
      <c r="A135" s="4" t="e">
        <f>'SCHEDULE OF VALUE WORKSHEET'!#REF!</f>
        <v>#REF!</v>
      </c>
      <c r="B135" s="142" t="e">
        <f>'SCHEDULE OF VALUE WORKSHEET'!#REF!</f>
        <v>#REF!</v>
      </c>
      <c r="C135" s="143"/>
      <c r="D135" s="104" t="e">
        <f>SUM('SCHEDULE OF VALUE WORKSHEET'!#REF!)</f>
        <v>#REF!</v>
      </c>
      <c r="E135" s="104">
        <f>SUM('Draw #16'!E135:F135)</f>
        <v>0</v>
      </c>
      <c r="F135" s="105">
        <v>0</v>
      </c>
      <c r="G135" s="104" t="e">
        <f>SUM('Draw #16'!G135)+F135</f>
        <v>#REF!</v>
      </c>
      <c r="H135" s="109" t="e">
        <f t="shared" si="2"/>
        <v>#REF!</v>
      </c>
      <c r="I135" s="110">
        <v>0</v>
      </c>
      <c r="J135" s="109">
        <f>SUM(I135+'Draw #16'!J135)</f>
        <v>0</v>
      </c>
      <c r="K135" s="101" t="str">
        <f t="shared" si="3"/>
        <v/>
      </c>
      <c r="L135" s="9"/>
      <c r="M135" s="9"/>
    </row>
    <row r="136" spans="1:13" ht="14.1" customHeight="1">
      <c r="A136" s="165"/>
      <c r="B136" s="166"/>
      <c r="C136" s="166"/>
      <c r="D136" s="166"/>
      <c r="E136" s="166"/>
      <c r="F136" s="166"/>
      <c r="G136" s="166"/>
      <c r="H136" s="166"/>
      <c r="I136" s="166"/>
      <c r="J136" s="166"/>
      <c r="K136" s="167"/>
      <c r="L136" s="10"/>
      <c r="M136" s="10"/>
    </row>
    <row r="137" spans="1:13" ht="18.75" customHeight="1">
      <c r="A137" s="7"/>
      <c r="B137" s="168" t="s">
        <v>2</v>
      </c>
      <c r="C137" s="168"/>
      <c r="D137" s="25" t="e">
        <f t="shared" ref="D137:J137" si="4">SUM(D10:D135)</f>
        <v>#REF!</v>
      </c>
      <c r="E137" s="25">
        <f t="shared" si="4"/>
        <v>0</v>
      </c>
      <c r="F137" s="25">
        <f t="shared" si="4"/>
        <v>0</v>
      </c>
      <c r="G137" s="25" t="e">
        <f t="shared" si="4"/>
        <v>#REF!</v>
      </c>
      <c r="H137" s="25" t="e">
        <f t="shared" si="4"/>
        <v>#REF!</v>
      </c>
      <c r="I137" s="25">
        <f t="shared" si="4"/>
        <v>0</v>
      </c>
      <c r="J137" s="25">
        <f t="shared" si="4"/>
        <v>0</v>
      </c>
      <c r="K137" s="17"/>
      <c r="L137" s="11"/>
      <c r="M137" s="11"/>
    </row>
    <row r="138" spans="1:13" ht="14.1" customHeight="1">
      <c r="A138" s="2"/>
      <c r="B138" s="2"/>
      <c r="C138" s="2"/>
      <c r="D138" s="2"/>
      <c r="E138" s="2"/>
      <c r="F138" s="2"/>
      <c r="G138" s="2"/>
    </row>
    <row r="139" spans="1:13" ht="14.1" customHeight="1">
      <c r="G139" s="2"/>
      <c r="H139" s="140"/>
      <c r="I139" s="140"/>
      <c r="J139" s="140"/>
    </row>
    <row r="140" spans="1:13" ht="14.1" customHeight="1">
      <c r="G140" s="2"/>
    </row>
    <row r="141" spans="1:13" ht="14.1" customHeight="1">
      <c r="G141" s="2"/>
      <c r="H141" s="8"/>
    </row>
    <row r="142" spans="1:13" ht="14.1" customHeight="1">
      <c r="G142" s="2"/>
      <c r="H142" s="8"/>
    </row>
    <row r="143" spans="1:13" ht="14.1" customHeight="1">
      <c r="G143" s="2"/>
    </row>
    <row r="144" spans="1:13" ht="14.1" customHeight="1">
      <c r="G144" s="2"/>
    </row>
    <row r="145" spans="7:7" ht="14.1" customHeight="1">
      <c r="G145" s="2"/>
    </row>
    <row r="146" spans="7:7" ht="14.1" customHeight="1">
      <c r="G146" s="2"/>
    </row>
    <row r="147" spans="7:7" ht="14.1" customHeight="1">
      <c r="G147" s="2"/>
    </row>
    <row r="148" spans="7:7" ht="14.1" customHeight="1">
      <c r="G148" s="3"/>
    </row>
  </sheetData>
  <sheetProtection algorithmName="SHA-512" hashValue="M3zP2HQhR5P+gLyPHEZ8DxhjmEeZ9j4lUc1Q6wdevD2C0VTE90Wwbg8599rFPQyu99QPKBaNwYzXK19+pJqgsg==" saltValue="FR4Hk6YXm18E8YWg6kTjGg==" spinCount="100000" sheet="1" selectLockedCells="1"/>
  <mergeCells count="136">
    <mergeCell ref="A1:K2"/>
    <mergeCell ref="B47:C47"/>
    <mergeCell ref="B48:C48"/>
    <mergeCell ref="B49:C49"/>
    <mergeCell ref="B50:C50"/>
    <mergeCell ref="B8:C9"/>
    <mergeCell ref="D8:D9"/>
    <mergeCell ref="G8:G9"/>
    <mergeCell ref="J8:K8"/>
    <mergeCell ref="J9:K9"/>
    <mergeCell ref="F8:F9"/>
    <mergeCell ref="B10:C10"/>
    <mergeCell ref="B11:C11"/>
    <mergeCell ref="B12:C12"/>
    <mergeCell ref="B13:C13"/>
    <mergeCell ref="B26:C26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4:C34"/>
    <mergeCell ref="B35:C35"/>
    <mergeCell ref="B32:C32"/>
    <mergeCell ref="B33:C33"/>
    <mergeCell ref="B27:C27"/>
    <mergeCell ref="B36:C36"/>
    <mergeCell ref="B37:C37"/>
    <mergeCell ref="B46:C46"/>
    <mergeCell ref="A136:K136"/>
    <mergeCell ref="B38:C38"/>
    <mergeCell ref="B39:C39"/>
    <mergeCell ref="B51:C51"/>
    <mergeCell ref="B52:C52"/>
    <mergeCell ref="B53:C53"/>
    <mergeCell ref="B54:C54"/>
    <mergeCell ref="B130:C130"/>
    <mergeCell ref="B119:C119"/>
    <mergeCell ref="B120:C120"/>
    <mergeCell ref="B121:C121"/>
    <mergeCell ref="B122:C122"/>
    <mergeCell ref="B123:C123"/>
    <mergeCell ref="B124:C124"/>
    <mergeCell ref="B131:C131"/>
    <mergeCell ref="B132:C132"/>
    <mergeCell ref="B133:C133"/>
    <mergeCell ref="B134:C134"/>
    <mergeCell ref="B135:C135"/>
    <mergeCell ref="B125:C125"/>
    <mergeCell ref="B126:C126"/>
    <mergeCell ref="B137:C137"/>
    <mergeCell ref="H139:J139"/>
    <mergeCell ref="B40:C40"/>
    <mergeCell ref="B41:C41"/>
    <mergeCell ref="B42:C42"/>
    <mergeCell ref="B43:C43"/>
    <mergeCell ref="B44:C44"/>
    <mergeCell ref="B45:C45"/>
    <mergeCell ref="B55:C55"/>
    <mergeCell ref="B57:C57"/>
    <mergeCell ref="B127:C127"/>
    <mergeCell ref="B128:C128"/>
    <mergeCell ref="B129:C129"/>
    <mergeCell ref="B63:C63"/>
    <mergeCell ref="B64:C64"/>
    <mergeCell ref="B65:C65"/>
    <mergeCell ref="B66:C66"/>
    <mergeCell ref="B67:C67"/>
    <mergeCell ref="B68:C68"/>
    <mergeCell ref="B56:C56"/>
    <mergeCell ref="B58:C58"/>
    <mergeCell ref="B59:C59"/>
    <mergeCell ref="B60:C60"/>
    <mergeCell ref="B61:C61"/>
    <mergeCell ref="B62:C62"/>
    <mergeCell ref="B75:C75"/>
    <mergeCell ref="B76:C76"/>
    <mergeCell ref="B77:C77"/>
    <mergeCell ref="B78:C78"/>
    <mergeCell ref="B79:C79"/>
    <mergeCell ref="B80:C80"/>
    <mergeCell ref="B69:C69"/>
    <mergeCell ref="B70:C70"/>
    <mergeCell ref="B71:C71"/>
    <mergeCell ref="B72:C72"/>
    <mergeCell ref="B73:C73"/>
    <mergeCell ref="B74:C74"/>
    <mergeCell ref="B87:C87"/>
    <mergeCell ref="B88:C88"/>
    <mergeCell ref="B89:C89"/>
    <mergeCell ref="B90:C90"/>
    <mergeCell ref="B91:C91"/>
    <mergeCell ref="B92:C92"/>
    <mergeCell ref="B81:C81"/>
    <mergeCell ref="B82:C82"/>
    <mergeCell ref="B83:C83"/>
    <mergeCell ref="B84:C84"/>
    <mergeCell ref="B85:C85"/>
    <mergeCell ref="B86:C86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7:C117"/>
    <mergeCell ref="B118:C118"/>
    <mergeCell ref="B111:C111"/>
    <mergeCell ref="B112:C112"/>
    <mergeCell ref="B113:C113"/>
    <mergeCell ref="B114:C114"/>
    <mergeCell ref="B115:C115"/>
    <mergeCell ref="B116:C116"/>
    <mergeCell ref="B105:C105"/>
    <mergeCell ref="B106:C106"/>
    <mergeCell ref="B107:C107"/>
    <mergeCell ref="B108:C108"/>
    <mergeCell ref="B109:C109"/>
    <mergeCell ref="B110:C110"/>
  </mergeCells>
  <conditionalFormatting sqref="B10:K135">
    <cfRule type="expression" dxfId="15" priority="3" stopIfTrue="1">
      <formula>$I10&gt;0</formula>
    </cfRule>
    <cfRule type="expression" dxfId="14" priority="4" stopIfTrue="1">
      <formula>$K10=100%</formula>
    </cfRule>
  </conditionalFormatting>
  <conditionalFormatting sqref="D10:K135">
    <cfRule type="expression" dxfId="13" priority="1" stopIfTrue="1">
      <formula>$K10=""</formula>
    </cfRule>
    <cfRule type="expression" dxfId="12" priority="2" stopIfTrue="1">
      <formula>$K10&gt;100%</formula>
    </cfRule>
  </conditionalFormatting>
  <pageMargins left="0.7" right="0.7" top="0.75" bottom="0.75" header="0.3" footer="0.3"/>
  <pageSetup scale="78" orientation="portrait" verticalDpi="1200" r:id="rId1"/>
  <colBreaks count="1" manualBreakCount="1">
    <brk id="11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48"/>
  <sheetViews>
    <sheetView showGridLines="0" zoomScale="90" zoomScaleNormal="90" workbookViewId="0">
      <selection activeCell="I22" sqref="I22"/>
    </sheetView>
  </sheetViews>
  <sheetFormatPr defaultColWidth="6.59765625" defaultRowHeight="15.75"/>
  <cols>
    <col min="1" max="1" width="4.8984375" style="1" customWidth="1"/>
    <col min="2" max="2" width="5.69921875" style="1" customWidth="1"/>
    <col min="3" max="3" width="15.19921875" style="1" customWidth="1"/>
    <col min="4" max="5" width="10.59765625" style="1" customWidth="1"/>
    <col min="6" max="9" width="10.69921875" style="1" customWidth="1"/>
    <col min="10" max="10" width="10.59765625" style="1" customWidth="1"/>
    <col min="11" max="11" width="5.09765625" style="18" customWidth="1"/>
    <col min="12" max="13" width="4.69921875" style="1" customWidth="1"/>
    <col min="14" max="16384" width="6.59765625" style="1"/>
  </cols>
  <sheetData>
    <row r="1" spans="1:13" ht="16.350000000000001" customHeight="1">
      <c r="A1" s="171" t="s">
        <v>18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</row>
    <row r="2" spans="1:13">
      <c r="A2" s="174"/>
      <c r="B2" s="153"/>
      <c r="C2" s="153"/>
      <c r="D2" s="153"/>
      <c r="E2" s="153"/>
      <c r="F2" s="153"/>
      <c r="G2" s="153"/>
      <c r="H2" s="153"/>
      <c r="I2" s="153"/>
      <c r="J2" s="153"/>
      <c r="K2" s="175"/>
    </row>
    <row r="3" spans="1:13">
      <c r="A3" s="74"/>
      <c r="B3" s="13" t="s">
        <v>7</v>
      </c>
      <c r="C3" s="35" t="str">
        <f>'SCHEDULE OF VALUE WORKSHEET'!$B$3</f>
        <v>Angeleno Investments</v>
      </c>
      <c r="F3" s="6"/>
      <c r="G3" s="28"/>
      <c r="H3" s="55"/>
      <c r="I3" s="41" t="s">
        <v>5</v>
      </c>
      <c r="J3" s="38">
        <f>SUM(J137)</f>
        <v>0</v>
      </c>
      <c r="K3" s="80" t="e">
        <f>SUM(J3)/J7</f>
        <v>#REF!</v>
      </c>
    </row>
    <row r="4" spans="1:13" ht="16.350000000000001" customHeight="1">
      <c r="A4" s="74"/>
      <c r="B4" s="34" t="s">
        <v>0</v>
      </c>
      <c r="C4" s="36">
        <f ca="1">TODAY()</f>
        <v>45978</v>
      </c>
      <c r="D4" s="36"/>
      <c r="E4" s="36"/>
      <c r="F4" s="15"/>
      <c r="G4" s="3"/>
      <c r="H4" s="75"/>
      <c r="I4" s="41" t="s">
        <v>13</v>
      </c>
      <c r="J4" s="38" t="e">
        <f>SUM(H137)</f>
        <v>#REF!</v>
      </c>
      <c r="K4" s="80"/>
    </row>
    <row r="5" spans="1:13">
      <c r="A5" s="74"/>
      <c r="B5" s="34" t="s">
        <v>6</v>
      </c>
      <c r="C5" s="37" t="str">
        <f>'SCHEDULE OF VALUE WORKSHEET'!B5</f>
        <v>10910 Huston Street</v>
      </c>
      <c r="F5" s="56"/>
      <c r="G5" s="57"/>
      <c r="H5" s="75"/>
      <c r="I5" s="41" t="s">
        <v>14</v>
      </c>
      <c r="J5" s="38" t="e">
        <f>SUM(D137)</f>
        <v>#REF!</v>
      </c>
      <c r="K5" s="80"/>
    </row>
    <row r="6" spans="1:13">
      <c r="A6" s="74"/>
      <c r="B6" s="34" t="s">
        <v>20</v>
      </c>
      <c r="C6" s="48">
        <f>SUM(I137)</f>
        <v>0</v>
      </c>
      <c r="D6" s="6"/>
      <c r="E6" s="6"/>
      <c r="F6" s="6"/>
      <c r="G6" s="57"/>
      <c r="H6" s="75"/>
      <c r="I6" s="42" t="s">
        <v>17</v>
      </c>
      <c r="J6" s="38">
        <f>SUM(F137)</f>
        <v>0</v>
      </c>
      <c r="K6" s="80"/>
    </row>
    <row r="7" spans="1:13">
      <c r="A7" s="78"/>
      <c r="G7" s="28"/>
      <c r="H7" s="20"/>
      <c r="I7" s="34" t="s">
        <v>15</v>
      </c>
      <c r="J7" s="29" t="e">
        <f>SUM(G137)</f>
        <v>#REF!</v>
      </c>
      <c r="K7" s="80"/>
    </row>
    <row r="8" spans="1:13">
      <c r="A8" s="19"/>
      <c r="B8" s="169" t="s">
        <v>1</v>
      </c>
      <c r="C8" s="170"/>
      <c r="D8" s="177" t="s">
        <v>8</v>
      </c>
      <c r="E8" s="102" t="s">
        <v>24</v>
      </c>
      <c r="F8" s="176" t="s">
        <v>26</v>
      </c>
      <c r="G8" s="177" t="s">
        <v>9</v>
      </c>
      <c r="H8" s="30" t="s">
        <v>10</v>
      </c>
      <c r="I8" s="31" t="s">
        <v>12</v>
      </c>
      <c r="J8" s="178" t="s">
        <v>3</v>
      </c>
      <c r="K8" s="179"/>
      <c r="L8" s="12"/>
      <c r="M8" s="12"/>
    </row>
    <row r="9" spans="1:13" ht="14.1" customHeight="1">
      <c r="A9" s="19"/>
      <c r="B9" s="146"/>
      <c r="C9" s="147"/>
      <c r="D9" s="162"/>
      <c r="E9" s="103" t="s">
        <v>25</v>
      </c>
      <c r="F9" s="164"/>
      <c r="G9" s="162"/>
      <c r="H9" s="32" t="s">
        <v>22</v>
      </c>
      <c r="I9" s="33">
        <v>18</v>
      </c>
      <c r="J9" s="180" t="s">
        <v>4</v>
      </c>
      <c r="K9" s="181"/>
      <c r="L9" s="12"/>
      <c r="M9" s="12"/>
    </row>
    <row r="10" spans="1:13" ht="14.1" customHeight="1">
      <c r="A10" s="4">
        <f>'SCHEDULE OF VALUE WORKSHEET'!A7</f>
        <v>1</v>
      </c>
      <c r="B10" s="142" t="str">
        <f>'SCHEDULE OF VALUE WORKSHEET'!B7</f>
        <v>SOFT COSTS</v>
      </c>
      <c r="C10" s="143"/>
      <c r="D10" s="104">
        <f>SUM('SCHEDULE OF VALUE WORKSHEET'!E7)</f>
        <v>0</v>
      </c>
      <c r="E10" s="104">
        <f>SUM('Draw #17'!E10:F10)</f>
        <v>0</v>
      </c>
      <c r="F10" s="105">
        <v>0</v>
      </c>
      <c r="G10" s="104">
        <f>SUM('Draw #17'!G10)+F10</f>
        <v>0</v>
      </c>
      <c r="H10" s="109">
        <f>SUM(G10-J10)</f>
        <v>0</v>
      </c>
      <c r="I10" s="110">
        <v>0</v>
      </c>
      <c r="J10" s="109">
        <f>SUM(I10+'Draw #17'!J10)</f>
        <v>0</v>
      </c>
      <c r="K10" s="101" t="str">
        <f>IF(J10=0,"",J10/G10)</f>
        <v/>
      </c>
      <c r="L10" s="9"/>
      <c r="M10" s="9"/>
    </row>
    <row r="11" spans="1:13" ht="14.1" customHeight="1">
      <c r="A11" s="4">
        <f>'SCHEDULE OF VALUE WORKSHEET'!A8</f>
        <v>2</v>
      </c>
      <c r="B11" s="142" t="str">
        <f>'SCHEDULE OF VALUE WORKSHEET'!B8</f>
        <v>Site Security</v>
      </c>
      <c r="C11" s="143"/>
      <c r="D11" s="104">
        <f>SUM('SCHEDULE OF VALUE WORKSHEET'!E8)</f>
        <v>10580.63</v>
      </c>
      <c r="E11" s="104">
        <f>SUM('Draw #17'!E11:F11)</f>
        <v>0</v>
      </c>
      <c r="F11" s="105">
        <v>0</v>
      </c>
      <c r="G11" s="104">
        <f>SUM('Draw #17'!G11)+F11</f>
        <v>10580.63</v>
      </c>
      <c r="H11" s="109">
        <f t="shared" ref="H11:H74" si="0">SUM(G11-J11)</f>
        <v>10580.63</v>
      </c>
      <c r="I11" s="110">
        <v>0</v>
      </c>
      <c r="J11" s="109">
        <f>SUM(I11+'Draw #17'!J11)</f>
        <v>0</v>
      </c>
      <c r="K11" s="101" t="str">
        <f t="shared" ref="K11:K74" si="1">IF(J11=0,"",J11/G11)</f>
        <v/>
      </c>
      <c r="L11" s="9"/>
      <c r="M11" s="9"/>
    </row>
    <row r="12" spans="1:13" ht="14.1" customHeight="1">
      <c r="A12" s="4">
        <f>'SCHEDULE OF VALUE WORKSHEET'!A9</f>
        <v>3</v>
      </c>
      <c r="B12" s="142" t="str">
        <f>'SCHEDULE OF VALUE WORKSHEET'!B9</f>
        <v>Soils Inspection</v>
      </c>
      <c r="C12" s="143"/>
      <c r="D12" s="104">
        <f>SUM('SCHEDULE OF VALUE WORKSHEET'!E9)</f>
        <v>0</v>
      </c>
      <c r="E12" s="104">
        <f>SUM('Draw #17'!E12:F12)</f>
        <v>0</v>
      </c>
      <c r="F12" s="105">
        <v>0</v>
      </c>
      <c r="G12" s="104">
        <f>SUM('Draw #17'!G12)+F12</f>
        <v>0</v>
      </c>
      <c r="H12" s="109">
        <f t="shared" si="0"/>
        <v>0</v>
      </c>
      <c r="I12" s="110">
        <v>0</v>
      </c>
      <c r="J12" s="109">
        <f>SUM(I12+'Draw #17'!J12)</f>
        <v>0</v>
      </c>
      <c r="K12" s="101" t="str">
        <f t="shared" si="1"/>
        <v/>
      </c>
      <c r="L12" s="9"/>
      <c r="M12" s="9"/>
    </row>
    <row r="13" spans="1:13" ht="14.1" customHeight="1">
      <c r="A13" s="4">
        <f>'SCHEDULE OF VALUE WORKSHEET'!A10</f>
        <v>4</v>
      </c>
      <c r="B13" s="142" t="str">
        <f>'SCHEDULE OF VALUE WORKSHEET'!B10</f>
        <v>Offsites (Transformer)</v>
      </c>
      <c r="C13" s="143"/>
      <c r="D13" s="104">
        <f>SUM('SCHEDULE OF VALUE WORKSHEET'!E10)</f>
        <v>20000</v>
      </c>
      <c r="E13" s="104">
        <f>SUM('Draw #17'!E13:F13)</f>
        <v>0</v>
      </c>
      <c r="F13" s="105">
        <v>0</v>
      </c>
      <c r="G13" s="104">
        <f>SUM('Draw #17'!G13)+F13</f>
        <v>20000</v>
      </c>
      <c r="H13" s="109">
        <f t="shared" si="0"/>
        <v>20000</v>
      </c>
      <c r="I13" s="110">
        <v>0</v>
      </c>
      <c r="J13" s="109">
        <f>SUM(I13+'Draw #17'!J13)</f>
        <v>0</v>
      </c>
      <c r="K13" s="101" t="str">
        <f t="shared" si="1"/>
        <v/>
      </c>
      <c r="L13" s="9"/>
      <c r="M13" s="9"/>
    </row>
    <row r="14" spans="1:13" ht="14.1" customHeight="1">
      <c r="A14" s="4">
        <f>'SCHEDULE OF VALUE WORKSHEET'!A11</f>
        <v>5</v>
      </c>
      <c r="B14" s="142" t="str">
        <f>'SCHEDULE OF VALUE WORKSHEET'!B11</f>
        <v>Plan Check Fees</v>
      </c>
      <c r="C14" s="143"/>
      <c r="D14" s="104">
        <f>SUM('SCHEDULE OF VALUE WORKSHEET'!E11)</f>
        <v>0</v>
      </c>
      <c r="E14" s="104">
        <f>SUM('Draw #17'!E14:F14)</f>
        <v>0</v>
      </c>
      <c r="F14" s="105">
        <v>0</v>
      </c>
      <c r="G14" s="104">
        <f>SUM('Draw #17'!G14)+F14</f>
        <v>0</v>
      </c>
      <c r="H14" s="109">
        <f t="shared" si="0"/>
        <v>0</v>
      </c>
      <c r="I14" s="110">
        <v>0</v>
      </c>
      <c r="J14" s="109">
        <f>SUM(I14+'Draw #17'!J14)</f>
        <v>0</v>
      </c>
      <c r="K14" s="101" t="str">
        <f t="shared" si="1"/>
        <v/>
      </c>
      <c r="L14" s="9"/>
      <c r="M14" s="9"/>
    </row>
    <row r="15" spans="1:13" ht="14.1" customHeight="1">
      <c r="A15" s="4">
        <f>'SCHEDULE OF VALUE WORKSHEET'!A12</f>
        <v>6</v>
      </c>
      <c r="B15" s="142" t="str">
        <f>'SCHEDULE OF VALUE WORKSHEET'!B12</f>
        <v>Permits</v>
      </c>
      <c r="C15" s="143"/>
      <c r="D15" s="104">
        <f>SUM('SCHEDULE OF VALUE WORKSHEET'!E12)</f>
        <v>0</v>
      </c>
      <c r="E15" s="104">
        <f>SUM('Draw #17'!E15:F15)</f>
        <v>0</v>
      </c>
      <c r="F15" s="105">
        <v>0</v>
      </c>
      <c r="G15" s="104">
        <f>SUM('Draw #17'!G15)+F15</f>
        <v>0</v>
      </c>
      <c r="H15" s="109">
        <f t="shared" si="0"/>
        <v>0</v>
      </c>
      <c r="I15" s="110">
        <v>0</v>
      </c>
      <c r="J15" s="109">
        <f>SUM(I15+'Draw #17'!J15)</f>
        <v>0</v>
      </c>
      <c r="K15" s="101" t="str">
        <f t="shared" si="1"/>
        <v/>
      </c>
      <c r="L15" s="9"/>
      <c r="M15" s="9"/>
    </row>
    <row r="16" spans="1:13" ht="14.1" customHeight="1">
      <c r="A16" s="4">
        <f>'SCHEDULE OF VALUE WORKSHEET'!A13</f>
        <v>7</v>
      </c>
      <c r="B16" s="142" t="str">
        <f>'SCHEDULE OF VALUE WORKSHEET'!B13</f>
        <v>Survey</v>
      </c>
      <c r="C16" s="143"/>
      <c r="D16" s="104">
        <f>SUM('SCHEDULE OF VALUE WORKSHEET'!E13)</f>
        <v>0</v>
      </c>
      <c r="E16" s="104">
        <f>SUM('Draw #17'!E16:F16)</f>
        <v>0</v>
      </c>
      <c r="F16" s="105">
        <v>0</v>
      </c>
      <c r="G16" s="104">
        <f>SUM('Draw #17'!G16)+F16</f>
        <v>0</v>
      </c>
      <c r="H16" s="109">
        <f t="shared" si="0"/>
        <v>0</v>
      </c>
      <c r="I16" s="110">
        <v>0</v>
      </c>
      <c r="J16" s="109">
        <f>SUM(I16+'Draw #17'!J16)</f>
        <v>0</v>
      </c>
      <c r="K16" s="101" t="str">
        <f t="shared" si="1"/>
        <v/>
      </c>
      <c r="L16" s="9"/>
      <c r="M16" s="9"/>
    </row>
    <row r="17" spans="1:13" ht="14.1" customHeight="1">
      <c r="A17" s="4">
        <f>'SCHEDULE OF VALUE WORKSHEET'!A14</f>
        <v>8</v>
      </c>
      <c r="B17" s="142" t="str">
        <f>'SCHEDULE OF VALUE WORKSHEET'!B14</f>
        <v>Soils Engineer</v>
      </c>
      <c r="C17" s="143"/>
      <c r="D17" s="104">
        <f>SUM('SCHEDULE OF VALUE WORKSHEET'!E14)</f>
        <v>0</v>
      </c>
      <c r="E17" s="104">
        <f>SUM('Draw #17'!E17:F17)</f>
        <v>0</v>
      </c>
      <c r="F17" s="105">
        <v>0</v>
      </c>
      <c r="G17" s="104">
        <f>SUM('Draw #17'!G17)+F17</f>
        <v>0</v>
      </c>
      <c r="H17" s="109">
        <f t="shared" si="0"/>
        <v>0</v>
      </c>
      <c r="I17" s="110">
        <v>0</v>
      </c>
      <c r="J17" s="109">
        <f>SUM(I17+'Draw #17'!J17)</f>
        <v>0</v>
      </c>
      <c r="K17" s="101" t="str">
        <f t="shared" si="1"/>
        <v/>
      </c>
      <c r="L17" s="9"/>
      <c r="M17" s="9"/>
    </row>
    <row r="18" spans="1:13" ht="14.1" customHeight="1">
      <c r="A18" s="4">
        <f>'SCHEDULE OF VALUE WORKSHEET'!A15</f>
        <v>9</v>
      </c>
      <c r="B18" s="142" t="str">
        <f>'SCHEDULE OF VALUE WORKSHEET'!B15</f>
        <v>Soils Permit + T24</v>
      </c>
      <c r="C18" s="143"/>
      <c r="D18" s="104">
        <f>SUM('SCHEDULE OF VALUE WORKSHEET'!E15)</f>
        <v>2500</v>
      </c>
      <c r="E18" s="104">
        <f>SUM('Draw #17'!E18:F18)</f>
        <v>0</v>
      </c>
      <c r="F18" s="105">
        <v>0</v>
      </c>
      <c r="G18" s="104">
        <f>SUM('Draw #17'!G18)+F18</f>
        <v>2500</v>
      </c>
      <c r="H18" s="109">
        <f t="shared" si="0"/>
        <v>2500</v>
      </c>
      <c r="I18" s="110">
        <v>0</v>
      </c>
      <c r="J18" s="109">
        <f>SUM(I18+'Draw #17'!J18)</f>
        <v>0</v>
      </c>
      <c r="K18" s="101" t="str">
        <f t="shared" si="1"/>
        <v/>
      </c>
      <c r="L18" s="9"/>
      <c r="M18" s="9"/>
    </row>
    <row r="19" spans="1:13" ht="14.1" customHeight="1">
      <c r="A19" s="4">
        <f>'SCHEDULE OF VALUE WORKSHEET'!A16</f>
        <v>10</v>
      </c>
      <c r="B19" s="142" t="str">
        <f>'SCHEDULE OF VALUE WORKSHEET'!B16</f>
        <v>Special Inspections - Deputy</v>
      </c>
      <c r="C19" s="143"/>
      <c r="D19" s="104">
        <f>SUM('SCHEDULE OF VALUE WORKSHEET'!E16)</f>
        <v>15000</v>
      </c>
      <c r="E19" s="104">
        <f>SUM('Draw #17'!E19:F19)</f>
        <v>0</v>
      </c>
      <c r="F19" s="105">
        <v>0</v>
      </c>
      <c r="G19" s="104">
        <f>SUM('Draw #17'!G19)+F19</f>
        <v>15000</v>
      </c>
      <c r="H19" s="109">
        <f t="shared" si="0"/>
        <v>15000</v>
      </c>
      <c r="I19" s="110">
        <v>0</v>
      </c>
      <c r="J19" s="109">
        <f>SUM(I19+'Draw #17'!J19)</f>
        <v>0</v>
      </c>
      <c r="K19" s="101" t="str">
        <f t="shared" si="1"/>
        <v/>
      </c>
      <c r="L19" s="9"/>
      <c r="M19" s="9"/>
    </row>
    <row r="20" spans="1:13" ht="14.1" customHeight="1">
      <c r="A20" s="4">
        <f>'SCHEDULE OF VALUE WORKSHEET'!A17</f>
        <v>11</v>
      </c>
      <c r="B20" s="142" t="str">
        <f>'SCHEDULE OF VALUE WORKSHEET'!B17</f>
        <v>Architect</v>
      </c>
      <c r="C20" s="143"/>
      <c r="D20" s="104">
        <f>SUM('SCHEDULE OF VALUE WORKSHEET'!E17)</f>
        <v>0</v>
      </c>
      <c r="E20" s="104">
        <f>SUM('Draw #17'!E20:F20)</f>
        <v>0</v>
      </c>
      <c r="F20" s="105">
        <v>0</v>
      </c>
      <c r="G20" s="104">
        <f>SUM('Draw #17'!G20)+F20</f>
        <v>0</v>
      </c>
      <c r="H20" s="109">
        <f t="shared" si="0"/>
        <v>0</v>
      </c>
      <c r="I20" s="110">
        <v>0</v>
      </c>
      <c r="J20" s="109">
        <f>SUM(I20+'Draw #17'!J20)</f>
        <v>0</v>
      </c>
      <c r="K20" s="101" t="str">
        <f t="shared" si="1"/>
        <v/>
      </c>
      <c r="L20" s="9"/>
      <c r="M20" s="9"/>
    </row>
    <row r="21" spans="1:13" ht="14.1" customHeight="1">
      <c r="A21" s="4">
        <f>'SCHEDULE OF VALUE WORKSHEET'!A18</f>
        <v>12</v>
      </c>
      <c r="B21" s="142" t="str">
        <f>'SCHEDULE OF VALUE WORKSHEET'!B18</f>
        <v>Structural Engineer</v>
      </c>
      <c r="C21" s="143"/>
      <c r="D21" s="104">
        <f>SUM('SCHEDULE OF VALUE WORKSHEET'!E18)</f>
        <v>0</v>
      </c>
      <c r="E21" s="104">
        <f>SUM('Draw #17'!E21:F21)</f>
        <v>0</v>
      </c>
      <c r="F21" s="105">
        <v>0</v>
      </c>
      <c r="G21" s="104">
        <f>SUM('Draw #17'!G21)+F21</f>
        <v>0</v>
      </c>
      <c r="H21" s="109">
        <f t="shared" si="0"/>
        <v>0</v>
      </c>
      <c r="I21" s="110">
        <v>0</v>
      </c>
      <c r="J21" s="109">
        <f>SUM(I21+'Draw #17'!J21)</f>
        <v>0</v>
      </c>
      <c r="K21" s="101" t="str">
        <f t="shared" si="1"/>
        <v/>
      </c>
      <c r="L21" s="9"/>
      <c r="M21" s="9"/>
    </row>
    <row r="22" spans="1:13" ht="14.1" customHeight="1">
      <c r="A22" s="4">
        <f>'SCHEDULE OF VALUE WORKSHEET'!A19</f>
        <v>13</v>
      </c>
      <c r="B22" s="142" t="str">
        <f>'SCHEDULE OF VALUE WORKSHEET'!B19</f>
        <v>Structural Observation</v>
      </c>
      <c r="C22" s="143"/>
      <c r="D22" s="104">
        <f>SUM('SCHEDULE OF VALUE WORKSHEET'!E19)</f>
        <v>8000</v>
      </c>
      <c r="E22" s="104">
        <f>SUM('Draw #17'!E22:F22)</f>
        <v>0</v>
      </c>
      <c r="F22" s="105">
        <v>0</v>
      </c>
      <c r="G22" s="104">
        <f>SUM('Draw #17'!G22)+F22</f>
        <v>8000</v>
      </c>
      <c r="H22" s="109">
        <f t="shared" si="0"/>
        <v>8000</v>
      </c>
      <c r="I22" s="110">
        <v>0</v>
      </c>
      <c r="J22" s="109">
        <f>SUM(I22+'Draw #17'!J22)</f>
        <v>0</v>
      </c>
      <c r="K22" s="101" t="str">
        <f t="shared" si="1"/>
        <v/>
      </c>
      <c r="L22" s="9"/>
      <c r="M22" s="9"/>
    </row>
    <row r="23" spans="1:13" ht="14.1" customHeight="1">
      <c r="A23" s="4">
        <f>'SCHEDULE OF VALUE WORKSHEET'!A20</f>
        <v>14</v>
      </c>
      <c r="B23" s="142" t="str">
        <f>'SCHEDULE OF VALUE WORKSHEET'!B20</f>
        <v>Civil Engineering</v>
      </c>
      <c r="C23" s="143"/>
      <c r="D23" s="104">
        <f>SUM('SCHEDULE OF VALUE WORKSHEET'!E20)</f>
        <v>0</v>
      </c>
      <c r="E23" s="104">
        <f>SUM('Draw #17'!E23:F23)</f>
        <v>0</v>
      </c>
      <c r="F23" s="105">
        <v>0</v>
      </c>
      <c r="G23" s="104">
        <f>SUM('Draw #17'!G23)+F23</f>
        <v>0</v>
      </c>
      <c r="H23" s="109">
        <f t="shared" si="0"/>
        <v>0</v>
      </c>
      <c r="I23" s="110">
        <v>0</v>
      </c>
      <c r="J23" s="109">
        <f>SUM(I23+'Draw #17'!J23)</f>
        <v>0</v>
      </c>
      <c r="K23" s="101" t="str">
        <f t="shared" si="1"/>
        <v/>
      </c>
      <c r="L23" s="9"/>
      <c r="M23" s="9"/>
    </row>
    <row r="24" spans="1:13" ht="14.1" customHeight="1">
      <c r="A24" s="4">
        <f>'SCHEDULE OF VALUE WORKSHEET'!A21</f>
        <v>15</v>
      </c>
      <c r="B24" s="142" t="str">
        <f>'SCHEDULE OF VALUE WORKSHEET'!B21</f>
        <v>Grading Permit</v>
      </c>
      <c r="C24" s="143"/>
      <c r="D24" s="104">
        <f>SUM('SCHEDULE OF VALUE WORKSHEET'!E21)</f>
        <v>0</v>
      </c>
      <c r="E24" s="104">
        <f>SUM('Draw #17'!E24:F24)</f>
        <v>0</v>
      </c>
      <c r="F24" s="105">
        <v>0</v>
      </c>
      <c r="G24" s="104">
        <f>SUM('Draw #17'!G24)+F24</f>
        <v>0</v>
      </c>
      <c r="H24" s="109">
        <f t="shared" si="0"/>
        <v>0</v>
      </c>
      <c r="I24" s="110">
        <v>0</v>
      </c>
      <c r="J24" s="109">
        <f>SUM(I24+'Draw #17'!J24)</f>
        <v>0</v>
      </c>
      <c r="K24" s="101" t="str">
        <f t="shared" si="1"/>
        <v/>
      </c>
      <c r="L24" s="9"/>
      <c r="M24" s="9"/>
    </row>
    <row r="25" spans="1:13" ht="14.1" customHeight="1">
      <c r="A25" s="4">
        <f>'SCHEDULE OF VALUE WORKSHEET'!A22</f>
        <v>16</v>
      </c>
      <c r="B25" s="142" t="str">
        <f>'SCHEDULE OF VALUE WORKSHEET'!B22</f>
        <v>Landscape Architect/Designer</v>
      </c>
      <c r="C25" s="143"/>
      <c r="D25" s="104">
        <f>SUM('SCHEDULE OF VALUE WORKSHEET'!E22)</f>
        <v>0</v>
      </c>
      <c r="E25" s="104">
        <f>SUM('Draw #17'!E25:F25)</f>
        <v>0</v>
      </c>
      <c r="F25" s="105">
        <v>0</v>
      </c>
      <c r="G25" s="104">
        <f>SUM('Draw #17'!G25)+F25</f>
        <v>0</v>
      </c>
      <c r="H25" s="109">
        <f t="shared" si="0"/>
        <v>0</v>
      </c>
      <c r="I25" s="110">
        <v>0</v>
      </c>
      <c r="J25" s="109">
        <f>SUM(I25+'Draw #17'!J25)</f>
        <v>0</v>
      </c>
      <c r="K25" s="101" t="str">
        <f t="shared" si="1"/>
        <v/>
      </c>
      <c r="L25" s="9"/>
      <c r="M25" s="9"/>
    </row>
    <row r="26" spans="1:13" ht="14.1" customHeight="1">
      <c r="A26" s="4">
        <f>'SCHEDULE OF VALUE WORKSHEET'!A23</f>
        <v>17</v>
      </c>
      <c r="B26" s="142" t="str">
        <f>'SCHEDULE OF VALUE WORKSHEET'!B23</f>
        <v>Driveway Apron Permit</v>
      </c>
      <c r="C26" s="143"/>
      <c r="D26" s="104">
        <f>SUM('SCHEDULE OF VALUE WORKSHEET'!E23)</f>
        <v>2500</v>
      </c>
      <c r="E26" s="104">
        <f>SUM('Draw #17'!E26:F26)</f>
        <v>0</v>
      </c>
      <c r="F26" s="105">
        <v>0</v>
      </c>
      <c r="G26" s="104">
        <f>SUM('Draw #17'!G26)+F26</f>
        <v>2500</v>
      </c>
      <c r="H26" s="109">
        <f t="shared" si="0"/>
        <v>2500</v>
      </c>
      <c r="I26" s="110">
        <v>0</v>
      </c>
      <c r="J26" s="109">
        <f>SUM(I26+'Draw #17'!J26)</f>
        <v>0</v>
      </c>
      <c r="K26" s="101" t="str">
        <f t="shared" si="1"/>
        <v/>
      </c>
      <c r="L26" s="9"/>
      <c r="M26" s="9"/>
    </row>
    <row r="27" spans="1:13" ht="14.1" customHeight="1">
      <c r="A27" s="4">
        <f>'SCHEDULE OF VALUE WORKSHEET'!A24</f>
        <v>18</v>
      </c>
      <c r="B27" s="142" t="str">
        <f>'SCHEDULE OF VALUE WORKSHEET'!B24</f>
        <v>Punch List - Misc.</v>
      </c>
      <c r="C27" s="143"/>
      <c r="D27" s="104">
        <f>SUM('SCHEDULE OF VALUE WORKSHEET'!E24)</f>
        <v>21962.77</v>
      </c>
      <c r="E27" s="104">
        <f>SUM('Draw #17'!E27:F27)</f>
        <v>0</v>
      </c>
      <c r="F27" s="105">
        <v>0</v>
      </c>
      <c r="G27" s="104">
        <f>SUM('Draw #17'!G27)+F27</f>
        <v>21962.77</v>
      </c>
      <c r="H27" s="109">
        <f t="shared" si="0"/>
        <v>21962.77</v>
      </c>
      <c r="I27" s="110">
        <v>0</v>
      </c>
      <c r="J27" s="109">
        <f>SUM(I27+'Draw #17'!J27)</f>
        <v>0</v>
      </c>
      <c r="K27" s="101" t="str">
        <f t="shared" si="1"/>
        <v/>
      </c>
      <c r="L27" s="9"/>
      <c r="M27" s="9"/>
    </row>
    <row r="28" spans="1:13" ht="14.1" customHeight="1">
      <c r="A28" s="4">
        <f>'SCHEDULE OF VALUE WORKSHEET'!A25</f>
        <v>19</v>
      </c>
      <c r="B28" s="142" t="str">
        <f>'SCHEDULE OF VALUE WORKSHEET'!B25</f>
        <v>EBM, Low Voltage, Landscape, Waterproofing CA</v>
      </c>
      <c r="C28" s="143"/>
      <c r="D28" s="104">
        <f>SUM('SCHEDULE OF VALUE WORKSHEET'!E25)</f>
        <v>0</v>
      </c>
      <c r="E28" s="104">
        <f>SUM('Draw #17'!E28:F28)</f>
        <v>0</v>
      </c>
      <c r="F28" s="105">
        <v>0</v>
      </c>
      <c r="G28" s="104">
        <f>SUM('Draw #17'!G28)+F28</f>
        <v>0</v>
      </c>
      <c r="H28" s="109">
        <f t="shared" si="0"/>
        <v>0</v>
      </c>
      <c r="I28" s="110">
        <v>0</v>
      </c>
      <c r="J28" s="109">
        <f>SUM(I28+'Draw #17'!J28)</f>
        <v>0</v>
      </c>
      <c r="K28" s="101" t="str">
        <f t="shared" si="1"/>
        <v/>
      </c>
      <c r="L28" s="9"/>
      <c r="M28" s="9"/>
    </row>
    <row r="29" spans="1:13" ht="14.1" customHeight="1">
      <c r="A29" s="4">
        <f>'SCHEDULE OF VALUE WORKSHEET'!A26</f>
        <v>20</v>
      </c>
      <c r="B29" s="142" t="str">
        <f>'SCHEDULE OF VALUE WORKSHEET'!B26</f>
        <v>Project Accounting/Tax Filing</v>
      </c>
      <c r="C29" s="143"/>
      <c r="D29" s="104">
        <f>SUM('SCHEDULE OF VALUE WORKSHEET'!E26)</f>
        <v>12994.01</v>
      </c>
      <c r="E29" s="104">
        <f>SUM('Draw #17'!E29:F29)</f>
        <v>0</v>
      </c>
      <c r="F29" s="105">
        <v>0</v>
      </c>
      <c r="G29" s="104">
        <f>SUM('Draw #17'!G29)+F29</f>
        <v>12994.01</v>
      </c>
      <c r="H29" s="109">
        <f t="shared" si="0"/>
        <v>12994.01</v>
      </c>
      <c r="I29" s="110">
        <v>0</v>
      </c>
      <c r="J29" s="109">
        <f>SUM(I29+'Draw #17'!J29)</f>
        <v>0</v>
      </c>
      <c r="K29" s="101" t="str">
        <f t="shared" si="1"/>
        <v/>
      </c>
      <c r="L29" s="9"/>
      <c r="M29" s="9"/>
    </row>
    <row r="30" spans="1:13" ht="14.1" customHeight="1">
      <c r="A30" s="4">
        <f>'SCHEDULE OF VALUE WORKSHEET'!A27</f>
        <v>21</v>
      </c>
      <c r="B30" s="142" t="str">
        <f>'SCHEDULE OF VALUE WORKSHEET'!B27</f>
        <v>Legal &amp; Professional Fees</v>
      </c>
      <c r="C30" s="143"/>
      <c r="D30" s="104">
        <f>SUM('SCHEDULE OF VALUE WORKSHEET'!E27)</f>
        <v>873.38999999999942</v>
      </c>
      <c r="E30" s="104">
        <f>SUM('Draw #17'!E30:F30)</f>
        <v>0</v>
      </c>
      <c r="F30" s="105">
        <v>0</v>
      </c>
      <c r="G30" s="104">
        <f>SUM('Draw #17'!G30)+F30</f>
        <v>873.38999999999942</v>
      </c>
      <c r="H30" s="109">
        <f t="shared" si="0"/>
        <v>873.38999999999942</v>
      </c>
      <c r="I30" s="110">
        <v>0</v>
      </c>
      <c r="J30" s="109">
        <f>SUM(I30+'Draw #17'!J30)</f>
        <v>0</v>
      </c>
      <c r="K30" s="101" t="str">
        <f t="shared" si="1"/>
        <v/>
      </c>
      <c r="L30" s="9"/>
      <c r="M30" s="9"/>
    </row>
    <row r="31" spans="1:13" ht="14.1" customHeight="1">
      <c r="A31" s="4">
        <f>'SCHEDULE OF VALUE WORKSHEET'!A28</f>
        <v>22</v>
      </c>
      <c r="B31" s="142" t="str">
        <f>'SCHEDULE OF VALUE WORKSHEET'!B28</f>
        <v>Sewer CCTV and inspection</v>
      </c>
      <c r="C31" s="143"/>
      <c r="D31" s="104">
        <f>SUM('SCHEDULE OF VALUE WORKSHEET'!E28)</f>
        <v>0</v>
      </c>
      <c r="E31" s="104">
        <f>SUM('Draw #17'!E31:F31)</f>
        <v>0</v>
      </c>
      <c r="F31" s="105">
        <v>0</v>
      </c>
      <c r="G31" s="104">
        <f>SUM('Draw #17'!G31)+F31</f>
        <v>0</v>
      </c>
      <c r="H31" s="109">
        <f t="shared" si="0"/>
        <v>0</v>
      </c>
      <c r="I31" s="110">
        <v>0</v>
      </c>
      <c r="J31" s="109">
        <f>SUM(I31+'Draw #17'!J31)</f>
        <v>0</v>
      </c>
      <c r="K31" s="101" t="str">
        <f t="shared" si="1"/>
        <v/>
      </c>
      <c r="L31" s="9"/>
      <c r="M31" s="9"/>
    </row>
    <row r="32" spans="1:13" ht="14.1" customHeight="1">
      <c r="A32" s="4">
        <f>'SCHEDULE OF VALUE WORKSHEET'!A29</f>
        <v>23</v>
      </c>
      <c r="B32" s="142" t="str">
        <f>'SCHEDULE OF VALUE WORKSHEET'!B29</f>
        <v>Environmental Phase I</v>
      </c>
      <c r="C32" s="143"/>
      <c r="D32" s="104">
        <f>SUM('SCHEDULE OF VALUE WORKSHEET'!E29)</f>
        <v>0</v>
      </c>
      <c r="E32" s="104">
        <f>SUM('Draw #17'!E32:F32)</f>
        <v>0</v>
      </c>
      <c r="F32" s="105">
        <v>0</v>
      </c>
      <c r="G32" s="104">
        <f>SUM('Draw #17'!G32)+F32</f>
        <v>0</v>
      </c>
      <c r="H32" s="109">
        <f t="shared" si="0"/>
        <v>0</v>
      </c>
      <c r="I32" s="110">
        <v>0</v>
      </c>
      <c r="J32" s="109">
        <f>SUM(I32+'Draw #17'!J32)</f>
        <v>0</v>
      </c>
      <c r="K32" s="101" t="str">
        <f t="shared" si="1"/>
        <v/>
      </c>
      <c r="L32" s="9"/>
      <c r="M32" s="9"/>
    </row>
    <row r="33" spans="1:13" ht="14.1" customHeight="1">
      <c r="A33" s="4">
        <f>'SCHEDULE OF VALUE WORKSHEET'!A30</f>
        <v>24</v>
      </c>
      <c r="B33" s="142" t="str">
        <f>'SCHEDULE OF VALUE WORKSHEET'!B30</f>
        <v>Dry Utility Consultant</v>
      </c>
      <c r="C33" s="143"/>
      <c r="D33" s="104">
        <f>SUM('SCHEDULE OF VALUE WORKSHEET'!E30)</f>
        <v>0</v>
      </c>
      <c r="E33" s="104">
        <f>SUM('Draw #17'!E33:F33)</f>
        <v>0</v>
      </c>
      <c r="F33" s="105">
        <v>0</v>
      </c>
      <c r="G33" s="104">
        <f>SUM('Draw #17'!G33)+F33</f>
        <v>0</v>
      </c>
      <c r="H33" s="109">
        <f t="shared" si="0"/>
        <v>0</v>
      </c>
      <c r="I33" s="110">
        <v>0</v>
      </c>
      <c r="J33" s="109">
        <f>SUM(I33+'Draw #17'!J33)</f>
        <v>0</v>
      </c>
      <c r="K33" s="101" t="str">
        <f t="shared" si="1"/>
        <v/>
      </c>
      <c r="L33" s="9"/>
      <c r="M33" s="9"/>
    </row>
    <row r="34" spans="1:13" ht="14.1" customHeight="1">
      <c r="A34" s="4">
        <f>'SCHEDULE OF VALUE WORKSHEET'!A31</f>
        <v>25</v>
      </c>
      <c r="B34" s="142" t="str">
        <f>'SCHEDULE OF VALUE WORKSHEET'!B31</f>
        <v>Dry Utility Survey</v>
      </c>
      <c r="C34" s="143"/>
      <c r="D34" s="104">
        <f>SUM('SCHEDULE OF VALUE WORKSHEET'!E31)</f>
        <v>5000</v>
      </c>
      <c r="E34" s="104">
        <f>SUM('Draw #17'!E34:F34)</f>
        <v>0</v>
      </c>
      <c r="F34" s="105">
        <v>0</v>
      </c>
      <c r="G34" s="104">
        <f>SUM('Draw #17'!G34)+F34</f>
        <v>5000</v>
      </c>
      <c r="H34" s="109">
        <f t="shared" si="0"/>
        <v>5000</v>
      </c>
      <c r="I34" s="110">
        <v>0</v>
      </c>
      <c r="J34" s="109">
        <f>SUM(I34+'Draw #17'!J34)</f>
        <v>0</v>
      </c>
      <c r="K34" s="101" t="str">
        <f t="shared" si="1"/>
        <v/>
      </c>
      <c r="L34" s="9"/>
      <c r="M34" s="9"/>
    </row>
    <row r="35" spans="1:13" ht="14.1" customHeight="1">
      <c r="A35" s="4">
        <f>'SCHEDULE OF VALUE WORKSHEET'!A32</f>
        <v>26</v>
      </c>
      <c r="B35" s="142" t="str">
        <f>'SCHEDULE OF VALUE WORKSHEET'!B32</f>
        <v>MEP</v>
      </c>
      <c r="C35" s="143"/>
      <c r="D35" s="104">
        <f>SUM('SCHEDULE OF VALUE WORKSHEET'!E32)</f>
        <v>0</v>
      </c>
      <c r="E35" s="104">
        <f>SUM('Draw #17'!E35:F35)</f>
        <v>0</v>
      </c>
      <c r="F35" s="105">
        <v>0</v>
      </c>
      <c r="G35" s="104">
        <f>SUM('Draw #17'!G35)+F35</f>
        <v>0</v>
      </c>
      <c r="H35" s="109">
        <f t="shared" si="0"/>
        <v>0</v>
      </c>
      <c r="I35" s="110">
        <v>0</v>
      </c>
      <c r="J35" s="109">
        <f>SUM(I35+'Draw #17'!J35)</f>
        <v>0</v>
      </c>
      <c r="K35" s="101" t="str">
        <f t="shared" si="1"/>
        <v/>
      </c>
      <c r="L35" s="9"/>
      <c r="M35" s="9"/>
    </row>
    <row r="36" spans="1:13" ht="14.1" customHeight="1">
      <c r="A36" s="4">
        <f>'SCHEDULE OF VALUE WORKSHEET'!A33</f>
        <v>27</v>
      </c>
      <c r="B36" s="142" t="str">
        <f>'SCHEDULE OF VALUE WORKSHEET'!B33</f>
        <v>Civil Construction Administration</v>
      </c>
      <c r="C36" s="143"/>
      <c r="D36" s="104">
        <f>SUM('SCHEDULE OF VALUE WORKSHEET'!E33)</f>
        <v>5000</v>
      </c>
      <c r="E36" s="104">
        <f>SUM('Draw #17'!E36:F36)</f>
        <v>0</v>
      </c>
      <c r="F36" s="105">
        <v>0</v>
      </c>
      <c r="G36" s="104">
        <f>SUM('Draw #17'!G36)+F36</f>
        <v>5000</v>
      </c>
      <c r="H36" s="109">
        <f t="shared" si="0"/>
        <v>5000</v>
      </c>
      <c r="I36" s="110">
        <v>0</v>
      </c>
      <c r="J36" s="109">
        <f>SUM(I36+'Draw #17'!J36)</f>
        <v>0</v>
      </c>
      <c r="K36" s="101" t="str">
        <f t="shared" si="1"/>
        <v/>
      </c>
      <c r="L36" s="9"/>
      <c r="M36" s="9"/>
    </row>
    <row r="37" spans="1:13" ht="14.1" customHeight="1">
      <c r="A37" s="4">
        <f>'SCHEDULE OF VALUE WORKSHEET'!A34</f>
        <v>28</v>
      </c>
      <c r="B37" s="142" t="str">
        <f>'SCHEDULE OF VALUE WORKSHEET'!B34</f>
        <v>Permit Clearances &amp; Agency Reviews</v>
      </c>
      <c r="C37" s="143"/>
      <c r="D37" s="104">
        <f>SUM('SCHEDULE OF VALUE WORKSHEET'!E34)</f>
        <v>0</v>
      </c>
      <c r="E37" s="104">
        <f>SUM('Draw #17'!E37:F37)</f>
        <v>0</v>
      </c>
      <c r="F37" s="105">
        <v>0</v>
      </c>
      <c r="G37" s="104">
        <f>SUM('Draw #17'!G37)+F37</f>
        <v>0</v>
      </c>
      <c r="H37" s="109">
        <f t="shared" si="0"/>
        <v>0</v>
      </c>
      <c r="I37" s="110">
        <v>0</v>
      </c>
      <c r="J37" s="109">
        <f>SUM(I37+'Draw #17'!J37)</f>
        <v>0</v>
      </c>
      <c r="K37" s="101" t="str">
        <f t="shared" si="1"/>
        <v/>
      </c>
      <c r="L37" s="9"/>
      <c r="M37" s="9"/>
    </row>
    <row r="38" spans="1:13" ht="14.1" customHeight="1">
      <c r="A38" s="4">
        <f>'SCHEDULE OF VALUE WORKSHEET'!A35</f>
        <v>29</v>
      </c>
      <c r="B38" s="142" t="str">
        <f>'SCHEDULE OF VALUE WORKSHEET'!B35</f>
        <v>Demo Permit Fees</v>
      </c>
      <c r="C38" s="143"/>
      <c r="D38" s="104">
        <f>SUM('SCHEDULE OF VALUE WORKSHEET'!E35)</f>
        <v>500</v>
      </c>
      <c r="E38" s="104">
        <f>SUM('Draw #17'!E38:F38)</f>
        <v>0</v>
      </c>
      <c r="F38" s="105">
        <v>0</v>
      </c>
      <c r="G38" s="104">
        <f>SUM('Draw #17'!G38)+F38</f>
        <v>500</v>
      </c>
      <c r="H38" s="109">
        <f t="shared" si="0"/>
        <v>500</v>
      </c>
      <c r="I38" s="110">
        <v>0</v>
      </c>
      <c r="J38" s="109">
        <f>SUM(I38+'Draw #17'!J38)</f>
        <v>0</v>
      </c>
      <c r="K38" s="101" t="str">
        <f t="shared" si="1"/>
        <v/>
      </c>
      <c r="L38" s="9"/>
      <c r="M38" s="9"/>
    </row>
    <row r="39" spans="1:13" ht="14.1" customHeight="1">
      <c r="A39" s="4">
        <f>'SCHEDULE OF VALUE WORKSHEET'!A36</f>
        <v>30</v>
      </c>
      <c r="B39" s="142" t="str">
        <f>'SCHEDULE OF VALUE WORKSHEET'!B36</f>
        <v>MEP Fees</v>
      </c>
      <c r="C39" s="143"/>
      <c r="D39" s="104">
        <f>SUM('SCHEDULE OF VALUE WORKSHEET'!E36)</f>
        <v>0</v>
      </c>
      <c r="E39" s="104">
        <f>SUM('Draw #17'!E39:F39)</f>
        <v>0</v>
      </c>
      <c r="F39" s="105">
        <v>0</v>
      </c>
      <c r="G39" s="104">
        <f>SUM('Draw #17'!G39)+F39</f>
        <v>0</v>
      </c>
      <c r="H39" s="109">
        <f t="shared" si="0"/>
        <v>0</v>
      </c>
      <c r="I39" s="110">
        <v>0</v>
      </c>
      <c r="J39" s="109">
        <f>SUM(I39+'Draw #17'!J39)</f>
        <v>0</v>
      </c>
      <c r="K39" s="101" t="str">
        <f t="shared" si="1"/>
        <v/>
      </c>
      <c r="L39" s="9"/>
      <c r="M39" s="9"/>
    </row>
    <row r="40" spans="1:13" ht="14.1" customHeight="1">
      <c r="A40" s="4">
        <f>'SCHEDULE OF VALUE WORKSHEET'!A37</f>
        <v>31</v>
      </c>
      <c r="B40" s="142" t="str">
        <f>'SCHEDULE OF VALUE WORKSHEET'!B37</f>
        <v>Agency Signoffs</v>
      </c>
      <c r="C40" s="143"/>
      <c r="D40" s="104">
        <f>SUM('SCHEDULE OF VALUE WORKSHEET'!E37)</f>
        <v>0</v>
      </c>
      <c r="E40" s="104">
        <f>SUM('Draw #17'!E40:F40)</f>
        <v>0</v>
      </c>
      <c r="F40" s="105">
        <v>0</v>
      </c>
      <c r="G40" s="104">
        <f>SUM('Draw #17'!G40)+F40</f>
        <v>0</v>
      </c>
      <c r="H40" s="109">
        <f t="shared" si="0"/>
        <v>0</v>
      </c>
      <c r="I40" s="110">
        <v>0</v>
      </c>
      <c r="J40" s="109">
        <f>SUM(I40+'Draw #17'!J40)</f>
        <v>0</v>
      </c>
      <c r="K40" s="101" t="str">
        <f t="shared" si="1"/>
        <v/>
      </c>
      <c r="L40" s="9"/>
      <c r="M40" s="9"/>
    </row>
    <row r="41" spans="1:13" ht="14.1" customHeight="1">
      <c r="A41" s="4">
        <f>'SCHEDULE OF VALUE WORKSHEET'!A38</f>
        <v>32</v>
      </c>
      <c r="B41" s="142" t="str">
        <f>'SCHEDULE OF VALUE WORKSHEET'!B38</f>
        <v>Specifications Writer Consultant</v>
      </c>
      <c r="C41" s="143"/>
      <c r="D41" s="104">
        <f>SUM('SCHEDULE OF VALUE WORKSHEET'!E38)</f>
        <v>2000</v>
      </c>
      <c r="E41" s="104">
        <f>SUM('Draw #17'!E41:F41)</f>
        <v>0</v>
      </c>
      <c r="F41" s="105">
        <v>0</v>
      </c>
      <c r="G41" s="104">
        <f>SUM('Draw #17'!G41)+F41</f>
        <v>2000</v>
      </c>
      <c r="H41" s="109">
        <f t="shared" si="0"/>
        <v>2000</v>
      </c>
      <c r="I41" s="110">
        <v>0</v>
      </c>
      <c r="J41" s="109">
        <f>SUM(I41+'Draw #17'!J41)</f>
        <v>0</v>
      </c>
      <c r="K41" s="101" t="str">
        <f t="shared" si="1"/>
        <v/>
      </c>
      <c r="L41" s="9"/>
      <c r="M41" s="9"/>
    </row>
    <row r="42" spans="1:13" ht="14.1" customHeight="1">
      <c r="A42" s="4">
        <f>'SCHEDULE OF VALUE WORKSHEET'!A39</f>
        <v>33</v>
      </c>
      <c r="B42" s="142" t="str">
        <f>'SCHEDULE OF VALUE WORKSHEET'!B39</f>
        <v>Construction Consultant</v>
      </c>
      <c r="C42" s="143"/>
      <c r="D42" s="104">
        <f>SUM('SCHEDULE OF VALUE WORKSHEET'!E39)</f>
        <v>0</v>
      </c>
      <c r="E42" s="104">
        <f>SUM('Draw #17'!E42:F42)</f>
        <v>0</v>
      </c>
      <c r="F42" s="105">
        <v>0</v>
      </c>
      <c r="G42" s="104">
        <f>SUM('Draw #17'!G42)+F42</f>
        <v>0</v>
      </c>
      <c r="H42" s="109">
        <f t="shared" si="0"/>
        <v>0</v>
      </c>
      <c r="I42" s="110">
        <v>0</v>
      </c>
      <c r="J42" s="109">
        <f>SUM(I42+'Draw #17'!J42)</f>
        <v>0</v>
      </c>
      <c r="K42" s="101" t="str">
        <f t="shared" si="1"/>
        <v/>
      </c>
      <c r="L42" s="9"/>
      <c r="M42" s="9"/>
    </row>
    <row r="43" spans="1:13" ht="14.1" customHeight="1">
      <c r="A43" s="4">
        <f>'SCHEDULE OF VALUE WORKSHEET'!A40</f>
        <v>34</v>
      </c>
      <c r="B43" s="142" t="str">
        <f>'SCHEDULE OF VALUE WORKSHEET'!B40</f>
        <v>Low Voltage Consultant</v>
      </c>
      <c r="C43" s="143"/>
      <c r="D43" s="104">
        <f>SUM('SCHEDULE OF VALUE WORKSHEET'!E40)</f>
        <v>15524</v>
      </c>
      <c r="E43" s="104">
        <f>SUM('Draw #17'!E43:F43)</f>
        <v>0</v>
      </c>
      <c r="F43" s="105">
        <v>0</v>
      </c>
      <c r="G43" s="104">
        <f>SUM('Draw #17'!G43)+F43</f>
        <v>15524</v>
      </c>
      <c r="H43" s="109">
        <f t="shared" si="0"/>
        <v>15524</v>
      </c>
      <c r="I43" s="110">
        <v>0</v>
      </c>
      <c r="J43" s="109">
        <f>SUM(I43+'Draw #17'!J43)</f>
        <v>0</v>
      </c>
      <c r="K43" s="101" t="str">
        <f t="shared" si="1"/>
        <v/>
      </c>
      <c r="L43" s="9"/>
      <c r="M43" s="9"/>
    </row>
    <row r="44" spans="1:13" ht="14.1" customHeight="1">
      <c r="A44" s="4">
        <f>'SCHEDULE OF VALUE WORKSHEET'!A41</f>
        <v>35</v>
      </c>
      <c r="B44" s="142" t="str">
        <f>'SCHEDULE OF VALUE WORKSHEET'!B41</f>
        <v>Photovoltaic Consultant</v>
      </c>
      <c r="C44" s="143"/>
      <c r="D44" s="104">
        <f>SUM('SCHEDULE OF VALUE WORKSHEET'!E41)</f>
        <v>5000</v>
      </c>
      <c r="E44" s="104">
        <f>SUM('Draw #17'!E44:F44)</f>
        <v>0</v>
      </c>
      <c r="F44" s="105">
        <v>0</v>
      </c>
      <c r="G44" s="104">
        <f>SUM('Draw #17'!G44)+F44</f>
        <v>5000</v>
      </c>
      <c r="H44" s="109">
        <f t="shared" si="0"/>
        <v>5000</v>
      </c>
      <c r="I44" s="110">
        <v>0</v>
      </c>
      <c r="J44" s="109">
        <f>SUM(I44+'Draw #17'!J44)</f>
        <v>0</v>
      </c>
      <c r="K44" s="101" t="str">
        <f t="shared" si="1"/>
        <v/>
      </c>
      <c r="L44" s="9"/>
      <c r="M44" s="9"/>
    </row>
    <row r="45" spans="1:13" ht="14.1" customHeight="1">
      <c r="A45" s="4">
        <f>'SCHEDULE OF VALUE WORKSHEET'!A42</f>
        <v>36</v>
      </c>
      <c r="B45" s="142" t="str">
        <f>'SCHEDULE OF VALUE WORKSHEET'!B42</f>
        <v>Construction Management / Observation (OO)</v>
      </c>
      <c r="C45" s="143"/>
      <c r="D45" s="104">
        <f>SUM('SCHEDULE OF VALUE WORKSHEET'!E42)</f>
        <v>49427.9</v>
      </c>
      <c r="E45" s="104">
        <f>SUM('Draw #17'!E45:F45)</f>
        <v>0</v>
      </c>
      <c r="F45" s="105">
        <v>0</v>
      </c>
      <c r="G45" s="104">
        <f>SUM('Draw #17'!G45)+F45</f>
        <v>49427.9</v>
      </c>
      <c r="H45" s="109">
        <f t="shared" si="0"/>
        <v>49427.9</v>
      </c>
      <c r="I45" s="110">
        <v>0</v>
      </c>
      <c r="J45" s="109">
        <f>SUM(I45+'Draw #17'!J45)</f>
        <v>0</v>
      </c>
      <c r="K45" s="101" t="str">
        <f t="shared" si="1"/>
        <v/>
      </c>
      <c r="L45" s="9"/>
      <c r="M45" s="9"/>
    </row>
    <row r="46" spans="1:13" ht="14.1" customHeight="1">
      <c r="A46" s="4" t="e">
        <f>'SCHEDULE OF VALUE WORKSHEET'!#REF!</f>
        <v>#REF!</v>
      </c>
      <c r="B46" s="142" t="e">
        <f>'SCHEDULE OF VALUE WORKSHEET'!#REF!</f>
        <v>#REF!</v>
      </c>
      <c r="C46" s="143"/>
      <c r="D46" s="104" t="e">
        <f>SUM('SCHEDULE OF VALUE WORKSHEET'!#REF!)</f>
        <v>#REF!</v>
      </c>
      <c r="E46" s="104">
        <f>SUM('Draw #17'!E46:F46)</f>
        <v>0</v>
      </c>
      <c r="F46" s="105">
        <v>0</v>
      </c>
      <c r="G46" s="104" t="e">
        <f>SUM('Draw #17'!G46)+F46</f>
        <v>#REF!</v>
      </c>
      <c r="H46" s="109" t="e">
        <f t="shared" si="0"/>
        <v>#REF!</v>
      </c>
      <c r="I46" s="110">
        <v>0</v>
      </c>
      <c r="J46" s="109">
        <f>SUM(I46+'Draw #17'!J46)</f>
        <v>0</v>
      </c>
      <c r="K46" s="101" t="str">
        <f t="shared" si="1"/>
        <v/>
      </c>
      <c r="L46" s="9"/>
      <c r="M46" s="9"/>
    </row>
    <row r="47" spans="1:13" ht="14.1" customHeight="1">
      <c r="A47" s="4">
        <f>'SCHEDULE OF VALUE WORKSHEET'!A43</f>
        <v>37</v>
      </c>
      <c r="B47" s="142" t="str">
        <f>'SCHEDULE OF VALUE WORKSHEET'!B43</f>
        <v>CMFA Startup Fee</v>
      </c>
      <c r="C47" s="143"/>
      <c r="D47" s="104">
        <f>SUM('SCHEDULE OF VALUE WORKSHEET'!E43)</f>
        <v>22800</v>
      </c>
      <c r="E47" s="104">
        <f>SUM('Draw #17'!E47:F47)</f>
        <v>0</v>
      </c>
      <c r="F47" s="105">
        <v>0</v>
      </c>
      <c r="G47" s="104">
        <f>SUM('Draw #17'!G47)+F47</f>
        <v>22800</v>
      </c>
      <c r="H47" s="109">
        <f t="shared" si="0"/>
        <v>22800</v>
      </c>
      <c r="I47" s="110">
        <v>0</v>
      </c>
      <c r="J47" s="109">
        <f>SUM(I47+'Draw #17'!J47)</f>
        <v>0</v>
      </c>
      <c r="K47" s="101" t="str">
        <f t="shared" si="1"/>
        <v/>
      </c>
      <c r="L47" s="9"/>
      <c r="M47" s="9"/>
    </row>
    <row r="48" spans="1:13" ht="14.1" customHeight="1">
      <c r="A48" s="4">
        <f>'SCHEDULE OF VALUE WORKSHEET'!A44</f>
        <v>38</v>
      </c>
      <c r="B48" s="142" t="str">
        <f>'SCHEDULE OF VALUE WORKSHEET'!B44</f>
        <v>Non-Profit Start Up Fee</v>
      </c>
      <c r="C48" s="143"/>
      <c r="D48" s="104">
        <f>SUM('SCHEDULE OF VALUE WORKSHEET'!E44)</f>
        <v>25000</v>
      </c>
      <c r="E48" s="104">
        <f>SUM('Draw #17'!E48:F48)</f>
        <v>0</v>
      </c>
      <c r="F48" s="105">
        <v>0</v>
      </c>
      <c r="G48" s="104">
        <f>SUM('Draw #17'!G48)+F48</f>
        <v>25000</v>
      </c>
      <c r="H48" s="109">
        <f t="shared" si="0"/>
        <v>25000</v>
      </c>
      <c r="I48" s="110">
        <v>0</v>
      </c>
      <c r="J48" s="109">
        <f>SUM(I48+'Draw #17'!J48)</f>
        <v>0</v>
      </c>
      <c r="K48" s="101" t="str">
        <f t="shared" si="1"/>
        <v/>
      </c>
      <c r="L48" s="9"/>
      <c r="M48" s="9"/>
    </row>
    <row r="49" spans="1:13" ht="14.1" customHeight="1">
      <c r="A49" s="4">
        <f>'SCHEDULE OF VALUE WORKSHEET'!A45</f>
        <v>39</v>
      </c>
      <c r="B49" s="142" t="str">
        <f>'SCHEDULE OF VALUE WORKSHEET'!B45</f>
        <v>CMFA Construction Fee</v>
      </c>
      <c r="C49" s="143"/>
      <c r="D49" s="104">
        <f>SUM('SCHEDULE OF VALUE WORKSHEET'!E45)</f>
        <v>12000</v>
      </c>
      <c r="E49" s="104">
        <f>SUM('Draw #17'!E49:F49)</f>
        <v>0</v>
      </c>
      <c r="F49" s="105">
        <v>0</v>
      </c>
      <c r="G49" s="104">
        <f>SUM('Draw #17'!G49)+F49</f>
        <v>12000</v>
      </c>
      <c r="H49" s="109">
        <f t="shared" si="0"/>
        <v>12000</v>
      </c>
      <c r="I49" s="110">
        <v>0</v>
      </c>
      <c r="J49" s="109">
        <f>SUM(I49+'Draw #17'!J49)</f>
        <v>0</v>
      </c>
      <c r="K49" s="101" t="str">
        <f t="shared" si="1"/>
        <v/>
      </c>
      <c r="L49" s="9"/>
      <c r="M49" s="9"/>
    </row>
    <row r="50" spans="1:13" ht="14.1" customHeight="1">
      <c r="A50" s="4">
        <f>'SCHEDULE OF VALUE WORKSHEET'!A46</f>
        <v>40</v>
      </c>
      <c r="B50" s="142" t="str">
        <f>'SCHEDULE OF VALUE WORKSHEET'!B46</f>
        <v>Non-Profit Construction Fee</v>
      </c>
      <c r="C50" s="143"/>
      <c r="D50" s="104">
        <f>SUM('SCHEDULE OF VALUE WORKSHEET'!E46)</f>
        <v>10000</v>
      </c>
      <c r="E50" s="104">
        <f>SUM('Draw #17'!E50:F50)</f>
        <v>0</v>
      </c>
      <c r="F50" s="105">
        <v>0</v>
      </c>
      <c r="G50" s="104">
        <f>SUM('Draw #17'!G50)+F50</f>
        <v>10000</v>
      </c>
      <c r="H50" s="109">
        <f t="shared" si="0"/>
        <v>10000</v>
      </c>
      <c r="I50" s="110">
        <v>0</v>
      </c>
      <c r="J50" s="109">
        <f>SUM(I50+'Draw #17'!J50)</f>
        <v>0</v>
      </c>
      <c r="K50" s="101" t="str">
        <f t="shared" si="1"/>
        <v/>
      </c>
      <c r="L50" s="9"/>
      <c r="M50" s="9"/>
    </row>
    <row r="51" spans="1:13" ht="14.1" customHeight="1">
      <c r="A51" s="4">
        <f>'SCHEDULE OF VALUE WORKSHEET'!A47</f>
        <v>41</v>
      </c>
      <c r="B51" s="142" t="str">
        <f>'SCHEDULE OF VALUE WORKSHEET'!B47</f>
        <v>WTE Legal Costs for CMFA &amp; Non-Profit Partner</v>
      </c>
      <c r="C51" s="143"/>
      <c r="D51" s="104">
        <f>SUM('SCHEDULE OF VALUE WORKSHEET'!E47)</f>
        <v>20000</v>
      </c>
      <c r="E51" s="104">
        <f>SUM('Draw #17'!E51:F51)</f>
        <v>0</v>
      </c>
      <c r="F51" s="105">
        <v>0</v>
      </c>
      <c r="G51" s="104">
        <f>SUM('Draw #17'!G51)+F51</f>
        <v>20000</v>
      </c>
      <c r="H51" s="109">
        <f t="shared" si="0"/>
        <v>20000</v>
      </c>
      <c r="I51" s="110">
        <v>0</v>
      </c>
      <c r="J51" s="109">
        <f>SUM(I51+'Draw #17'!J51)</f>
        <v>0</v>
      </c>
      <c r="K51" s="101" t="str">
        <f t="shared" si="1"/>
        <v/>
      </c>
      <c r="L51" s="9"/>
      <c r="M51" s="9"/>
    </row>
    <row r="52" spans="1:13" ht="14.1" customHeight="1">
      <c r="A52" s="4" t="e">
        <f>'SCHEDULE OF VALUE WORKSHEET'!#REF!</f>
        <v>#REF!</v>
      </c>
      <c r="B52" s="142" t="e">
        <f>'SCHEDULE OF VALUE WORKSHEET'!#REF!</f>
        <v>#REF!</v>
      </c>
      <c r="C52" s="143"/>
      <c r="D52" s="104" t="e">
        <f>SUM('SCHEDULE OF VALUE WORKSHEET'!#REF!)</f>
        <v>#REF!</v>
      </c>
      <c r="E52" s="104">
        <f>SUM('Draw #17'!E52:F52)</f>
        <v>0</v>
      </c>
      <c r="F52" s="105">
        <v>0</v>
      </c>
      <c r="G52" s="104" t="e">
        <f>SUM('Draw #17'!G52)+F52</f>
        <v>#REF!</v>
      </c>
      <c r="H52" s="109" t="e">
        <f t="shared" si="0"/>
        <v>#REF!</v>
      </c>
      <c r="I52" s="110">
        <v>0</v>
      </c>
      <c r="J52" s="109">
        <f>SUM(I52+'Draw #17'!J52)</f>
        <v>0</v>
      </c>
      <c r="K52" s="101" t="str">
        <f t="shared" si="1"/>
        <v/>
      </c>
      <c r="L52" s="9"/>
      <c r="M52" s="9"/>
    </row>
    <row r="53" spans="1:13" ht="14.1" customHeight="1">
      <c r="A53" s="4">
        <f>'SCHEDULE OF VALUE WORKSHEET'!A49</f>
        <v>43</v>
      </c>
      <c r="B53" s="142" t="str">
        <f>'SCHEDULE OF VALUE WORKSHEET'!B49</f>
        <v>GENERAL CONDITIONS</v>
      </c>
      <c r="C53" s="143"/>
      <c r="D53" s="104">
        <f>SUM('SCHEDULE OF VALUE WORKSHEET'!E49)</f>
        <v>362115.24</v>
      </c>
      <c r="E53" s="104">
        <f>SUM('Draw #17'!E53:F53)</f>
        <v>0</v>
      </c>
      <c r="F53" s="105">
        <v>0</v>
      </c>
      <c r="G53" s="104">
        <f>SUM('Draw #17'!G53)+F53</f>
        <v>362115.24</v>
      </c>
      <c r="H53" s="109">
        <f t="shared" si="0"/>
        <v>362115.24</v>
      </c>
      <c r="I53" s="110">
        <v>0</v>
      </c>
      <c r="J53" s="109">
        <f>SUM(I53+'Draw #17'!J53)</f>
        <v>0</v>
      </c>
      <c r="K53" s="101" t="str">
        <f t="shared" si="1"/>
        <v/>
      </c>
      <c r="L53" s="9"/>
      <c r="M53" s="9"/>
    </row>
    <row r="54" spans="1:13" ht="14.1" customHeight="1">
      <c r="A54" s="4">
        <f>'SCHEDULE OF VALUE WORKSHEET'!A50</f>
        <v>44</v>
      </c>
      <c r="B54" s="142" t="str">
        <f>'SCHEDULE OF VALUE WORKSHEET'!B50</f>
        <v>GENERAL REQUIREMENT</v>
      </c>
      <c r="C54" s="143"/>
      <c r="D54" s="104">
        <f>SUM('SCHEDULE OF VALUE WORKSHEET'!E50)</f>
        <v>124657.88</v>
      </c>
      <c r="E54" s="104">
        <f>SUM('Draw #17'!E54:F54)</f>
        <v>0</v>
      </c>
      <c r="F54" s="105">
        <v>0</v>
      </c>
      <c r="G54" s="104">
        <f>SUM('Draw #17'!G54)+F54</f>
        <v>124657.88</v>
      </c>
      <c r="H54" s="109">
        <f t="shared" si="0"/>
        <v>124657.88</v>
      </c>
      <c r="I54" s="110">
        <v>0</v>
      </c>
      <c r="J54" s="109">
        <f>SUM(I54+'Draw #17'!J54)</f>
        <v>0</v>
      </c>
      <c r="K54" s="101" t="str">
        <f t="shared" si="1"/>
        <v/>
      </c>
      <c r="L54" s="9"/>
      <c r="M54" s="9"/>
    </row>
    <row r="55" spans="1:13" ht="14.1" customHeight="1">
      <c r="A55" s="4">
        <f>'SCHEDULE OF VALUE WORKSHEET'!A51</f>
        <v>45</v>
      </c>
      <c r="B55" s="142" t="str">
        <f>'SCHEDULE OF VALUE WORKSHEET'!B51</f>
        <v>SITE WORK</v>
      </c>
      <c r="C55" s="143"/>
      <c r="D55" s="104">
        <f>SUM('SCHEDULE OF VALUE WORKSHEET'!E51)</f>
        <v>139049.51</v>
      </c>
      <c r="E55" s="104">
        <f>SUM('Draw #17'!E55:F55)</f>
        <v>0</v>
      </c>
      <c r="F55" s="105">
        <v>0</v>
      </c>
      <c r="G55" s="104">
        <f>SUM('Draw #17'!G55)+F55</f>
        <v>139049.51</v>
      </c>
      <c r="H55" s="109">
        <f t="shared" si="0"/>
        <v>139049.51</v>
      </c>
      <c r="I55" s="110">
        <v>0</v>
      </c>
      <c r="J55" s="109">
        <f>SUM(I55+'Draw #17'!J55)</f>
        <v>0</v>
      </c>
      <c r="K55" s="101" t="str">
        <f t="shared" si="1"/>
        <v/>
      </c>
      <c r="L55" s="9"/>
      <c r="M55" s="9"/>
    </row>
    <row r="56" spans="1:13" ht="14.1" customHeight="1">
      <c r="A56" s="4">
        <f>'SCHEDULE OF VALUE WORKSHEET'!A52</f>
        <v>46</v>
      </c>
      <c r="B56" s="142" t="str">
        <f>'SCHEDULE OF VALUE WORKSHEET'!B52</f>
        <v>CONCRETE</v>
      </c>
      <c r="C56" s="143"/>
      <c r="D56" s="104">
        <f>SUM('SCHEDULE OF VALUE WORKSHEET'!E52)</f>
        <v>253182</v>
      </c>
      <c r="E56" s="104">
        <f>SUM('Draw #17'!E56:F56)</f>
        <v>0</v>
      </c>
      <c r="F56" s="105">
        <v>0</v>
      </c>
      <c r="G56" s="104">
        <f>SUM('Draw #17'!G56)+F56</f>
        <v>253182</v>
      </c>
      <c r="H56" s="109">
        <f t="shared" si="0"/>
        <v>253182</v>
      </c>
      <c r="I56" s="110">
        <v>0</v>
      </c>
      <c r="J56" s="109">
        <f>SUM(I56+'Draw #17'!J56)</f>
        <v>0</v>
      </c>
      <c r="K56" s="101" t="str">
        <f t="shared" si="1"/>
        <v/>
      </c>
      <c r="L56" s="9"/>
      <c r="M56" s="9"/>
    </row>
    <row r="57" spans="1:13" ht="14.1" customHeight="1">
      <c r="A57" s="4">
        <f>'SCHEDULE OF VALUE WORKSHEET'!A53</f>
        <v>47</v>
      </c>
      <c r="B57" s="142" t="str">
        <f>'SCHEDULE OF VALUE WORKSHEET'!B53</f>
        <v>MASONRY</v>
      </c>
      <c r="C57" s="143"/>
      <c r="D57" s="104">
        <f>SUM('SCHEDULE OF VALUE WORKSHEET'!E53)</f>
        <v>3562.64</v>
      </c>
      <c r="E57" s="104">
        <f>SUM('Draw #17'!E57:F57)</f>
        <v>0</v>
      </c>
      <c r="F57" s="105">
        <v>0</v>
      </c>
      <c r="G57" s="104">
        <f>SUM('Draw #17'!G57)+F57</f>
        <v>3562.64</v>
      </c>
      <c r="H57" s="109">
        <f t="shared" si="0"/>
        <v>3562.64</v>
      </c>
      <c r="I57" s="110">
        <v>0</v>
      </c>
      <c r="J57" s="109">
        <f>SUM(I57+'Draw #17'!J57)</f>
        <v>0</v>
      </c>
      <c r="K57" s="101" t="str">
        <f t="shared" si="1"/>
        <v/>
      </c>
      <c r="L57" s="9"/>
      <c r="M57" s="9"/>
    </row>
    <row r="58" spans="1:13" ht="14.1" customHeight="1">
      <c r="A58" s="4">
        <f>'SCHEDULE OF VALUE WORKSHEET'!A54</f>
        <v>48</v>
      </c>
      <c r="B58" s="142" t="str">
        <f>'SCHEDULE OF VALUE WORKSHEET'!B54</f>
        <v>METALS</v>
      </c>
      <c r="C58" s="143"/>
      <c r="D58" s="104">
        <f>SUM('SCHEDULE OF VALUE WORKSHEET'!E54)</f>
        <v>324100</v>
      </c>
      <c r="E58" s="104">
        <f>SUM('Draw #17'!E58:F58)</f>
        <v>0</v>
      </c>
      <c r="F58" s="105">
        <v>0</v>
      </c>
      <c r="G58" s="104">
        <f>SUM('Draw #17'!G58)+F58</f>
        <v>324100</v>
      </c>
      <c r="H58" s="109">
        <f t="shared" si="0"/>
        <v>324100</v>
      </c>
      <c r="I58" s="110">
        <v>0</v>
      </c>
      <c r="J58" s="109">
        <f>SUM(I58+'Draw #17'!J58)</f>
        <v>0</v>
      </c>
      <c r="K58" s="101" t="str">
        <f t="shared" si="1"/>
        <v/>
      </c>
      <c r="L58" s="9"/>
      <c r="M58" s="9"/>
    </row>
    <row r="59" spans="1:13" ht="14.1" customHeight="1">
      <c r="A59" s="4">
        <f>'SCHEDULE OF VALUE WORKSHEET'!A55</f>
        <v>49</v>
      </c>
      <c r="B59" s="142" t="str">
        <f>'SCHEDULE OF VALUE WORKSHEET'!B55</f>
        <v>FRAMING</v>
      </c>
      <c r="C59" s="143"/>
      <c r="D59" s="104">
        <f>SUM('SCHEDULE OF VALUE WORKSHEET'!E55)</f>
        <v>818554</v>
      </c>
      <c r="E59" s="104">
        <f>SUM('Draw #17'!E59:F59)</f>
        <v>0</v>
      </c>
      <c r="F59" s="105">
        <v>0</v>
      </c>
      <c r="G59" s="104">
        <f>SUM('Draw #17'!G59)+F59</f>
        <v>818554</v>
      </c>
      <c r="H59" s="109">
        <f t="shared" si="0"/>
        <v>818554</v>
      </c>
      <c r="I59" s="110">
        <v>0</v>
      </c>
      <c r="J59" s="109">
        <f>SUM(I59+'Draw #17'!J59)</f>
        <v>0</v>
      </c>
      <c r="K59" s="101" t="str">
        <f t="shared" si="1"/>
        <v/>
      </c>
      <c r="L59" s="9"/>
      <c r="M59" s="9"/>
    </row>
    <row r="60" spans="1:13" ht="14.1" customHeight="1">
      <c r="A60" s="4">
        <f>'SCHEDULE OF VALUE WORKSHEET'!A56</f>
        <v>50</v>
      </c>
      <c r="B60" s="142" t="str">
        <f>'SCHEDULE OF VALUE WORKSHEET'!B56</f>
        <v>COUNTERTOPS</v>
      </c>
      <c r="C60" s="143"/>
      <c r="D60" s="104">
        <f>SUM('SCHEDULE OF VALUE WORKSHEET'!E56)</f>
        <v>56930</v>
      </c>
      <c r="E60" s="104">
        <f>SUM('Draw #17'!E60:F60)</f>
        <v>0</v>
      </c>
      <c r="F60" s="105">
        <v>0</v>
      </c>
      <c r="G60" s="104">
        <f>SUM('Draw #17'!G60)+F60</f>
        <v>56930</v>
      </c>
      <c r="H60" s="109">
        <f t="shared" si="0"/>
        <v>56930</v>
      </c>
      <c r="I60" s="110">
        <v>0</v>
      </c>
      <c r="J60" s="109">
        <f>SUM(I60+'Draw #17'!J60)</f>
        <v>0</v>
      </c>
      <c r="K60" s="101" t="str">
        <f t="shared" si="1"/>
        <v/>
      </c>
      <c r="L60" s="9"/>
      <c r="M60" s="9"/>
    </row>
    <row r="61" spans="1:13" ht="14.1" customHeight="1">
      <c r="A61" s="4">
        <f>'SCHEDULE OF VALUE WORKSHEET'!A57</f>
        <v>51</v>
      </c>
      <c r="B61" s="142" t="str">
        <f>'SCHEDULE OF VALUE WORKSHEET'!B57</f>
        <v>CABINETS</v>
      </c>
      <c r="C61" s="143"/>
      <c r="D61" s="104">
        <f>SUM('SCHEDULE OF VALUE WORKSHEET'!E57)</f>
        <v>56930</v>
      </c>
      <c r="E61" s="104">
        <f>SUM('Draw #17'!E61:F61)</f>
        <v>0</v>
      </c>
      <c r="F61" s="105">
        <v>0</v>
      </c>
      <c r="G61" s="104">
        <f>SUM('Draw #17'!G61)+F61</f>
        <v>56930</v>
      </c>
      <c r="H61" s="109">
        <f t="shared" si="0"/>
        <v>56930</v>
      </c>
      <c r="I61" s="110">
        <v>0</v>
      </c>
      <c r="J61" s="109">
        <f>SUM(I61+'Draw #17'!J61)</f>
        <v>0</v>
      </c>
      <c r="K61" s="101" t="str">
        <f t="shared" si="1"/>
        <v/>
      </c>
      <c r="L61" s="9"/>
      <c r="M61" s="9"/>
    </row>
    <row r="62" spans="1:13" ht="14.1" customHeight="1">
      <c r="A62" s="4">
        <f>'SCHEDULE OF VALUE WORKSHEET'!A58</f>
        <v>52</v>
      </c>
      <c r="B62" s="142" t="str">
        <f>'SCHEDULE OF VALUE WORKSHEET'!B58</f>
        <v>THERMAL MOISTURE PROTECTION</v>
      </c>
      <c r="C62" s="143"/>
      <c r="D62" s="104">
        <f>SUM('SCHEDULE OF VALUE WORKSHEET'!E58)</f>
        <v>173148</v>
      </c>
      <c r="E62" s="104">
        <f>SUM('Draw #17'!E62:F62)</f>
        <v>0</v>
      </c>
      <c r="F62" s="105">
        <v>0</v>
      </c>
      <c r="G62" s="104">
        <f>SUM('Draw #17'!G62)+F62</f>
        <v>173148</v>
      </c>
      <c r="H62" s="109">
        <f t="shared" si="0"/>
        <v>173148</v>
      </c>
      <c r="I62" s="110">
        <v>0</v>
      </c>
      <c r="J62" s="109">
        <f>SUM(I62+'Draw #17'!J62)</f>
        <v>0</v>
      </c>
      <c r="K62" s="101" t="str">
        <f t="shared" si="1"/>
        <v/>
      </c>
      <c r="L62" s="9"/>
      <c r="M62" s="9"/>
    </row>
    <row r="63" spans="1:13" ht="14.1" customHeight="1">
      <c r="A63" s="4">
        <f>'SCHEDULE OF VALUE WORKSHEET'!A59</f>
        <v>53</v>
      </c>
      <c r="B63" s="142" t="str">
        <f>'SCHEDULE OF VALUE WORKSHEET'!B59</f>
        <v>DOORS</v>
      </c>
      <c r="C63" s="143"/>
      <c r="D63" s="104">
        <f>SUM('SCHEDULE OF VALUE WORKSHEET'!E59)</f>
        <v>204087.33</v>
      </c>
      <c r="E63" s="104">
        <f>SUM('Draw #17'!E63:F63)</f>
        <v>0</v>
      </c>
      <c r="F63" s="105">
        <v>0</v>
      </c>
      <c r="G63" s="104">
        <f>SUM('Draw #17'!G63)+F63</f>
        <v>204087.33</v>
      </c>
      <c r="H63" s="109">
        <f t="shared" si="0"/>
        <v>204087.33</v>
      </c>
      <c r="I63" s="110">
        <v>0</v>
      </c>
      <c r="J63" s="109">
        <f>SUM(I63+'Draw #17'!J63)</f>
        <v>0</v>
      </c>
      <c r="K63" s="101" t="str">
        <f t="shared" si="1"/>
        <v/>
      </c>
      <c r="L63" s="9"/>
      <c r="M63" s="9"/>
    </row>
    <row r="64" spans="1:13" ht="14.1" customHeight="1">
      <c r="A64" s="4">
        <f>'SCHEDULE OF VALUE WORKSHEET'!A60</f>
        <v>54</v>
      </c>
      <c r="B64" s="142" t="str">
        <f>'SCHEDULE OF VALUE WORKSHEET'!B60</f>
        <v>WINDOWS</v>
      </c>
      <c r="C64" s="143"/>
      <c r="D64" s="104">
        <f>SUM('SCHEDULE OF VALUE WORKSHEET'!E60)</f>
        <v>106274.25</v>
      </c>
      <c r="E64" s="104">
        <f>SUM('Draw #17'!E64:F64)</f>
        <v>0</v>
      </c>
      <c r="F64" s="105">
        <v>0</v>
      </c>
      <c r="G64" s="104">
        <f>SUM('Draw #17'!G64)+F64</f>
        <v>106274.25</v>
      </c>
      <c r="H64" s="109">
        <f t="shared" si="0"/>
        <v>106274.25</v>
      </c>
      <c r="I64" s="110">
        <v>0</v>
      </c>
      <c r="J64" s="109">
        <f>SUM(I64+'Draw #17'!J64)</f>
        <v>0</v>
      </c>
      <c r="K64" s="101" t="str">
        <f t="shared" si="1"/>
        <v/>
      </c>
      <c r="L64" s="9"/>
      <c r="M64" s="9"/>
    </row>
    <row r="65" spans="1:13" ht="14.1" customHeight="1">
      <c r="A65" s="4">
        <f>'SCHEDULE OF VALUE WORKSHEET'!A61</f>
        <v>55</v>
      </c>
      <c r="B65" s="142" t="str">
        <f>'SCHEDULE OF VALUE WORKSHEET'!B61</f>
        <v>STUCCO</v>
      </c>
      <c r="C65" s="143"/>
      <c r="D65" s="104">
        <f>SUM('SCHEDULE OF VALUE WORKSHEET'!E61)</f>
        <v>208002</v>
      </c>
      <c r="E65" s="104">
        <f>SUM('Draw #17'!E65:F65)</f>
        <v>0</v>
      </c>
      <c r="F65" s="105">
        <v>0</v>
      </c>
      <c r="G65" s="104">
        <f>SUM('Draw #17'!G65)+F65</f>
        <v>208002</v>
      </c>
      <c r="H65" s="109">
        <f t="shared" si="0"/>
        <v>208002</v>
      </c>
      <c r="I65" s="110">
        <v>0</v>
      </c>
      <c r="J65" s="109">
        <f>SUM(I65+'Draw #17'!J65)</f>
        <v>0</v>
      </c>
      <c r="K65" s="101" t="str">
        <f t="shared" si="1"/>
        <v/>
      </c>
      <c r="L65" s="9"/>
      <c r="M65" s="9"/>
    </row>
    <row r="66" spans="1:13" ht="14.1" customHeight="1">
      <c r="A66" s="4">
        <f>'SCHEDULE OF VALUE WORKSHEET'!A62</f>
        <v>56</v>
      </c>
      <c r="B66" s="142" t="str">
        <f>'SCHEDULE OF VALUE WORKSHEET'!B62</f>
        <v>DRYWALL</v>
      </c>
      <c r="C66" s="143"/>
      <c r="D66" s="104">
        <f>SUM('SCHEDULE OF VALUE WORKSHEET'!E62)</f>
        <v>416355</v>
      </c>
      <c r="E66" s="104">
        <f>SUM('Draw #17'!E66:F66)</f>
        <v>0</v>
      </c>
      <c r="F66" s="105">
        <v>0</v>
      </c>
      <c r="G66" s="104">
        <f>SUM('Draw #17'!G66)+F66</f>
        <v>416355</v>
      </c>
      <c r="H66" s="109">
        <f t="shared" si="0"/>
        <v>416355</v>
      </c>
      <c r="I66" s="110">
        <v>0</v>
      </c>
      <c r="J66" s="109">
        <f>SUM(I66+'Draw #17'!J66)</f>
        <v>0</v>
      </c>
      <c r="K66" s="101" t="str">
        <f t="shared" si="1"/>
        <v/>
      </c>
      <c r="L66" s="9"/>
      <c r="M66" s="9"/>
    </row>
    <row r="67" spans="1:13" ht="14.1" customHeight="1">
      <c r="A67" s="4">
        <f>'SCHEDULE OF VALUE WORKSHEET'!A63</f>
        <v>57</v>
      </c>
      <c r="B67" s="142" t="str">
        <f>'SCHEDULE OF VALUE WORKSHEET'!B63</f>
        <v>PAINTING</v>
      </c>
      <c r="C67" s="143"/>
      <c r="D67" s="104">
        <f>SUM('SCHEDULE OF VALUE WORKSHEET'!E63)</f>
        <v>120700</v>
      </c>
      <c r="E67" s="104">
        <f>SUM('Draw #17'!E67:F67)</f>
        <v>0</v>
      </c>
      <c r="F67" s="105">
        <v>0</v>
      </c>
      <c r="G67" s="104">
        <f>SUM('Draw #17'!G67)+F67</f>
        <v>120700</v>
      </c>
      <c r="H67" s="109">
        <f t="shared" si="0"/>
        <v>120700</v>
      </c>
      <c r="I67" s="110">
        <v>0</v>
      </c>
      <c r="J67" s="109">
        <f>SUM(I67+'Draw #17'!J67)</f>
        <v>0</v>
      </c>
      <c r="K67" s="101" t="str">
        <f t="shared" si="1"/>
        <v/>
      </c>
      <c r="L67" s="9"/>
      <c r="M67" s="9"/>
    </row>
    <row r="68" spans="1:13" ht="14.1" customHeight="1">
      <c r="A68" s="4">
        <f>'SCHEDULE OF VALUE WORKSHEET'!A64</f>
        <v>58</v>
      </c>
      <c r="B68" s="142" t="str">
        <f>'SCHEDULE OF VALUE WORKSHEET'!B64</f>
        <v>FLOORING - common areas</v>
      </c>
      <c r="C68" s="143"/>
      <c r="D68" s="104">
        <f>SUM('SCHEDULE OF VALUE WORKSHEET'!E64)</f>
        <v>45150</v>
      </c>
      <c r="E68" s="104">
        <f>SUM('Draw #17'!E68:F68)</f>
        <v>0</v>
      </c>
      <c r="F68" s="105">
        <v>0</v>
      </c>
      <c r="G68" s="104">
        <f>SUM('Draw #17'!G68)+F68</f>
        <v>45150</v>
      </c>
      <c r="H68" s="109">
        <f t="shared" si="0"/>
        <v>45150</v>
      </c>
      <c r="I68" s="110">
        <v>0</v>
      </c>
      <c r="J68" s="109">
        <f>SUM(I68+'Draw #17'!J68)</f>
        <v>0</v>
      </c>
      <c r="K68" s="101" t="str">
        <f t="shared" si="1"/>
        <v/>
      </c>
      <c r="L68" s="9"/>
      <c r="M68" s="9"/>
    </row>
    <row r="69" spans="1:13" ht="14.1" customHeight="1">
      <c r="A69" s="4">
        <f>'SCHEDULE OF VALUE WORKSHEET'!A65</f>
        <v>59</v>
      </c>
      <c r="B69" s="142" t="str">
        <f>'SCHEDULE OF VALUE WORKSHEET'!B65</f>
        <v>FLOORING - Units with baseboards</v>
      </c>
      <c r="C69" s="143"/>
      <c r="D69" s="104">
        <f>SUM('SCHEDULE OF VALUE WORKSHEET'!E65)</f>
        <v>93335</v>
      </c>
      <c r="E69" s="104">
        <f>SUM('Draw #17'!E69:F69)</f>
        <v>0</v>
      </c>
      <c r="F69" s="105">
        <v>0</v>
      </c>
      <c r="G69" s="104">
        <f>SUM('Draw #17'!G69)+F69</f>
        <v>93335</v>
      </c>
      <c r="H69" s="109">
        <f t="shared" si="0"/>
        <v>93335</v>
      </c>
      <c r="I69" s="110">
        <v>0</v>
      </c>
      <c r="J69" s="109">
        <f>SUM(I69+'Draw #17'!J69)</f>
        <v>0</v>
      </c>
      <c r="K69" s="101" t="str">
        <f t="shared" si="1"/>
        <v/>
      </c>
      <c r="L69" s="9"/>
      <c r="M69" s="9"/>
    </row>
    <row r="70" spans="1:13" ht="14.1" customHeight="1">
      <c r="A70" s="4">
        <f>'SCHEDULE OF VALUE WORKSHEET'!A66</f>
        <v>60</v>
      </c>
      <c r="B70" s="142" t="str">
        <f>'SCHEDULE OF VALUE WORKSHEET'!B66</f>
        <v>SPECIALTIES</v>
      </c>
      <c r="C70" s="143"/>
      <c r="D70" s="104">
        <f>SUM('SCHEDULE OF VALUE WORKSHEET'!E66)</f>
        <v>25109.21</v>
      </c>
      <c r="E70" s="104">
        <f>SUM('Draw #17'!E70:F70)</f>
        <v>0</v>
      </c>
      <c r="F70" s="105">
        <v>0</v>
      </c>
      <c r="G70" s="104">
        <f>SUM('Draw #17'!G70)+F70</f>
        <v>25109.21</v>
      </c>
      <c r="H70" s="109">
        <f t="shared" si="0"/>
        <v>25109.21</v>
      </c>
      <c r="I70" s="110">
        <v>0</v>
      </c>
      <c r="J70" s="109">
        <f>SUM(I70+'Draw #17'!J70)</f>
        <v>0</v>
      </c>
      <c r="K70" s="101" t="str">
        <f t="shared" si="1"/>
        <v/>
      </c>
      <c r="L70" s="9"/>
      <c r="M70" s="9"/>
    </row>
    <row r="71" spans="1:13" ht="14.1" customHeight="1">
      <c r="A71" s="4">
        <f>'SCHEDULE OF VALUE WORKSHEET'!A67</f>
        <v>61</v>
      </c>
      <c r="B71" s="142" t="str">
        <f>'SCHEDULE OF VALUE WORKSHEET'!B67</f>
        <v>EQUIPMENT</v>
      </c>
      <c r="C71" s="143"/>
      <c r="D71" s="104">
        <f>SUM('SCHEDULE OF VALUE WORKSHEET'!E67)</f>
        <v>153636</v>
      </c>
      <c r="E71" s="104">
        <f>SUM('Draw #17'!E71:F71)</f>
        <v>0</v>
      </c>
      <c r="F71" s="105">
        <v>0</v>
      </c>
      <c r="G71" s="104">
        <f>SUM('Draw #17'!G71)+F71</f>
        <v>153636</v>
      </c>
      <c r="H71" s="109">
        <f t="shared" si="0"/>
        <v>153636</v>
      </c>
      <c r="I71" s="110">
        <v>0</v>
      </c>
      <c r="J71" s="109">
        <f>SUM(I71+'Draw #17'!J71)</f>
        <v>0</v>
      </c>
      <c r="K71" s="101" t="str">
        <f t="shared" si="1"/>
        <v/>
      </c>
      <c r="L71" s="9"/>
      <c r="M71" s="9"/>
    </row>
    <row r="72" spans="1:13" ht="14.1" customHeight="1">
      <c r="A72" s="4">
        <f>'SCHEDULE OF VALUE WORKSHEET'!A68</f>
        <v>62</v>
      </c>
      <c r="B72" s="142" t="str">
        <f>'SCHEDULE OF VALUE WORKSHEET'!B68</f>
        <v>FURNISHING</v>
      </c>
      <c r="C72" s="143"/>
      <c r="D72" s="104">
        <f>SUM('SCHEDULE OF VALUE WORKSHEET'!E68)</f>
        <v>0</v>
      </c>
      <c r="E72" s="104">
        <f>SUM('Draw #17'!E72:F72)</f>
        <v>0</v>
      </c>
      <c r="F72" s="105">
        <v>0</v>
      </c>
      <c r="G72" s="104">
        <f>SUM('Draw #17'!G72)+F72</f>
        <v>0</v>
      </c>
      <c r="H72" s="109">
        <f t="shared" si="0"/>
        <v>0</v>
      </c>
      <c r="I72" s="110">
        <v>0</v>
      </c>
      <c r="J72" s="109">
        <f>SUM(I72+'Draw #17'!J72)</f>
        <v>0</v>
      </c>
      <c r="K72" s="101" t="str">
        <f t="shared" si="1"/>
        <v/>
      </c>
      <c r="L72" s="9"/>
      <c r="M72" s="9"/>
    </row>
    <row r="73" spans="1:13" ht="14.1" customHeight="1">
      <c r="A73" s="4">
        <f>'SCHEDULE OF VALUE WORKSHEET'!A69</f>
        <v>63</v>
      </c>
      <c r="B73" s="142" t="str">
        <f>'SCHEDULE OF VALUE WORKSHEET'!B69</f>
        <v>FIRE SPRINKLERS</v>
      </c>
      <c r="C73" s="143"/>
      <c r="D73" s="104">
        <f>SUM('SCHEDULE OF VALUE WORKSHEET'!E69)</f>
        <v>108500</v>
      </c>
      <c r="E73" s="104">
        <f>SUM('Draw #17'!E73:F73)</f>
        <v>0</v>
      </c>
      <c r="F73" s="105">
        <v>0</v>
      </c>
      <c r="G73" s="104">
        <f>SUM('Draw #17'!G73)+F73</f>
        <v>108500</v>
      </c>
      <c r="H73" s="109">
        <f t="shared" si="0"/>
        <v>108500</v>
      </c>
      <c r="I73" s="110">
        <v>0</v>
      </c>
      <c r="J73" s="109">
        <f>SUM(I73+'Draw #17'!J73)</f>
        <v>0</v>
      </c>
      <c r="K73" s="101" t="str">
        <f t="shared" si="1"/>
        <v/>
      </c>
      <c r="L73" s="9"/>
      <c r="M73" s="9"/>
    </row>
    <row r="74" spans="1:13" ht="14.1" customHeight="1">
      <c r="A74" s="4">
        <f>'SCHEDULE OF VALUE WORKSHEET'!A70</f>
        <v>64</v>
      </c>
      <c r="B74" s="142" t="str">
        <f>'SCHEDULE OF VALUE WORKSHEET'!B70</f>
        <v>FIRE ALARM</v>
      </c>
      <c r="C74" s="143"/>
      <c r="D74" s="104">
        <f>SUM('SCHEDULE OF VALUE WORKSHEET'!E70)</f>
        <v>68401</v>
      </c>
      <c r="E74" s="104">
        <f>SUM('Draw #17'!E74:F74)</f>
        <v>0</v>
      </c>
      <c r="F74" s="105">
        <v>0</v>
      </c>
      <c r="G74" s="104">
        <f>SUM('Draw #17'!G74)+F74</f>
        <v>68401</v>
      </c>
      <c r="H74" s="109">
        <f t="shared" si="0"/>
        <v>68401</v>
      </c>
      <c r="I74" s="110">
        <v>0</v>
      </c>
      <c r="J74" s="109">
        <f>SUM(I74+'Draw #17'!J74)</f>
        <v>0</v>
      </c>
      <c r="K74" s="101" t="str">
        <f t="shared" si="1"/>
        <v/>
      </c>
      <c r="L74" s="9"/>
      <c r="M74" s="9"/>
    </row>
    <row r="75" spans="1:13" ht="14.1" customHeight="1">
      <c r="A75" s="4">
        <f>'SCHEDULE OF VALUE WORKSHEET'!A71</f>
        <v>65</v>
      </c>
      <c r="B75" s="142" t="str">
        <f>'SCHEDULE OF VALUE WORKSHEET'!B71</f>
        <v>SOLAR PANELS</v>
      </c>
      <c r="C75" s="143"/>
      <c r="D75" s="104">
        <f>SUM('SCHEDULE OF VALUE WORKSHEET'!E71)</f>
        <v>97000</v>
      </c>
      <c r="E75" s="104">
        <f>SUM('Draw #17'!E75:F75)</f>
        <v>0</v>
      </c>
      <c r="F75" s="105">
        <v>0</v>
      </c>
      <c r="G75" s="104">
        <f>SUM('Draw #17'!G75)+F75</f>
        <v>97000</v>
      </c>
      <c r="H75" s="109">
        <f t="shared" ref="H75:H135" si="2">SUM(G75-J75)</f>
        <v>97000</v>
      </c>
      <c r="I75" s="110">
        <v>0</v>
      </c>
      <c r="J75" s="109">
        <f>SUM(I75+'Draw #17'!J75)</f>
        <v>0</v>
      </c>
      <c r="K75" s="101" t="str">
        <f t="shared" ref="K75:K135" si="3">IF(J75=0,"",J75/G75)</f>
        <v/>
      </c>
      <c r="L75" s="9"/>
      <c r="M75" s="9"/>
    </row>
    <row r="76" spans="1:13" ht="14.1" customHeight="1">
      <c r="A76" s="4">
        <f>'SCHEDULE OF VALUE WORKSHEET'!A72</f>
        <v>66</v>
      </c>
      <c r="B76" s="142" t="str">
        <f>'SCHEDULE OF VALUE WORKSHEET'!B72</f>
        <v>SECURITY ACCESS &amp; SURVEILLANCE</v>
      </c>
      <c r="C76" s="143"/>
      <c r="D76" s="104">
        <f>SUM('SCHEDULE OF VALUE WORKSHEET'!E72)</f>
        <v>136430</v>
      </c>
      <c r="E76" s="104">
        <f>SUM('Draw #17'!E76:F76)</f>
        <v>0</v>
      </c>
      <c r="F76" s="105">
        <v>0</v>
      </c>
      <c r="G76" s="104">
        <f>SUM('Draw #17'!G76)+F76</f>
        <v>136430</v>
      </c>
      <c r="H76" s="109">
        <f t="shared" si="2"/>
        <v>136430</v>
      </c>
      <c r="I76" s="110">
        <v>0</v>
      </c>
      <c r="J76" s="109">
        <f>SUM(I76+'Draw #17'!J76)</f>
        <v>0</v>
      </c>
      <c r="K76" s="101" t="str">
        <f t="shared" si="3"/>
        <v/>
      </c>
      <c r="L76" s="9"/>
      <c r="M76" s="9"/>
    </row>
    <row r="77" spans="1:13" ht="14.1" customHeight="1">
      <c r="A77" s="4">
        <f>'SCHEDULE OF VALUE WORKSHEET'!A73</f>
        <v>67</v>
      </c>
      <c r="B77" s="142" t="str">
        <f>'SCHEDULE OF VALUE WORKSHEET'!B73</f>
        <v>ELEVATORS &amp; LIFT</v>
      </c>
      <c r="C77" s="143"/>
      <c r="D77" s="104">
        <f>SUM('SCHEDULE OF VALUE WORKSHEET'!E73)</f>
        <v>174882</v>
      </c>
      <c r="E77" s="104">
        <f>SUM('Draw #17'!E77:F77)</f>
        <v>0</v>
      </c>
      <c r="F77" s="105">
        <v>0</v>
      </c>
      <c r="G77" s="104">
        <f>SUM('Draw #17'!G77)+F77</f>
        <v>174882</v>
      </c>
      <c r="H77" s="109">
        <f t="shared" si="2"/>
        <v>174882</v>
      </c>
      <c r="I77" s="110">
        <v>0</v>
      </c>
      <c r="J77" s="109">
        <f>SUM(I77+'Draw #17'!J77)</f>
        <v>0</v>
      </c>
      <c r="K77" s="101" t="str">
        <f t="shared" si="3"/>
        <v/>
      </c>
      <c r="L77" s="9"/>
      <c r="M77" s="9"/>
    </row>
    <row r="78" spans="1:13" ht="14.1" customHeight="1">
      <c r="A78" s="4">
        <f>'SCHEDULE OF VALUE WORKSHEET'!A74</f>
        <v>68</v>
      </c>
      <c r="B78" s="142" t="str">
        <f>'SCHEDULE OF VALUE WORKSHEET'!B74</f>
        <v>WATER SUBMETER (material)</v>
      </c>
      <c r="C78" s="143"/>
      <c r="D78" s="104">
        <f>SUM('SCHEDULE OF VALUE WORKSHEET'!E74)</f>
        <v>12273</v>
      </c>
      <c r="E78" s="104">
        <f>SUM('Draw #17'!E78:F78)</f>
        <v>0</v>
      </c>
      <c r="F78" s="105">
        <v>0</v>
      </c>
      <c r="G78" s="104">
        <f>SUM('Draw #17'!G78)+F78</f>
        <v>12273</v>
      </c>
      <c r="H78" s="109">
        <f t="shared" si="2"/>
        <v>12273</v>
      </c>
      <c r="I78" s="110">
        <v>0</v>
      </c>
      <c r="J78" s="109">
        <f>SUM(I78+'Draw #17'!J78)</f>
        <v>0</v>
      </c>
      <c r="K78" s="101" t="str">
        <f t="shared" si="3"/>
        <v/>
      </c>
      <c r="L78" s="9"/>
      <c r="M78" s="9"/>
    </row>
    <row r="79" spans="1:13" ht="14.1" customHeight="1">
      <c r="A79" s="4">
        <f>'SCHEDULE OF VALUE WORKSHEET'!A75</f>
        <v>69</v>
      </c>
      <c r="B79" s="142" t="str">
        <f>'SCHEDULE OF VALUE WORKSHEET'!B75</f>
        <v>WATER SUBMETER (labor)</v>
      </c>
      <c r="C79" s="143"/>
      <c r="D79" s="104">
        <f>SUM('SCHEDULE OF VALUE WORKSHEET'!E75)</f>
        <v>0</v>
      </c>
      <c r="E79" s="104">
        <f>SUM('Draw #17'!E79:F79)</f>
        <v>0</v>
      </c>
      <c r="F79" s="105">
        <v>0</v>
      </c>
      <c r="G79" s="104">
        <f>SUM('Draw #17'!G79)+F79</f>
        <v>0</v>
      </c>
      <c r="H79" s="109">
        <f t="shared" si="2"/>
        <v>0</v>
      </c>
      <c r="I79" s="110">
        <v>0</v>
      </c>
      <c r="J79" s="109">
        <f>SUM(I79+'Draw #17'!J79)</f>
        <v>0</v>
      </c>
      <c r="K79" s="101" t="str">
        <f t="shared" si="3"/>
        <v/>
      </c>
      <c r="L79" s="9"/>
      <c r="M79" s="9"/>
    </row>
    <row r="80" spans="1:13" ht="14.1" customHeight="1">
      <c r="A80" s="4">
        <f>'SCHEDULE OF VALUE WORKSHEET'!A76</f>
        <v>70</v>
      </c>
      <c r="B80" s="142" t="str">
        <f>'SCHEDULE OF VALUE WORKSHEET'!B76</f>
        <v>ROUGH PLUMBING</v>
      </c>
      <c r="C80" s="143"/>
      <c r="D80" s="104">
        <f>SUM('SCHEDULE OF VALUE WORKSHEET'!E76)</f>
        <v>751927</v>
      </c>
      <c r="E80" s="104">
        <f>SUM('Draw #17'!E80:F80)</f>
        <v>0</v>
      </c>
      <c r="F80" s="105">
        <v>0</v>
      </c>
      <c r="G80" s="104">
        <f>SUM('Draw #17'!G80)+F80</f>
        <v>751927</v>
      </c>
      <c r="H80" s="109">
        <f t="shared" si="2"/>
        <v>751927</v>
      </c>
      <c r="I80" s="110">
        <v>0</v>
      </c>
      <c r="J80" s="109">
        <f>SUM(I80+'Draw #17'!J80)</f>
        <v>0</v>
      </c>
      <c r="K80" s="101" t="str">
        <f t="shared" si="3"/>
        <v/>
      </c>
      <c r="L80" s="9"/>
      <c r="M80" s="9"/>
    </row>
    <row r="81" spans="1:13" ht="14.1" customHeight="1">
      <c r="A81" s="4">
        <f>'SCHEDULE OF VALUE WORKSHEET'!A77</f>
        <v>71</v>
      </c>
      <c r="B81" s="142" t="str">
        <f>'SCHEDULE OF VALUE WORKSHEET'!B77</f>
        <v>FINISH PLUMBING</v>
      </c>
      <c r="C81" s="143"/>
      <c r="D81" s="104">
        <f>SUM('SCHEDULE OF VALUE WORKSHEET'!E77)</f>
        <v>90000</v>
      </c>
      <c r="E81" s="104">
        <f>SUM('Draw #17'!E81:F81)</f>
        <v>0</v>
      </c>
      <c r="F81" s="105">
        <v>0</v>
      </c>
      <c r="G81" s="104">
        <f>SUM('Draw #17'!G81)+F81</f>
        <v>90000</v>
      </c>
      <c r="H81" s="109">
        <f t="shared" si="2"/>
        <v>90000</v>
      </c>
      <c r="I81" s="110">
        <v>0</v>
      </c>
      <c r="J81" s="109">
        <f>SUM(I81+'Draw #17'!J81)</f>
        <v>0</v>
      </c>
      <c r="K81" s="101" t="str">
        <f t="shared" si="3"/>
        <v/>
      </c>
      <c r="L81" s="9"/>
      <c r="M81" s="9"/>
    </row>
    <row r="82" spans="1:13" ht="14.1" customHeight="1">
      <c r="A82" s="4">
        <f>'SCHEDULE OF VALUE WORKSHEET'!A78</f>
        <v>72</v>
      </c>
      <c r="B82" s="142" t="str">
        <f>'SCHEDULE OF VALUE WORKSHEET'!B78</f>
        <v>HVAC</v>
      </c>
      <c r="C82" s="143"/>
      <c r="D82" s="104">
        <f>SUM('SCHEDULE OF VALUE WORKSHEET'!E78)</f>
        <v>259000</v>
      </c>
      <c r="E82" s="104">
        <f>SUM('Draw #17'!E82:F82)</f>
        <v>0</v>
      </c>
      <c r="F82" s="105">
        <v>0</v>
      </c>
      <c r="G82" s="104">
        <f>SUM('Draw #17'!G82)+F82</f>
        <v>259000</v>
      </c>
      <c r="H82" s="109">
        <f t="shared" si="2"/>
        <v>259000</v>
      </c>
      <c r="I82" s="110">
        <v>0</v>
      </c>
      <c r="J82" s="109">
        <f>SUM(I82+'Draw #17'!J82)</f>
        <v>0</v>
      </c>
      <c r="K82" s="101" t="str">
        <f t="shared" si="3"/>
        <v/>
      </c>
      <c r="L82" s="9"/>
      <c r="M82" s="9"/>
    </row>
    <row r="83" spans="1:13" ht="14.1" customHeight="1">
      <c r="A83" s="4">
        <f>'SCHEDULE OF VALUE WORKSHEET'!A79</f>
        <v>73</v>
      </c>
      <c r="B83" s="142" t="str">
        <f>'SCHEDULE OF VALUE WORKSHEET'!B79</f>
        <v>ELECTRICAL</v>
      </c>
      <c r="C83" s="143"/>
      <c r="D83" s="104">
        <f>SUM('SCHEDULE OF VALUE WORKSHEET'!E79)</f>
        <v>880486.32</v>
      </c>
      <c r="E83" s="104">
        <f>SUM('Draw #17'!E83:F83)</f>
        <v>0</v>
      </c>
      <c r="F83" s="105">
        <v>0</v>
      </c>
      <c r="G83" s="104">
        <f>SUM('Draw #17'!G83)+F83</f>
        <v>880486.32</v>
      </c>
      <c r="H83" s="109">
        <f t="shared" si="2"/>
        <v>880486.32</v>
      </c>
      <c r="I83" s="110">
        <v>0</v>
      </c>
      <c r="J83" s="109">
        <f>SUM(I83+'Draw #17'!J83)</f>
        <v>0</v>
      </c>
      <c r="K83" s="101" t="str">
        <f t="shared" si="3"/>
        <v/>
      </c>
      <c r="L83" s="9"/>
      <c r="M83" s="9"/>
    </row>
    <row r="84" spans="1:13" ht="14.1" customHeight="1">
      <c r="A84" s="4">
        <f>'SCHEDULE OF VALUE WORKSHEET'!A80</f>
        <v>74</v>
      </c>
      <c r="B84" s="142" t="str">
        <f>'SCHEDULE OF VALUE WORKSHEET'!B80</f>
        <v xml:space="preserve">CONTINGENCY </v>
      </c>
      <c r="C84" s="143"/>
      <c r="D84" s="104">
        <f>SUM('SCHEDULE OF VALUE WORKSHEET'!E80)</f>
        <v>529215.20000000007</v>
      </c>
      <c r="E84" s="104">
        <f>SUM('Draw #17'!E84:F84)</f>
        <v>0</v>
      </c>
      <c r="F84" s="105">
        <v>0</v>
      </c>
      <c r="G84" s="104">
        <f>SUM('Draw #17'!G84)+F84</f>
        <v>529215.20000000007</v>
      </c>
      <c r="H84" s="109">
        <f t="shared" si="2"/>
        <v>529215.20000000007</v>
      </c>
      <c r="I84" s="110">
        <v>0</v>
      </c>
      <c r="J84" s="109">
        <f>SUM(I84+'Draw #17'!J84)</f>
        <v>0</v>
      </c>
      <c r="K84" s="101" t="str">
        <f t="shared" si="3"/>
        <v/>
      </c>
      <c r="L84" s="9"/>
      <c r="M84" s="9"/>
    </row>
    <row r="85" spans="1:13" ht="14.1" customHeight="1">
      <c r="A85" s="4">
        <f>'SCHEDULE OF VALUE WORKSHEET'!A81</f>
        <v>75</v>
      </c>
      <c r="B85" s="142" t="str">
        <f>'SCHEDULE OF VALUE WORKSHEET'!B81</f>
        <v>INSURANCE (GL w/auto, workers compl)</v>
      </c>
      <c r="C85" s="143"/>
      <c r="D85" s="104">
        <f>SUM('SCHEDULE OF VALUE WORKSHEET'!E81)</f>
        <v>97177.07</v>
      </c>
      <c r="E85" s="104">
        <f>SUM('Draw #17'!E85:F85)</f>
        <v>0</v>
      </c>
      <c r="F85" s="105">
        <v>0</v>
      </c>
      <c r="G85" s="104">
        <f>SUM('Draw #17'!G85)+F85</f>
        <v>97177.07</v>
      </c>
      <c r="H85" s="109">
        <f t="shared" si="2"/>
        <v>97177.07</v>
      </c>
      <c r="I85" s="110">
        <v>0</v>
      </c>
      <c r="J85" s="109">
        <f>SUM(I85+'Draw #17'!J85)</f>
        <v>0</v>
      </c>
      <c r="K85" s="101" t="str">
        <f t="shared" si="3"/>
        <v/>
      </c>
      <c r="L85" s="9"/>
      <c r="M85" s="9"/>
    </row>
    <row r="86" spans="1:13" ht="14.1" customHeight="1">
      <c r="A86" s="4">
        <f>'SCHEDULE OF VALUE WORKSHEET'!A82</f>
        <v>76</v>
      </c>
      <c r="B86" s="142" t="str">
        <f>'SCHEDULE OF VALUE WORKSHEET'!B82</f>
        <v>GROSS RECEIPT TAX</v>
      </c>
      <c r="C86" s="143"/>
      <c r="D86" s="104">
        <f>SUM('SCHEDULE OF VALUE WORKSHEET'!E82)</f>
        <v>6543.26</v>
      </c>
      <c r="E86" s="104">
        <f>SUM('Draw #17'!E86:F86)</f>
        <v>0</v>
      </c>
      <c r="F86" s="105">
        <v>0</v>
      </c>
      <c r="G86" s="104">
        <f>SUM('Draw #17'!G86)+F86</f>
        <v>6543.26</v>
      </c>
      <c r="H86" s="109">
        <f t="shared" si="2"/>
        <v>6543.26</v>
      </c>
      <c r="I86" s="110">
        <v>0</v>
      </c>
      <c r="J86" s="109">
        <f>SUM(I86+'Draw #17'!J86)</f>
        <v>0</v>
      </c>
      <c r="K86" s="101" t="str">
        <f t="shared" si="3"/>
        <v/>
      </c>
      <c r="L86" s="9"/>
      <c r="M86" s="9"/>
    </row>
    <row r="87" spans="1:13" ht="14.1" customHeight="1">
      <c r="A87" s="4">
        <f>'SCHEDULE OF VALUE WORKSHEET'!A83</f>
        <v>77</v>
      </c>
      <c r="B87" s="142" t="str">
        <f>'SCHEDULE OF VALUE WORKSHEET'!B83</f>
        <v>GC FEE</v>
      </c>
      <c r="C87" s="143"/>
      <c r="D87" s="104">
        <f>SUM('SCHEDULE OF VALUE WORKSHEET'!E83)</f>
        <v>388708.28</v>
      </c>
      <c r="E87" s="104">
        <f>SUM('Draw #17'!E87:F87)</f>
        <v>0</v>
      </c>
      <c r="F87" s="105">
        <v>0</v>
      </c>
      <c r="G87" s="104">
        <f>SUM('Draw #17'!G87)+F87</f>
        <v>388708.28</v>
      </c>
      <c r="H87" s="109">
        <f t="shared" si="2"/>
        <v>388708.28</v>
      </c>
      <c r="I87" s="110">
        <v>0</v>
      </c>
      <c r="J87" s="109">
        <f>SUM(I87+'Draw #17'!J87)</f>
        <v>0</v>
      </c>
      <c r="K87" s="101" t="str">
        <f t="shared" si="3"/>
        <v/>
      </c>
      <c r="L87" s="9"/>
      <c r="M87" s="9"/>
    </row>
    <row r="88" spans="1:13" ht="14.1" customHeight="1">
      <c r="A88" s="4">
        <f>'SCHEDULE OF VALUE WORKSHEET'!A84</f>
        <v>78</v>
      </c>
      <c r="B88" s="142" t="str">
        <f>'SCHEDULE OF VALUE WORKSHEET'!B84</f>
        <v>DEVELOPMENT FEE</v>
      </c>
      <c r="C88" s="143"/>
      <c r="D88" s="104">
        <f>SUM('SCHEDULE OF VALUE WORKSHEET'!E84)</f>
        <v>180523.5</v>
      </c>
      <c r="E88" s="104">
        <f>SUM('Draw #17'!E88:F88)</f>
        <v>0</v>
      </c>
      <c r="F88" s="105">
        <v>0</v>
      </c>
      <c r="G88" s="104">
        <f>SUM('Draw #17'!G88)+F88</f>
        <v>180523.5</v>
      </c>
      <c r="H88" s="109">
        <f t="shared" si="2"/>
        <v>180523.5</v>
      </c>
      <c r="I88" s="110">
        <v>0</v>
      </c>
      <c r="J88" s="109">
        <f>SUM(I88+'Draw #17'!J88)</f>
        <v>0</v>
      </c>
      <c r="K88" s="101" t="str">
        <f t="shared" si="3"/>
        <v/>
      </c>
      <c r="L88" s="9"/>
      <c r="M88" s="9"/>
    </row>
    <row r="89" spans="1:13" ht="14.1" customHeight="1">
      <c r="A89" s="4">
        <f>'SCHEDULE OF VALUE WORKSHEET'!A85</f>
        <v>79</v>
      </c>
      <c r="B89" s="142" t="str">
        <f>'SCHEDULE OF VALUE WORKSHEET'!B85</f>
        <v>CARRYING COSTS</v>
      </c>
      <c r="C89" s="143"/>
      <c r="D89" s="104">
        <f>SUM('SCHEDULE OF VALUE WORKSHEET'!E85)</f>
        <v>92885.53</v>
      </c>
      <c r="E89" s="104">
        <f>SUM('Draw #17'!E89:F89)</f>
        <v>0</v>
      </c>
      <c r="F89" s="105">
        <v>0</v>
      </c>
      <c r="G89" s="104">
        <f>SUM('Draw #17'!G89)+F89</f>
        <v>92885.53</v>
      </c>
      <c r="H89" s="109">
        <f t="shared" si="2"/>
        <v>92885.53</v>
      </c>
      <c r="I89" s="110">
        <v>0</v>
      </c>
      <c r="J89" s="109">
        <f>SUM(I89+'Draw #17'!J89)</f>
        <v>0</v>
      </c>
      <c r="K89" s="101" t="str">
        <f t="shared" si="3"/>
        <v/>
      </c>
      <c r="L89" s="9"/>
      <c r="M89" s="9"/>
    </row>
    <row r="90" spans="1:13" ht="14.1" customHeight="1">
      <c r="A90" s="4">
        <f>'SCHEDULE OF VALUE WORKSHEET'!A86</f>
        <v>80</v>
      </c>
      <c r="B90" s="142" t="str">
        <f>'SCHEDULE OF VALUE WORKSHEET'!B86</f>
        <v>FINANCING COSTS</v>
      </c>
      <c r="C90" s="143"/>
      <c r="D90" s="104">
        <f>SUM('SCHEDULE OF VALUE WORKSHEET'!E86)</f>
        <v>0</v>
      </c>
      <c r="E90" s="104">
        <f>SUM('Draw #17'!E90:F90)</f>
        <v>0</v>
      </c>
      <c r="F90" s="105">
        <v>0</v>
      </c>
      <c r="G90" s="104">
        <f>SUM('Draw #17'!G90)+F90</f>
        <v>0</v>
      </c>
      <c r="H90" s="109">
        <f t="shared" si="2"/>
        <v>0</v>
      </c>
      <c r="I90" s="110">
        <v>0</v>
      </c>
      <c r="J90" s="109">
        <f>SUM(I90+'Draw #17'!J90)</f>
        <v>0</v>
      </c>
      <c r="K90" s="101" t="str">
        <f t="shared" si="3"/>
        <v/>
      </c>
      <c r="L90" s="9"/>
      <c r="M90" s="9"/>
    </row>
    <row r="91" spans="1:13" ht="14.1" customHeight="1">
      <c r="A91" s="4" t="e">
        <f>'SCHEDULE OF VALUE WORKSHEET'!#REF!</f>
        <v>#REF!</v>
      </c>
      <c r="B91" s="142" t="e">
        <f>'SCHEDULE OF VALUE WORKSHEET'!#REF!</f>
        <v>#REF!</v>
      </c>
      <c r="C91" s="143"/>
      <c r="D91" s="104" t="e">
        <f>SUM('SCHEDULE OF VALUE WORKSHEET'!#REF!)</f>
        <v>#REF!</v>
      </c>
      <c r="E91" s="104">
        <f>SUM('Draw #17'!E91:F91)</f>
        <v>0</v>
      </c>
      <c r="F91" s="105">
        <v>0</v>
      </c>
      <c r="G91" s="104" t="e">
        <f>SUM('Draw #17'!G91)+F91</f>
        <v>#REF!</v>
      </c>
      <c r="H91" s="109" t="e">
        <f t="shared" si="2"/>
        <v>#REF!</v>
      </c>
      <c r="I91" s="110">
        <v>0</v>
      </c>
      <c r="J91" s="109">
        <f>SUM(I91+'Draw #17'!J91)</f>
        <v>0</v>
      </c>
      <c r="K91" s="101" t="str">
        <f t="shared" si="3"/>
        <v/>
      </c>
      <c r="L91" s="9"/>
      <c r="M91" s="9"/>
    </row>
    <row r="92" spans="1:13" ht="14.1" customHeight="1">
      <c r="A92" s="4" t="e">
        <f>'SCHEDULE OF VALUE WORKSHEET'!#REF!</f>
        <v>#REF!</v>
      </c>
      <c r="B92" s="142" t="e">
        <f>'SCHEDULE OF VALUE WORKSHEET'!#REF!</f>
        <v>#REF!</v>
      </c>
      <c r="C92" s="143"/>
      <c r="D92" s="104" t="e">
        <f>SUM('SCHEDULE OF VALUE WORKSHEET'!#REF!)</f>
        <v>#REF!</v>
      </c>
      <c r="E92" s="104">
        <f>SUM('Draw #17'!E92:F92)</f>
        <v>0</v>
      </c>
      <c r="F92" s="105">
        <v>0</v>
      </c>
      <c r="G92" s="104" t="e">
        <f>SUM('Draw #17'!G92)+F92</f>
        <v>#REF!</v>
      </c>
      <c r="H92" s="109" t="e">
        <f t="shared" si="2"/>
        <v>#REF!</v>
      </c>
      <c r="I92" s="110">
        <v>0</v>
      </c>
      <c r="J92" s="109">
        <f>SUM(I92+'Draw #17'!J92)</f>
        <v>0</v>
      </c>
      <c r="K92" s="101" t="str">
        <f t="shared" si="3"/>
        <v/>
      </c>
      <c r="L92" s="9"/>
      <c r="M92" s="9"/>
    </row>
    <row r="93" spans="1:13" ht="14.1" customHeight="1">
      <c r="A93" s="4" t="e">
        <f>'SCHEDULE OF VALUE WORKSHEET'!#REF!</f>
        <v>#REF!</v>
      </c>
      <c r="B93" s="142" t="e">
        <f>'SCHEDULE OF VALUE WORKSHEET'!#REF!</f>
        <v>#REF!</v>
      </c>
      <c r="C93" s="143"/>
      <c r="D93" s="104" t="e">
        <f>SUM('SCHEDULE OF VALUE WORKSHEET'!#REF!)</f>
        <v>#REF!</v>
      </c>
      <c r="E93" s="104">
        <f>SUM('Draw #17'!E93:F93)</f>
        <v>0</v>
      </c>
      <c r="F93" s="105">
        <v>0</v>
      </c>
      <c r="G93" s="104" t="e">
        <f>SUM('Draw #17'!G93)+F93</f>
        <v>#REF!</v>
      </c>
      <c r="H93" s="109" t="e">
        <f t="shared" si="2"/>
        <v>#REF!</v>
      </c>
      <c r="I93" s="110">
        <v>0</v>
      </c>
      <c r="J93" s="109">
        <f>SUM(I93+'Draw #17'!J93)</f>
        <v>0</v>
      </c>
      <c r="K93" s="101" t="str">
        <f t="shared" si="3"/>
        <v/>
      </c>
      <c r="L93" s="9"/>
      <c r="M93" s="9"/>
    </row>
    <row r="94" spans="1:13" ht="14.1" customHeight="1">
      <c r="A94" s="4" t="e">
        <f>'SCHEDULE OF VALUE WORKSHEET'!#REF!</f>
        <v>#REF!</v>
      </c>
      <c r="B94" s="142" t="e">
        <f>'SCHEDULE OF VALUE WORKSHEET'!#REF!</f>
        <v>#REF!</v>
      </c>
      <c r="C94" s="143"/>
      <c r="D94" s="104" t="e">
        <f>SUM('SCHEDULE OF VALUE WORKSHEET'!#REF!)</f>
        <v>#REF!</v>
      </c>
      <c r="E94" s="104">
        <f>SUM('Draw #17'!E94:F94)</f>
        <v>0</v>
      </c>
      <c r="F94" s="105">
        <v>0</v>
      </c>
      <c r="G94" s="104" t="e">
        <f>SUM('Draw #17'!G94)+F94</f>
        <v>#REF!</v>
      </c>
      <c r="H94" s="109" t="e">
        <f t="shared" si="2"/>
        <v>#REF!</v>
      </c>
      <c r="I94" s="110">
        <v>0</v>
      </c>
      <c r="J94" s="109">
        <f>SUM(I94+'Draw #17'!J94)</f>
        <v>0</v>
      </c>
      <c r="K94" s="101" t="str">
        <f t="shared" si="3"/>
        <v/>
      </c>
      <c r="L94" s="9"/>
      <c r="M94" s="9"/>
    </row>
    <row r="95" spans="1:13" ht="14.1" customHeight="1">
      <c r="A95" s="4" t="e">
        <f>'SCHEDULE OF VALUE WORKSHEET'!#REF!</f>
        <v>#REF!</v>
      </c>
      <c r="B95" s="142" t="e">
        <f>'SCHEDULE OF VALUE WORKSHEET'!#REF!</f>
        <v>#REF!</v>
      </c>
      <c r="C95" s="143"/>
      <c r="D95" s="104" t="e">
        <f>SUM('SCHEDULE OF VALUE WORKSHEET'!#REF!)</f>
        <v>#REF!</v>
      </c>
      <c r="E95" s="104">
        <f>SUM('Draw #17'!E95:F95)</f>
        <v>0</v>
      </c>
      <c r="F95" s="105">
        <v>0</v>
      </c>
      <c r="G95" s="104" t="e">
        <f>SUM('Draw #17'!G95)+F95</f>
        <v>#REF!</v>
      </c>
      <c r="H95" s="109" t="e">
        <f t="shared" si="2"/>
        <v>#REF!</v>
      </c>
      <c r="I95" s="110">
        <v>0</v>
      </c>
      <c r="J95" s="109">
        <f>SUM(I95+'Draw #17'!J95)</f>
        <v>0</v>
      </c>
      <c r="K95" s="101" t="str">
        <f t="shared" si="3"/>
        <v/>
      </c>
      <c r="L95" s="9"/>
      <c r="M95" s="9"/>
    </row>
    <row r="96" spans="1:13" ht="14.1" customHeight="1">
      <c r="A96" s="4" t="e">
        <f>'SCHEDULE OF VALUE WORKSHEET'!#REF!</f>
        <v>#REF!</v>
      </c>
      <c r="B96" s="142" t="e">
        <f>'SCHEDULE OF VALUE WORKSHEET'!#REF!</f>
        <v>#REF!</v>
      </c>
      <c r="C96" s="143"/>
      <c r="D96" s="104" t="e">
        <f>SUM('SCHEDULE OF VALUE WORKSHEET'!#REF!)</f>
        <v>#REF!</v>
      </c>
      <c r="E96" s="104">
        <f>SUM('Draw #17'!E96:F96)</f>
        <v>0</v>
      </c>
      <c r="F96" s="105">
        <v>0</v>
      </c>
      <c r="G96" s="104" t="e">
        <f>SUM('Draw #17'!G96)+F96</f>
        <v>#REF!</v>
      </c>
      <c r="H96" s="109" t="e">
        <f t="shared" si="2"/>
        <v>#REF!</v>
      </c>
      <c r="I96" s="110">
        <v>0</v>
      </c>
      <c r="J96" s="109">
        <f>SUM(I96+'Draw #17'!J96)</f>
        <v>0</v>
      </c>
      <c r="K96" s="101" t="str">
        <f t="shared" si="3"/>
        <v/>
      </c>
      <c r="L96" s="9"/>
      <c r="M96" s="9"/>
    </row>
    <row r="97" spans="1:13" ht="14.1" customHeight="1">
      <c r="A97" s="4" t="e">
        <f>'SCHEDULE OF VALUE WORKSHEET'!#REF!</f>
        <v>#REF!</v>
      </c>
      <c r="B97" s="142" t="e">
        <f>'SCHEDULE OF VALUE WORKSHEET'!#REF!</f>
        <v>#REF!</v>
      </c>
      <c r="C97" s="143"/>
      <c r="D97" s="104" t="e">
        <f>SUM('SCHEDULE OF VALUE WORKSHEET'!#REF!)</f>
        <v>#REF!</v>
      </c>
      <c r="E97" s="104">
        <f>SUM('Draw #17'!E97:F97)</f>
        <v>0</v>
      </c>
      <c r="F97" s="105">
        <v>0</v>
      </c>
      <c r="G97" s="104" t="e">
        <f>SUM('Draw #17'!G97)+F97</f>
        <v>#REF!</v>
      </c>
      <c r="H97" s="109" t="e">
        <f t="shared" si="2"/>
        <v>#REF!</v>
      </c>
      <c r="I97" s="110">
        <v>0</v>
      </c>
      <c r="J97" s="109">
        <f>SUM(I97+'Draw #17'!J97)</f>
        <v>0</v>
      </c>
      <c r="K97" s="101" t="str">
        <f t="shared" si="3"/>
        <v/>
      </c>
      <c r="L97" s="9"/>
      <c r="M97" s="9"/>
    </row>
    <row r="98" spans="1:13" ht="14.1" customHeight="1">
      <c r="A98" s="4" t="e">
        <f>'SCHEDULE OF VALUE WORKSHEET'!#REF!</f>
        <v>#REF!</v>
      </c>
      <c r="B98" s="142" t="e">
        <f>'SCHEDULE OF VALUE WORKSHEET'!#REF!</f>
        <v>#REF!</v>
      </c>
      <c r="C98" s="143"/>
      <c r="D98" s="104" t="e">
        <f>SUM('SCHEDULE OF VALUE WORKSHEET'!#REF!)</f>
        <v>#REF!</v>
      </c>
      <c r="E98" s="104">
        <f>SUM('Draw #17'!E98:F98)</f>
        <v>0</v>
      </c>
      <c r="F98" s="105">
        <v>0</v>
      </c>
      <c r="G98" s="104" t="e">
        <f>SUM('Draw #17'!G98)+F98</f>
        <v>#REF!</v>
      </c>
      <c r="H98" s="109" t="e">
        <f t="shared" si="2"/>
        <v>#REF!</v>
      </c>
      <c r="I98" s="110">
        <v>0</v>
      </c>
      <c r="J98" s="109">
        <f>SUM(I98+'Draw #17'!J98)</f>
        <v>0</v>
      </c>
      <c r="K98" s="101" t="str">
        <f t="shared" si="3"/>
        <v/>
      </c>
      <c r="L98" s="9"/>
      <c r="M98" s="9"/>
    </row>
    <row r="99" spans="1:13" ht="14.1" customHeight="1">
      <c r="A99" s="4" t="e">
        <f>'SCHEDULE OF VALUE WORKSHEET'!#REF!</f>
        <v>#REF!</v>
      </c>
      <c r="B99" s="142" t="e">
        <f>'SCHEDULE OF VALUE WORKSHEET'!#REF!</f>
        <v>#REF!</v>
      </c>
      <c r="C99" s="143"/>
      <c r="D99" s="104" t="e">
        <f>SUM('SCHEDULE OF VALUE WORKSHEET'!#REF!)</f>
        <v>#REF!</v>
      </c>
      <c r="E99" s="104">
        <f>SUM('Draw #17'!E99:F99)</f>
        <v>0</v>
      </c>
      <c r="F99" s="105">
        <v>0</v>
      </c>
      <c r="G99" s="104" t="e">
        <f>SUM('Draw #17'!G99)+F99</f>
        <v>#REF!</v>
      </c>
      <c r="H99" s="109" t="e">
        <f t="shared" si="2"/>
        <v>#REF!</v>
      </c>
      <c r="I99" s="110">
        <v>0</v>
      </c>
      <c r="J99" s="109">
        <f>SUM(I99+'Draw #17'!J99)</f>
        <v>0</v>
      </c>
      <c r="K99" s="101" t="str">
        <f t="shared" si="3"/>
        <v/>
      </c>
      <c r="L99" s="9"/>
      <c r="M99" s="9"/>
    </row>
    <row r="100" spans="1:13" ht="14.1" customHeight="1">
      <c r="A100" s="4" t="e">
        <f>'SCHEDULE OF VALUE WORKSHEET'!#REF!</f>
        <v>#REF!</v>
      </c>
      <c r="B100" s="142" t="e">
        <f>'SCHEDULE OF VALUE WORKSHEET'!#REF!</f>
        <v>#REF!</v>
      </c>
      <c r="C100" s="143"/>
      <c r="D100" s="104" t="e">
        <f>SUM('SCHEDULE OF VALUE WORKSHEET'!#REF!)</f>
        <v>#REF!</v>
      </c>
      <c r="E100" s="104">
        <f>SUM('Draw #17'!E100:F100)</f>
        <v>0</v>
      </c>
      <c r="F100" s="105">
        <v>0</v>
      </c>
      <c r="G100" s="104" t="e">
        <f>SUM('Draw #17'!G100)+F100</f>
        <v>#REF!</v>
      </c>
      <c r="H100" s="109" t="e">
        <f t="shared" si="2"/>
        <v>#REF!</v>
      </c>
      <c r="I100" s="110">
        <v>0</v>
      </c>
      <c r="J100" s="109">
        <f>SUM(I100+'Draw #17'!J100)</f>
        <v>0</v>
      </c>
      <c r="K100" s="101" t="str">
        <f t="shared" si="3"/>
        <v/>
      </c>
      <c r="L100" s="9"/>
      <c r="M100" s="9"/>
    </row>
    <row r="101" spans="1:13" ht="14.1" customHeight="1">
      <c r="A101" s="4" t="e">
        <f>'SCHEDULE OF VALUE WORKSHEET'!#REF!</f>
        <v>#REF!</v>
      </c>
      <c r="B101" s="142" t="e">
        <f>'SCHEDULE OF VALUE WORKSHEET'!#REF!</f>
        <v>#REF!</v>
      </c>
      <c r="C101" s="143"/>
      <c r="D101" s="104" t="e">
        <f>SUM('SCHEDULE OF VALUE WORKSHEET'!#REF!)</f>
        <v>#REF!</v>
      </c>
      <c r="E101" s="104">
        <f>SUM('Draw #17'!E101:F101)</f>
        <v>0</v>
      </c>
      <c r="F101" s="105">
        <v>0</v>
      </c>
      <c r="G101" s="104" t="e">
        <f>SUM('Draw #17'!G101)+F101</f>
        <v>#REF!</v>
      </c>
      <c r="H101" s="109" t="e">
        <f t="shared" si="2"/>
        <v>#REF!</v>
      </c>
      <c r="I101" s="110">
        <v>0</v>
      </c>
      <c r="J101" s="109">
        <f>SUM(I101+'Draw #17'!J101)</f>
        <v>0</v>
      </c>
      <c r="K101" s="101" t="str">
        <f t="shared" si="3"/>
        <v/>
      </c>
      <c r="L101" s="9"/>
      <c r="M101" s="9"/>
    </row>
    <row r="102" spans="1:13" ht="14.1" customHeight="1">
      <c r="A102" s="4" t="e">
        <f>'SCHEDULE OF VALUE WORKSHEET'!#REF!</f>
        <v>#REF!</v>
      </c>
      <c r="B102" s="142" t="e">
        <f>'SCHEDULE OF VALUE WORKSHEET'!#REF!</f>
        <v>#REF!</v>
      </c>
      <c r="C102" s="143"/>
      <c r="D102" s="104" t="e">
        <f>SUM('SCHEDULE OF VALUE WORKSHEET'!#REF!)</f>
        <v>#REF!</v>
      </c>
      <c r="E102" s="104">
        <f>SUM('Draw #17'!E102:F102)</f>
        <v>0</v>
      </c>
      <c r="F102" s="105">
        <v>0</v>
      </c>
      <c r="G102" s="104" t="e">
        <f>SUM('Draw #17'!G102)+F102</f>
        <v>#REF!</v>
      </c>
      <c r="H102" s="109" t="e">
        <f t="shared" si="2"/>
        <v>#REF!</v>
      </c>
      <c r="I102" s="110">
        <v>0</v>
      </c>
      <c r="J102" s="109">
        <f>SUM(I102+'Draw #17'!J102)</f>
        <v>0</v>
      </c>
      <c r="K102" s="101" t="str">
        <f t="shared" si="3"/>
        <v/>
      </c>
      <c r="L102" s="9"/>
      <c r="M102" s="9"/>
    </row>
    <row r="103" spans="1:13" ht="14.1" customHeight="1">
      <c r="A103" s="4" t="e">
        <f>'SCHEDULE OF VALUE WORKSHEET'!#REF!</f>
        <v>#REF!</v>
      </c>
      <c r="B103" s="142" t="e">
        <f>'SCHEDULE OF VALUE WORKSHEET'!#REF!</f>
        <v>#REF!</v>
      </c>
      <c r="C103" s="143"/>
      <c r="D103" s="104" t="e">
        <f>SUM('SCHEDULE OF VALUE WORKSHEET'!#REF!)</f>
        <v>#REF!</v>
      </c>
      <c r="E103" s="104">
        <f>SUM('Draw #17'!E103:F103)</f>
        <v>0</v>
      </c>
      <c r="F103" s="105">
        <v>0</v>
      </c>
      <c r="G103" s="104" t="e">
        <f>SUM('Draw #17'!G103)+F103</f>
        <v>#REF!</v>
      </c>
      <c r="H103" s="109" t="e">
        <f t="shared" si="2"/>
        <v>#REF!</v>
      </c>
      <c r="I103" s="110">
        <v>0</v>
      </c>
      <c r="J103" s="109">
        <f>SUM(I103+'Draw #17'!J103)</f>
        <v>0</v>
      </c>
      <c r="K103" s="101" t="str">
        <f t="shared" si="3"/>
        <v/>
      </c>
      <c r="L103" s="9"/>
      <c r="M103" s="9"/>
    </row>
    <row r="104" spans="1:13" ht="14.1" customHeight="1">
      <c r="A104" s="4" t="e">
        <f>'SCHEDULE OF VALUE WORKSHEET'!#REF!</f>
        <v>#REF!</v>
      </c>
      <c r="B104" s="142" t="e">
        <f>'SCHEDULE OF VALUE WORKSHEET'!#REF!</f>
        <v>#REF!</v>
      </c>
      <c r="C104" s="143"/>
      <c r="D104" s="104" t="e">
        <f>SUM('SCHEDULE OF VALUE WORKSHEET'!#REF!)</f>
        <v>#REF!</v>
      </c>
      <c r="E104" s="104">
        <f>SUM('Draw #17'!E104:F104)</f>
        <v>0</v>
      </c>
      <c r="F104" s="105">
        <v>0</v>
      </c>
      <c r="G104" s="104" t="e">
        <f>SUM('Draw #17'!G104)+F104</f>
        <v>#REF!</v>
      </c>
      <c r="H104" s="109" t="e">
        <f t="shared" si="2"/>
        <v>#REF!</v>
      </c>
      <c r="I104" s="110">
        <v>0</v>
      </c>
      <c r="J104" s="109">
        <f>SUM(I104+'Draw #17'!J104)</f>
        <v>0</v>
      </c>
      <c r="K104" s="101" t="str">
        <f t="shared" si="3"/>
        <v/>
      </c>
      <c r="L104" s="9"/>
      <c r="M104" s="9"/>
    </row>
    <row r="105" spans="1:13" ht="14.1" customHeight="1">
      <c r="A105" s="4" t="e">
        <f>'SCHEDULE OF VALUE WORKSHEET'!#REF!</f>
        <v>#REF!</v>
      </c>
      <c r="B105" s="142" t="e">
        <f>'SCHEDULE OF VALUE WORKSHEET'!#REF!</f>
        <v>#REF!</v>
      </c>
      <c r="C105" s="143"/>
      <c r="D105" s="104" t="e">
        <f>SUM('SCHEDULE OF VALUE WORKSHEET'!#REF!)</f>
        <v>#REF!</v>
      </c>
      <c r="E105" s="104">
        <f>SUM('Draw #17'!E105:F105)</f>
        <v>0</v>
      </c>
      <c r="F105" s="105">
        <v>0</v>
      </c>
      <c r="G105" s="104" t="e">
        <f>SUM('Draw #17'!G105)+F105</f>
        <v>#REF!</v>
      </c>
      <c r="H105" s="109" t="e">
        <f t="shared" si="2"/>
        <v>#REF!</v>
      </c>
      <c r="I105" s="110">
        <v>0</v>
      </c>
      <c r="J105" s="109">
        <f>SUM(I105+'Draw #17'!J105)</f>
        <v>0</v>
      </c>
      <c r="K105" s="101" t="str">
        <f t="shared" si="3"/>
        <v/>
      </c>
      <c r="L105" s="9"/>
      <c r="M105" s="9"/>
    </row>
    <row r="106" spans="1:13" ht="14.1" customHeight="1">
      <c r="A106" s="4" t="e">
        <f>'SCHEDULE OF VALUE WORKSHEET'!#REF!</f>
        <v>#REF!</v>
      </c>
      <c r="B106" s="142" t="e">
        <f>'SCHEDULE OF VALUE WORKSHEET'!#REF!</f>
        <v>#REF!</v>
      </c>
      <c r="C106" s="143"/>
      <c r="D106" s="104" t="e">
        <f>SUM('SCHEDULE OF VALUE WORKSHEET'!#REF!)</f>
        <v>#REF!</v>
      </c>
      <c r="E106" s="104">
        <f>SUM('Draw #17'!E106:F106)</f>
        <v>0</v>
      </c>
      <c r="F106" s="105">
        <v>0</v>
      </c>
      <c r="G106" s="104" t="e">
        <f>SUM('Draw #17'!G106)+F106</f>
        <v>#REF!</v>
      </c>
      <c r="H106" s="109" t="e">
        <f t="shared" si="2"/>
        <v>#REF!</v>
      </c>
      <c r="I106" s="110">
        <v>0</v>
      </c>
      <c r="J106" s="109">
        <f>SUM(I106+'Draw #17'!J106)</f>
        <v>0</v>
      </c>
      <c r="K106" s="101" t="str">
        <f t="shared" si="3"/>
        <v/>
      </c>
      <c r="L106" s="9"/>
      <c r="M106" s="9"/>
    </row>
    <row r="107" spans="1:13" ht="14.1" customHeight="1">
      <c r="A107" s="4" t="e">
        <f>'SCHEDULE OF VALUE WORKSHEET'!#REF!</f>
        <v>#REF!</v>
      </c>
      <c r="B107" s="142" t="e">
        <f>'SCHEDULE OF VALUE WORKSHEET'!#REF!</f>
        <v>#REF!</v>
      </c>
      <c r="C107" s="143"/>
      <c r="D107" s="104" t="e">
        <f>SUM('SCHEDULE OF VALUE WORKSHEET'!#REF!)</f>
        <v>#REF!</v>
      </c>
      <c r="E107" s="104">
        <f>SUM('Draw #17'!E107:F107)</f>
        <v>0</v>
      </c>
      <c r="F107" s="105">
        <v>0</v>
      </c>
      <c r="G107" s="104" t="e">
        <f>SUM('Draw #17'!G107)+F107</f>
        <v>#REF!</v>
      </c>
      <c r="H107" s="109" t="e">
        <f t="shared" si="2"/>
        <v>#REF!</v>
      </c>
      <c r="I107" s="110">
        <v>0</v>
      </c>
      <c r="J107" s="109">
        <f>SUM(I107+'Draw #17'!J107)</f>
        <v>0</v>
      </c>
      <c r="K107" s="101" t="str">
        <f t="shared" si="3"/>
        <v/>
      </c>
      <c r="L107" s="9"/>
      <c r="M107" s="9"/>
    </row>
    <row r="108" spans="1:13" ht="14.1" customHeight="1">
      <c r="A108" s="4" t="e">
        <f>'SCHEDULE OF VALUE WORKSHEET'!#REF!</f>
        <v>#REF!</v>
      </c>
      <c r="B108" s="142" t="e">
        <f>'SCHEDULE OF VALUE WORKSHEET'!#REF!</f>
        <v>#REF!</v>
      </c>
      <c r="C108" s="143"/>
      <c r="D108" s="104" t="e">
        <f>SUM('SCHEDULE OF VALUE WORKSHEET'!#REF!)</f>
        <v>#REF!</v>
      </c>
      <c r="E108" s="104">
        <f>SUM('Draw #17'!E108:F108)</f>
        <v>0</v>
      </c>
      <c r="F108" s="105">
        <v>0</v>
      </c>
      <c r="G108" s="104" t="e">
        <f>SUM('Draw #17'!G108)+F108</f>
        <v>#REF!</v>
      </c>
      <c r="H108" s="109" t="e">
        <f t="shared" si="2"/>
        <v>#REF!</v>
      </c>
      <c r="I108" s="110">
        <v>0</v>
      </c>
      <c r="J108" s="109">
        <f>SUM(I108+'Draw #17'!J108)</f>
        <v>0</v>
      </c>
      <c r="K108" s="101" t="str">
        <f t="shared" si="3"/>
        <v/>
      </c>
      <c r="L108" s="9"/>
      <c r="M108" s="9"/>
    </row>
    <row r="109" spans="1:13" ht="14.1" customHeight="1">
      <c r="A109" s="4" t="e">
        <f>'SCHEDULE OF VALUE WORKSHEET'!#REF!</f>
        <v>#REF!</v>
      </c>
      <c r="B109" s="142" t="e">
        <f>'SCHEDULE OF VALUE WORKSHEET'!#REF!</f>
        <v>#REF!</v>
      </c>
      <c r="C109" s="143"/>
      <c r="D109" s="104" t="e">
        <f>SUM('SCHEDULE OF VALUE WORKSHEET'!#REF!)</f>
        <v>#REF!</v>
      </c>
      <c r="E109" s="104">
        <f>SUM('Draw #17'!E109:F109)</f>
        <v>0</v>
      </c>
      <c r="F109" s="105">
        <v>0</v>
      </c>
      <c r="G109" s="104" t="e">
        <f>SUM('Draw #17'!G109)+F109</f>
        <v>#REF!</v>
      </c>
      <c r="H109" s="109" t="e">
        <f t="shared" si="2"/>
        <v>#REF!</v>
      </c>
      <c r="I109" s="110">
        <v>0</v>
      </c>
      <c r="J109" s="109">
        <f>SUM(I109+'Draw #17'!J109)</f>
        <v>0</v>
      </c>
      <c r="K109" s="101" t="str">
        <f t="shared" si="3"/>
        <v/>
      </c>
      <c r="L109" s="9"/>
      <c r="M109" s="9"/>
    </row>
    <row r="110" spans="1:13" ht="14.1" customHeight="1">
      <c r="A110" s="4" t="e">
        <f>'SCHEDULE OF VALUE WORKSHEET'!#REF!</f>
        <v>#REF!</v>
      </c>
      <c r="B110" s="142" t="e">
        <f>'SCHEDULE OF VALUE WORKSHEET'!#REF!</f>
        <v>#REF!</v>
      </c>
      <c r="C110" s="143"/>
      <c r="D110" s="104" t="e">
        <f>SUM('SCHEDULE OF VALUE WORKSHEET'!#REF!)</f>
        <v>#REF!</v>
      </c>
      <c r="E110" s="104">
        <f>SUM('Draw #17'!E110:F110)</f>
        <v>0</v>
      </c>
      <c r="F110" s="105">
        <v>0</v>
      </c>
      <c r="G110" s="104" t="e">
        <f>SUM('Draw #17'!G110)+F110</f>
        <v>#REF!</v>
      </c>
      <c r="H110" s="109" t="e">
        <f t="shared" si="2"/>
        <v>#REF!</v>
      </c>
      <c r="I110" s="110">
        <v>0</v>
      </c>
      <c r="J110" s="109">
        <f>SUM(I110+'Draw #17'!J110)</f>
        <v>0</v>
      </c>
      <c r="K110" s="101" t="str">
        <f t="shared" si="3"/>
        <v/>
      </c>
      <c r="L110" s="9"/>
      <c r="M110" s="9"/>
    </row>
    <row r="111" spans="1:13" ht="14.1" customHeight="1">
      <c r="A111" s="4" t="e">
        <f>'SCHEDULE OF VALUE WORKSHEET'!#REF!</f>
        <v>#REF!</v>
      </c>
      <c r="B111" s="142" t="e">
        <f>'SCHEDULE OF VALUE WORKSHEET'!#REF!</f>
        <v>#REF!</v>
      </c>
      <c r="C111" s="143"/>
      <c r="D111" s="104" t="e">
        <f>SUM('SCHEDULE OF VALUE WORKSHEET'!#REF!)</f>
        <v>#REF!</v>
      </c>
      <c r="E111" s="104">
        <f>SUM('Draw #17'!E111:F111)</f>
        <v>0</v>
      </c>
      <c r="F111" s="105">
        <v>0</v>
      </c>
      <c r="G111" s="104" t="e">
        <f>SUM('Draw #17'!G111)+F111</f>
        <v>#REF!</v>
      </c>
      <c r="H111" s="109" t="e">
        <f t="shared" si="2"/>
        <v>#REF!</v>
      </c>
      <c r="I111" s="110">
        <v>0</v>
      </c>
      <c r="J111" s="109">
        <f>SUM(I111+'Draw #17'!J111)</f>
        <v>0</v>
      </c>
      <c r="K111" s="101" t="str">
        <f t="shared" si="3"/>
        <v/>
      </c>
      <c r="L111" s="9"/>
      <c r="M111" s="9"/>
    </row>
    <row r="112" spans="1:13" ht="14.1" customHeight="1">
      <c r="A112" s="4" t="e">
        <f>'SCHEDULE OF VALUE WORKSHEET'!#REF!</f>
        <v>#REF!</v>
      </c>
      <c r="B112" s="142" t="e">
        <f>'SCHEDULE OF VALUE WORKSHEET'!#REF!</f>
        <v>#REF!</v>
      </c>
      <c r="C112" s="143"/>
      <c r="D112" s="104" t="e">
        <f>SUM('SCHEDULE OF VALUE WORKSHEET'!#REF!)</f>
        <v>#REF!</v>
      </c>
      <c r="E112" s="104">
        <f>SUM('Draw #17'!E112:F112)</f>
        <v>0</v>
      </c>
      <c r="F112" s="105">
        <v>0</v>
      </c>
      <c r="G112" s="104" t="e">
        <f>SUM('Draw #17'!G112)+F112</f>
        <v>#REF!</v>
      </c>
      <c r="H112" s="109" t="e">
        <f t="shared" si="2"/>
        <v>#REF!</v>
      </c>
      <c r="I112" s="110">
        <v>0</v>
      </c>
      <c r="J112" s="109">
        <f>SUM(I112+'Draw #17'!J112)</f>
        <v>0</v>
      </c>
      <c r="K112" s="101" t="str">
        <f t="shared" si="3"/>
        <v/>
      </c>
      <c r="L112" s="9"/>
      <c r="M112" s="9"/>
    </row>
    <row r="113" spans="1:13" ht="14.1" customHeight="1">
      <c r="A113" s="4" t="e">
        <f>'SCHEDULE OF VALUE WORKSHEET'!#REF!</f>
        <v>#REF!</v>
      </c>
      <c r="B113" s="142" t="e">
        <f>'SCHEDULE OF VALUE WORKSHEET'!#REF!</f>
        <v>#REF!</v>
      </c>
      <c r="C113" s="143"/>
      <c r="D113" s="104" t="e">
        <f>SUM('SCHEDULE OF VALUE WORKSHEET'!#REF!)</f>
        <v>#REF!</v>
      </c>
      <c r="E113" s="104">
        <f>SUM('Draw #17'!E113:F113)</f>
        <v>0</v>
      </c>
      <c r="F113" s="105">
        <v>0</v>
      </c>
      <c r="G113" s="104" t="e">
        <f>SUM('Draw #17'!G113)+F113</f>
        <v>#REF!</v>
      </c>
      <c r="H113" s="109" t="e">
        <f t="shared" si="2"/>
        <v>#REF!</v>
      </c>
      <c r="I113" s="110">
        <v>0</v>
      </c>
      <c r="J113" s="109">
        <f>SUM(I113+'Draw #17'!J113)</f>
        <v>0</v>
      </c>
      <c r="K113" s="101" t="str">
        <f t="shared" si="3"/>
        <v/>
      </c>
      <c r="L113" s="9"/>
      <c r="M113" s="9"/>
    </row>
    <row r="114" spans="1:13" ht="14.1" customHeight="1">
      <c r="A114" s="4" t="e">
        <f>'SCHEDULE OF VALUE WORKSHEET'!#REF!</f>
        <v>#REF!</v>
      </c>
      <c r="B114" s="142" t="e">
        <f>'SCHEDULE OF VALUE WORKSHEET'!#REF!</f>
        <v>#REF!</v>
      </c>
      <c r="C114" s="143"/>
      <c r="D114" s="104" t="e">
        <f>SUM('SCHEDULE OF VALUE WORKSHEET'!#REF!)</f>
        <v>#REF!</v>
      </c>
      <c r="E114" s="104">
        <f>SUM('Draw #17'!E114:F114)</f>
        <v>0</v>
      </c>
      <c r="F114" s="105">
        <v>0</v>
      </c>
      <c r="G114" s="104" t="e">
        <f>SUM('Draw #17'!G114)+F114</f>
        <v>#REF!</v>
      </c>
      <c r="H114" s="109" t="e">
        <f t="shared" si="2"/>
        <v>#REF!</v>
      </c>
      <c r="I114" s="110">
        <v>0</v>
      </c>
      <c r="J114" s="109">
        <f>SUM(I114+'Draw #17'!J114)</f>
        <v>0</v>
      </c>
      <c r="K114" s="101" t="str">
        <f t="shared" si="3"/>
        <v/>
      </c>
      <c r="L114" s="9"/>
      <c r="M114" s="9"/>
    </row>
    <row r="115" spans="1:13" ht="14.1" customHeight="1">
      <c r="A115" s="4" t="e">
        <f>'SCHEDULE OF VALUE WORKSHEET'!#REF!</f>
        <v>#REF!</v>
      </c>
      <c r="B115" s="142" t="e">
        <f>'SCHEDULE OF VALUE WORKSHEET'!#REF!</f>
        <v>#REF!</v>
      </c>
      <c r="C115" s="143"/>
      <c r="D115" s="104" t="e">
        <f>SUM('SCHEDULE OF VALUE WORKSHEET'!#REF!)</f>
        <v>#REF!</v>
      </c>
      <c r="E115" s="104">
        <f>SUM('Draw #17'!E115:F115)</f>
        <v>0</v>
      </c>
      <c r="F115" s="105">
        <v>0</v>
      </c>
      <c r="G115" s="104" t="e">
        <f>SUM('Draw #17'!G115)+F115</f>
        <v>#REF!</v>
      </c>
      <c r="H115" s="109" t="e">
        <f t="shared" si="2"/>
        <v>#REF!</v>
      </c>
      <c r="I115" s="110">
        <v>0</v>
      </c>
      <c r="J115" s="109">
        <f>SUM(I115+'Draw #17'!J115)</f>
        <v>0</v>
      </c>
      <c r="K115" s="101" t="str">
        <f t="shared" si="3"/>
        <v/>
      </c>
      <c r="L115" s="9"/>
      <c r="M115" s="9"/>
    </row>
    <row r="116" spans="1:13" ht="14.1" customHeight="1">
      <c r="A116" s="4" t="e">
        <f>'SCHEDULE OF VALUE WORKSHEET'!#REF!</f>
        <v>#REF!</v>
      </c>
      <c r="B116" s="142" t="e">
        <f>'SCHEDULE OF VALUE WORKSHEET'!#REF!</f>
        <v>#REF!</v>
      </c>
      <c r="C116" s="143"/>
      <c r="D116" s="104" t="e">
        <f>SUM('SCHEDULE OF VALUE WORKSHEET'!#REF!)</f>
        <v>#REF!</v>
      </c>
      <c r="E116" s="104">
        <f>SUM('Draw #17'!E116:F116)</f>
        <v>0</v>
      </c>
      <c r="F116" s="105">
        <v>0</v>
      </c>
      <c r="G116" s="104" t="e">
        <f>SUM('Draw #17'!G116)+F116</f>
        <v>#REF!</v>
      </c>
      <c r="H116" s="109" t="e">
        <f t="shared" si="2"/>
        <v>#REF!</v>
      </c>
      <c r="I116" s="110">
        <v>0</v>
      </c>
      <c r="J116" s="109">
        <f>SUM(I116+'Draw #17'!J116)</f>
        <v>0</v>
      </c>
      <c r="K116" s="101" t="str">
        <f t="shared" si="3"/>
        <v/>
      </c>
      <c r="L116" s="9"/>
      <c r="M116" s="9"/>
    </row>
    <row r="117" spans="1:13" ht="14.1" customHeight="1">
      <c r="A117" s="4">
        <f>'SCHEDULE OF VALUE WORKSHEET'!A87</f>
        <v>82</v>
      </c>
      <c r="B117" s="142" t="str">
        <f>'SCHEDULE OF VALUE WORKSHEET'!B87</f>
        <v xml:space="preserve">Open Item </v>
      </c>
      <c r="C117" s="143"/>
      <c r="D117" s="104">
        <f>SUM('SCHEDULE OF VALUE WORKSHEET'!E87)</f>
        <v>0</v>
      </c>
      <c r="E117" s="104">
        <f>SUM('Draw #17'!E117:F117)</f>
        <v>0</v>
      </c>
      <c r="F117" s="105">
        <v>0</v>
      </c>
      <c r="G117" s="104">
        <f>SUM('Draw #17'!G117)+F117</f>
        <v>0</v>
      </c>
      <c r="H117" s="109">
        <f t="shared" si="2"/>
        <v>0</v>
      </c>
      <c r="I117" s="110">
        <v>0</v>
      </c>
      <c r="J117" s="109">
        <f>SUM(I117+'Draw #17'!J117)</f>
        <v>0</v>
      </c>
      <c r="K117" s="101" t="str">
        <f t="shared" si="3"/>
        <v/>
      </c>
      <c r="L117" s="9"/>
      <c r="M117" s="9"/>
    </row>
    <row r="118" spans="1:13" ht="14.1" customHeight="1">
      <c r="A118" s="4">
        <f>'SCHEDULE OF VALUE WORKSHEET'!A88</f>
        <v>83</v>
      </c>
      <c r="B118" s="142" t="str">
        <f>'SCHEDULE OF VALUE WORKSHEET'!B88</f>
        <v xml:space="preserve">Open Item </v>
      </c>
      <c r="C118" s="143"/>
      <c r="D118" s="104">
        <f>SUM('SCHEDULE OF VALUE WORKSHEET'!E88)</f>
        <v>0</v>
      </c>
      <c r="E118" s="104">
        <f>SUM('Draw #17'!E118:F118)</f>
        <v>0</v>
      </c>
      <c r="F118" s="105">
        <v>0</v>
      </c>
      <c r="G118" s="104">
        <f>SUM('Draw #17'!G118)+F118</f>
        <v>0</v>
      </c>
      <c r="H118" s="109">
        <f t="shared" si="2"/>
        <v>0</v>
      </c>
      <c r="I118" s="110">
        <v>0</v>
      </c>
      <c r="J118" s="109">
        <f>SUM(I118+'Draw #17'!J118)</f>
        <v>0</v>
      </c>
      <c r="K118" s="101" t="str">
        <f t="shared" si="3"/>
        <v/>
      </c>
      <c r="L118" s="9"/>
      <c r="M118" s="9"/>
    </row>
    <row r="119" spans="1:13" ht="14.1" customHeight="1">
      <c r="A119" s="4">
        <f>'SCHEDULE OF VALUE WORKSHEET'!A89</f>
        <v>84</v>
      </c>
      <c r="B119" s="142" t="str">
        <f>'SCHEDULE OF VALUE WORKSHEET'!B89</f>
        <v xml:space="preserve">Open Item </v>
      </c>
      <c r="C119" s="143"/>
      <c r="D119" s="104">
        <f>SUM('SCHEDULE OF VALUE WORKSHEET'!E89)</f>
        <v>0</v>
      </c>
      <c r="E119" s="104">
        <f>SUM('Draw #17'!E119:F119)</f>
        <v>0</v>
      </c>
      <c r="F119" s="105">
        <v>0</v>
      </c>
      <c r="G119" s="104">
        <f>SUM('Draw #17'!G119)+F119</f>
        <v>0</v>
      </c>
      <c r="H119" s="109">
        <f t="shared" si="2"/>
        <v>0</v>
      </c>
      <c r="I119" s="110">
        <v>0</v>
      </c>
      <c r="J119" s="109">
        <f>SUM(I119+'Draw #17'!J119)</f>
        <v>0</v>
      </c>
      <c r="K119" s="101" t="str">
        <f t="shared" si="3"/>
        <v/>
      </c>
      <c r="L119" s="9"/>
      <c r="M119" s="9"/>
    </row>
    <row r="120" spans="1:13" ht="14.1" customHeight="1">
      <c r="A120" s="4">
        <f>'SCHEDULE OF VALUE WORKSHEET'!A90</f>
        <v>85</v>
      </c>
      <c r="B120" s="142" t="str">
        <f>'SCHEDULE OF VALUE WORKSHEET'!B90</f>
        <v xml:space="preserve">Open Item </v>
      </c>
      <c r="C120" s="143"/>
      <c r="D120" s="104">
        <f>SUM('SCHEDULE OF VALUE WORKSHEET'!E90)</f>
        <v>0</v>
      </c>
      <c r="E120" s="104">
        <f>SUM('Draw #17'!E120:F120)</f>
        <v>0</v>
      </c>
      <c r="F120" s="105">
        <v>0</v>
      </c>
      <c r="G120" s="104">
        <f>SUM('Draw #17'!G120)+F120</f>
        <v>0</v>
      </c>
      <c r="H120" s="109">
        <f t="shared" si="2"/>
        <v>0</v>
      </c>
      <c r="I120" s="110">
        <v>0</v>
      </c>
      <c r="J120" s="109">
        <f>SUM(I120+'Draw #17'!J120)</f>
        <v>0</v>
      </c>
      <c r="K120" s="101" t="str">
        <f t="shared" si="3"/>
        <v/>
      </c>
      <c r="L120" s="9"/>
      <c r="M120" s="9"/>
    </row>
    <row r="121" spans="1:13" ht="14.1" customHeight="1">
      <c r="A121" s="4">
        <f>'SCHEDULE OF VALUE WORKSHEET'!A91</f>
        <v>86</v>
      </c>
      <c r="B121" s="142" t="str">
        <f>'SCHEDULE OF VALUE WORKSHEET'!B91</f>
        <v xml:space="preserve">Open Item </v>
      </c>
      <c r="C121" s="143"/>
      <c r="D121" s="104">
        <f>SUM('SCHEDULE OF VALUE WORKSHEET'!E91)</f>
        <v>0</v>
      </c>
      <c r="E121" s="104">
        <f>SUM('Draw #17'!E121:F121)</f>
        <v>0</v>
      </c>
      <c r="F121" s="105">
        <v>0</v>
      </c>
      <c r="G121" s="104">
        <f>SUM('Draw #17'!G121)+F121</f>
        <v>0</v>
      </c>
      <c r="H121" s="109">
        <f t="shared" si="2"/>
        <v>0</v>
      </c>
      <c r="I121" s="110">
        <v>0</v>
      </c>
      <c r="J121" s="109">
        <f>SUM(I121+'Draw #17'!J121)</f>
        <v>0</v>
      </c>
      <c r="K121" s="101" t="str">
        <f t="shared" si="3"/>
        <v/>
      </c>
      <c r="L121" s="9"/>
      <c r="M121" s="9"/>
    </row>
    <row r="122" spans="1:13" ht="14.1" customHeight="1">
      <c r="A122" s="4">
        <f>'SCHEDULE OF VALUE WORKSHEET'!A92</f>
        <v>87</v>
      </c>
      <c r="B122" s="142" t="str">
        <f>'SCHEDULE OF VALUE WORKSHEET'!B92</f>
        <v xml:space="preserve">Open Item </v>
      </c>
      <c r="C122" s="143"/>
      <c r="D122" s="104">
        <f>SUM('SCHEDULE OF VALUE WORKSHEET'!E92)</f>
        <v>0</v>
      </c>
      <c r="E122" s="104">
        <f>SUM('Draw #17'!E122:F122)</f>
        <v>0</v>
      </c>
      <c r="F122" s="105">
        <v>0</v>
      </c>
      <c r="G122" s="104">
        <f>SUM('Draw #17'!G122)+F122</f>
        <v>0</v>
      </c>
      <c r="H122" s="109">
        <f t="shared" si="2"/>
        <v>0</v>
      </c>
      <c r="I122" s="110">
        <v>0</v>
      </c>
      <c r="J122" s="109">
        <f>SUM(I122+'Draw #17'!J122)</f>
        <v>0</v>
      </c>
      <c r="K122" s="101" t="str">
        <f t="shared" si="3"/>
        <v/>
      </c>
      <c r="L122" s="9"/>
      <c r="M122" s="9"/>
    </row>
    <row r="123" spans="1:13" ht="14.1" customHeight="1">
      <c r="A123" s="4">
        <f>'SCHEDULE OF VALUE WORKSHEET'!A93</f>
        <v>88</v>
      </c>
      <c r="B123" s="142" t="str">
        <f>'SCHEDULE OF VALUE WORKSHEET'!B93</f>
        <v xml:space="preserve">Open Item </v>
      </c>
      <c r="C123" s="143"/>
      <c r="D123" s="104">
        <f>SUM('SCHEDULE OF VALUE WORKSHEET'!E93)</f>
        <v>0</v>
      </c>
      <c r="E123" s="104">
        <f>SUM('Draw #17'!E123:F123)</f>
        <v>0</v>
      </c>
      <c r="F123" s="105">
        <v>0</v>
      </c>
      <c r="G123" s="104">
        <f>SUM('Draw #17'!G123)+F123</f>
        <v>0</v>
      </c>
      <c r="H123" s="109">
        <f t="shared" si="2"/>
        <v>0</v>
      </c>
      <c r="I123" s="110">
        <v>0</v>
      </c>
      <c r="J123" s="109">
        <f>SUM(I123+'Draw #17'!J123)</f>
        <v>0</v>
      </c>
      <c r="K123" s="101" t="str">
        <f t="shared" si="3"/>
        <v/>
      </c>
      <c r="L123" s="9"/>
      <c r="M123" s="9"/>
    </row>
    <row r="124" spans="1:13" ht="14.1" customHeight="1">
      <c r="A124" s="4">
        <f>'SCHEDULE OF VALUE WORKSHEET'!A94</f>
        <v>89</v>
      </c>
      <c r="B124" s="142" t="str">
        <f>'SCHEDULE OF VALUE WORKSHEET'!B94</f>
        <v xml:space="preserve">Open Item </v>
      </c>
      <c r="C124" s="143"/>
      <c r="D124" s="104">
        <f>SUM('SCHEDULE OF VALUE WORKSHEET'!E94)</f>
        <v>0</v>
      </c>
      <c r="E124" s="104">
        <f>SUM('Draw #17'!E124:F124)</f>
        <v>0</v>
      </c>
      <c r="F124" s="105">
        <v>0</v>
      </c>
      <c r="G124" s="104">
        <f>SUM('Draw #17'!G124)+F124</f>
        <v>0</v>
      </c>
      <c r="H124" s="109">
        <f t="shared" si="2"/>
        <v>0</v>
      </c>
      <c r="I124" s="110">
        <v>0</v>
      </c>
      <c r="J124" s="109">
        <f>SUM(I124+'Draw #17'!J124)</f>
        <v>0</v>
      </c>
      <c r="K124" s="101" t="str">
        <f t="shared" si="3"/>
        <v/>
      </c>
      <c r="L124" s="9"/>
      <c r="M124" s="9"/>
    </row>
    <row r="125" spans="1:13" ht="14.1" customHeight="1">
      <c r="A125" s="4">
        <f>'SCHEDULE OF VALUE WORKSHEET'!A95</f>
        <v>90</v>
      </c>
      <c r="B125" s="142" t="str">
        <f>'SCHEDULE OF VALUE WORKSHEET'!B95</f>
        <v xml:space="preserve">Open Item </v>
      </c>
      <c r="C125" s="143"/>
      <c r="D125" s="104">
        <f>SUM('SCHEDULE OF VALUE WORKSHEET'!E95)</f>
        <v>0</v>
      </c>
      <c r="E125" s="104">
        <f>SUM('Draw #17'!E125:F125)</f>
        <v>0</v>
      </c>
      <c r="F125" s="105">
        <v>0</v>
      </c>
      <c r="G125" s="104">
        <f>SUM('Draw #17'!G125)+F125</f>
        <v>0</v>
      </c>
      <c r="H125" s="109">
        <f t="shared" si="2"/>
        <v>0</v>
      </c>
      <c r="I125" s="110">
        <v>0</v>
      </c>
      <c r="J125" s="109">
        <f>SUM(I125+'Draw #17'!J125)</f>
        <v>0</v>
      </c>
      <c r="K125" s="101" t="str">
        <f t="shared" si="3"/>
        <v/>
      </c>
      <c r="L125" s="9"/>
      <c r="M125" s="9"/>
    </row>
    <row r="126" spans="1:13" ht="14.1" customHeight="1">
      <c r="A126" s="4">
        <f>'SCHEDULE OF VALUE WORKSHEET'!A96</f>
        <v>91</v>
      </c>
      <c r="B126" s="142" t="str">
        <f>'SCHEDULE OF VALUE WORKSHEET'!B96</f>
        <v xml:space="preserve">Open Item </v>
      </c>
      <c r="C126" s="143"/>
      <c r="D126" s="104">
        <f>SUM('SCHEDULE OF VALUE WORKSHEET'!E96)</f>
        <v>0</v>
      </c>
      <c r="E126" s="104">
        <f>SUM('Draw #17'!E126:F126)</f>
        <v>0</v>
      </c>
      <c r="F126" s="105">
        <v>0</v>
      </c>
      <c r="G126" s="104">
        <f>SUM('Draw #17'!G126)+F126</f>
        <v>0</v>
      </c>
      <c r="H126" s="109">
        <f t="shared" si="2"/>
        <v>0</v>
      </c>
      <c r="I126" s="110">
        <v>0</v>
      </c>
      <c r="J126" s="109">
        <f>SUM(I126+'Draw #17'!J126)</f>
        <v>0</v>
      </c>
      <c r="K126" s="101" t="str">
        <f t="shared" si="3"/>
        <v/>
      </c>
      <c r="L126" s="9"/>
      <c r="M126" s="9"/>
    </row>
    <row r="127" spans="1:13" ht="14.1" customHeight="1">
      <c r="A127" s="4">
        <f>'SCHEDULE OF VALUE WORKSHEET'!A97</f>
        <v>92</v>
      </c>
      <c r="B127" s="142" t="str">
        <f>'SCHEDULE OF VALUE WORKSHEET'!B97</f>
        <v xml:space="preserve">Open Item </v>
      </c>
      <c r="C127" s="143"/>
      <c r="D127" s="104">
        <f>SUM('SCHEDULE OF VALUE WORKSHEET'!E97)</f>
        <v>0</v>
      </c>
      <c r="E127" s="104">
        <f>SUM('Draw #17'!E127:F127)</f>
        <v>0</v>
      </c>
      <c r="F127" s="105">
        <v>0</v>
      </c>
      <c r="G127" s="104">
        <f>SUM('Draw #17'!G127)+F127</f>
        <v>0</v>
      </c>
      <c r="H127" s="109">
        <f t="shared" si="2"/>
        <v>0</v>
      </c>
      <c r="I127" s="110">
        <v>0</v>
      </c>
      <c r="J127" s="109">
        <f>SUM(I127+'Draw #17'!J127)</f>
        <v>0</v>
      </c>
      <c r="K127" s="101" t="str">
        <f t="shared" si="3"/>
        <v/>
      </c>
      <c r="L127" s="9"/>
      <c r="M127" s="9"/>
    </row>
    <row r="128" spans="1:13" ht="14.1" customHeight="1">
      <c r="A128" s="4">
        <f>'SCHEDULE OF VALUE WORKSHEET'!A98</f>
        <v>93</v>
      </c>
      <c r="B128" s="142" t="str">
        <f>'SCHEDULE OF VALUE WORKSHEET'!B98</f>
        <v xml:space="preserve">Open Item </v>
      </c>
      <c r="C128" s="143"/>
      <c r="D128" s="104">
        <f>SUM('SCHEDULE OF VALUE WORKSHEET'!E98)</f>
        <v>0</v>
      </c>
      <c r="E128" s="104">
        <f>SUM('Draw #17'!E128:F128)</f>
        <v>0</v>
      </c>
      <c r="F128" s="105">
        <v>0</v>
      </c>
      <c r="G128" s="104">
        <f>SUM('Draw #17'!G128)+F128</f>
        <v>0</v>
      </c>
      <c r="H128" s="109">
        <f t="shared" si="2"/>
        <v>0</v>
      </c>
      <c r="I128" s="110">
        <v>0</v>
      </c>
      <c r="J128" s="109">
        <f>SUM(I128+'Draw #17'!J128)</f>
        <v>0</v>
      </c>
      <c r="K128" s="101" t="str">
        <f t="shared" si="3"/>
        <v/>
      </c>
      <c r="L128" s="9"/>
      <c r="M128" s="9"/>
    </row>
    <row r="129" spans="1:13" ht="14.1" customHeight="1">
      <c r="A129" s="4">
        <f>'SCHEDULE OF VALUE WORKSHEET'!A99</f>
        <v>94</v>
      </c>
      <c r="B129" s="142" t="str">
        <f>'SCHEDULE OF VALUE WORKSHEET'!B99</f>
        <v xml:space="preserve">Open Item </v>
      </c>
      <c r="C129" s="143"/>
      <c r="D129" s="104">
        <f>SUM('SCHEDULE OF VALUE WORKSHEET'!E99)</f>
        <v>0</v>
      </c>
      <c r="E129" s="104">
        <f>SUM('Draw #17'!E129:F129)</f>
        <v>0</v>
      </c>
      <c r="F129" s="105">
        <v>0</v>
      </c>
      <c r="G129" s="104">
        <f>SUM('Draw #17'!G129)+F129</f>
        <v>0</v>
      </c>
      <c r="H129" s="109">
        <f t="shared" si="2"/>
        <v>0</v>
      </c>
      <c r="I129" s="110">
        <v>0</v>
      </c>
      <c r="J129" s="109">
        <f>SUM(I129+'Draw #17'!J129)</f>
        <v>0</v>
      </c>
      <c r="K129" s="101" t="str">
        <f t="shared" si="3"/>
        <v/>
      </c>
      <c r="L129" s="9"/>
      <c r="M129" s="9"/>
    </row>
    <row r="130" spans="1:13" ht="14.1" customHeight="1">
      <c r="A130" s="4">
        <f>'SCHEDULE OF VALUE WORKSHEET'!A100</f>
        <v>95</v>
      </c>
      <c r="B130" s="142" t="str">
        <f>'SCHEDULE OF VALUE WORKSHEET'!B100</f>
        <v xml:space="preserve">Open Item </v>
      </c>
      <c r="C130" s="143"/>
      <c r="D130" s="104">
        <f>SUM('SCHEDULE OF VALUE WORKSHEET'!E100)</f>
        <v>0</v>
      </c>
      <c r="E130" s="104">
        <f>SUM('Draw #17'!E130:F130)</f>
        <v>0</v>
      </c>
      <c r="F130" s="105">
        <v>0</v>
      </c>
      <c r="G130" s="104">
        <f>SUM('Draw #17'!G130)+F130</f>
        <v>0</v>
      </c>
      <c r="H130" s="109">
        <f t="shared" si="2"/>
        <v>0</v>
      </c>
      <c r="I130" s="110">
        <v>0</v>
      </c>
      <c r="J130" s="109">
        <f>SUM(I130+'Draw #17'!J130)</f>
        <v>0</v>
      </c>
      <c r="K130" s="101" t="str">
        <f t="shared" si="3"/>
        <v/>
      </c>
      <c r="L130" s="9"/>
      <c r="M130" s="9"/>
    </row>
    <row r="131" spans="1:13" ht="14.1" customHeight="1">
      <c r="A131" s="4">
        <f>'SCHEDULE OF VALUE WORKSHEET'!A101</f>
        <v>96</v>
      </c>
      <c r="B131" s="142" t="str">
        <f>'SCHEDULE OF VALUE WORKSHEET'!B101</f>
        <v xml:space="preserve">Open Item </v>
      </c>
      <c r="C131" s="143"/>
      <c r="D131" s="104">
        <f>SUM('SCHEDULE OF VALUE WORKSHEET'!E101)</f>
        <v>0</v>
      </c>
      <c r="E131" s="104">
        <f>SUM('Draw #17'!E131:F131)</f>
        <v>0</v>
      </c>
      <c r="F131" s="105">
        <v>0</v>
      </c>
      <c r="G131" s="104">
        <f>SUM('Draw #17'!G131)+F131</f>
        <v>0</v>
      </c>
      <c r="H131" s="109">
        <f t="shared" si="2"/>
        <v>0</v>
      </c>
      <c r="I131" s="110">
        <v>0</v>
      </c>
      <c r="J131" s="109">
        <f>SUM(I131+'Draw #17'!J131)</f>
        <v>0</v>
      </c>
      <c r="K131" s="101" t="str">
        <f t="shared" si="3"/>
        <v/>
      </c>
      <c r="L131" s="9"/>
      <c r="M131" s="9"/>
    </row>
    <row r="132" spans="1:13" ht="14.1" customHeight="1">
      <c r="A132" s="4">
        <f>'SCHEDULE OF VALUE WORKSHEET'!A102</f>
        <v>97</v>
      </c>
      <c r="B132" s="142" t="str">
        <f>'SCHEDULE OF VALUE WORKSHEET'!B102</f>
        <v xml:space="preserve">Open Item </v>
      </c>
      <c r="C132" s="143"/>
      <c r="D132" s="104">
        <f>SUM('SCHEDULE OF VALUE WORKSHEET'!E102)</f>
        <v>0</v>
      </c>
      <c r="E132" s="104">
        <f>SUM('Draw #17'!E132:F132)</f>
        <v>0</v>
      </c>
      <c r="F132" s="105">
        <v>0</v>
      </c>
      <c r="G132" s="104">
        <f>SUM('Draw #17'!G132)+F132</f>
        <v>0</v>
      </c>
      <c r="H132" s="109">
        <f t="shared" si="2"/>
        <v>0</v>
      </c>
      <c r="I132" s="110">
        <v>0</v>
      </c>
      <c r="J132" s="109">
        <f>SUM(I132+'Draw #17'!J132)</f>
        <v>0</v>
      </c>
      <c r="K132" s="101" t="str">
        <f t="shared" si="3"/>
        <v/>
      </c>
      <c r="L132" s="9"/>
      <c r="M132" s="9"/>
    </row>
    <row r="133" spans="1:13" ht="14.1" customHeight="1">
      <c r="A133" s="4">
        <f>'SCHEDULE OF VALUE WORKSHEET'!A103</f>
        <v>98</v>
      </c>
      <c r="B133" s="142" t="str">
        <f>'SCHEDULE OF VALUE WORKSHEET'!B103</f>
        <v xml:space="preserve">Open Item </v>
      </c>
      <c r="C133" s="143"/>
      <c r="D133" s="104">
        <f>SUM('SCHEDULE OF VALUE WORKSHEET'!E103)</f>
        <v>0</v>
      </c>
      <c r="E133" s="104">
        <f>SUM('Draw #17'!E133:F133)</f>
        <v>0</v>
      </c>
      <c r="F133" s="105">
        <v>0</v>
      </c>
      <c r="G133" s="104">
        <f>SUM('Draw #17'!G133)+F133</f>
        <v>0</v>
      </c>
      <c r="H133" s="109">
        <f t="shared" si="2"/>
        <v>0</v>
      </c>
      <c r="I133" s="110">
        <v>0</v>
      </c>
      <c r="J133" s="109">
        <f>SUM(I133+'Draw #17'!J133)</f>
        <v>0</v>
      </c>
      <c r="K133" s="101" t="str">
        <f t="shared" si="3"/>
        <v/>
      </c>
      <c r="L133" s="9"/>
      <c r="M133" s="9"/>
    </row>
    <row r="134" spans="1:13" ht="14.1" customHeight="1">
      <c r="A134" s="4">
        <f>'SCHEDULE OF VALUE WORKSHEET'!A104</f>
        <v>99</v>
      </c>
      <c r="B134" s="142" t="str">
        <f>'SCHEDULE OF VALUE WORKSHEET'!B104</f>
        <v xml:space="preserve">Open Item </v>
      </c>
      <c r="C134" s="143"/>
      <c r="D134" s="104">
        <f>SUM('SCHEDULE OF VALUE WORKSHEET'!E104)</f>
        <v>0</v>
      </c>
      <c r="E134" s="104">
        <f>SUM('Draw #17'!E134:F134)</f>
        <v>0</v>
      </c>
      <c r="F134" s="105">
        <v>0</v>
      </c>
      <c r="G134" s="104">
        <f>SUM('Draw #17'!G134)+F134</f>
        <v>0</v>
      </c>
      <c r="H134" s="109">
        <f t="shared" si="2"/>
        <v>0</v>
      </c>
      <c r="I134" s="110">
        <v>0</v>
      </c>
      <c r="J134" s="109">
        <f>SUM(I134+'Draw #17'!J134)</f>
        <v>0</v>
      </c>
      <c r="K134" s="101" t="str">
        <f t="shared" si="3"/>
        <v/>
      </c>
      <c r="L134" s="9"/>
      <c r="M134" s="9"/>
    </row>
    <row r="135" spans="1:13" ht="14.1" customHeight="1">
      <c r="A135" s="4" t="e">
        <f>'SCHEDULE OF VALUE WORKSHEET'!#REF!</f>
        <v>#REF!</v>
      </c>
      <c r="B135" s="142" t="e">
        <f>'SCHEDULE OF VALUE WORKSHEET'!#REF!</f>
        <v>#REF!</v>
      </c>
      <c r="C135" s="143"/>
      <c r="D135" s="104" t="e">
        <f>SUM('SCHEDULE OF VALUE WORKSHEET'!#REF!)</f>
        <v>#REF!</v>
      </c>
      <c r="E135" s="104">
        <f>SUM('Draw #17'!E135:F135)</f>
        <v>0</v>
      </c>
      <c r="F135" s="105">
        <v>0</v>
      </c>
      <c r="G135" s="104" t="e">
        <f>SUM('Draw #17'!G135)+F135</f>
        <v>#REF!</v>
      </c>
      <c r="H135" s="109" t="e">
        <f t="shared" si="2"/>
        <v>#REF!</v>
      </c>
      <c r="I135" s="110">
        <v>0</v>
      </c>
      <c r="J135" s="109">
        <f>SUM(I135+'Draw #17'!J135)</f>
        <v>0</v>
      </c>
      <c r="K135" s="101" t="str">
        <f t="shared" si="3"/>
        <v/>
      </c>
      <c r="L135" s="9"/>
      <c r="M135" s="9"/>
    </row>
    <row r="136" spans="1:13" ht="14.1" customHeight="1">
      <c r="A136" s="165"/>
      <c r="B136" s="166"/>
      <c r="C136" s="166"/>
      <c r="D136" s="166"/>
      <c r="E136" s="166"/>
      <c r="F136" s="166"/>
      <c r="G136" s="166"/>
      <c r="H136" s="166"/>
      <c r="I136" s="166"/>
      <c r="J136" s="166"/>
      <c r="K136" s="167"/>
      <c r="L136" s="10"/>
      <c r="M136" s="10"/>
    </row>
    <row r="137" spans="1:13" ht="18.75" customHeight="1">
      <c r="A137" s="7"/>
      <c r="B137" s="168" t="s">
        <v>2</v>
      </c>
      <c r="C137" s="168"/>
      <c r="D137" s="25" t="e">
        <f t="shared" ref="D137:J137" si="4">SUM(D10:D135)</f>
        <v>#REF!</v>
      </c>
      <c r="E137" s="25">
        <f t="shared" si="4"/>
        <v>0</v>
      </c>
      <c r="F137" s="25">
        <f t="shared" si="4"/>
        <v>0</v>
      </c>
      <c r="G137" s="25" t="e">
        <f t="shared" si="4"/>
        <v>#REF!</v>
      </c>
      <c r="H137" s="25" t="e">
        <f t="shared" si="4"/>
        <v>#REF!</v>
      </c>
      <c r="I137" s="25">
        <f t="shared" si="4"/>
        <v>0</v>
      </c>
      <c r="J137" s="25">
        <f t="shared" si="4"/>
        <v>0</v>
      </c>
      <c r="K137" s="17"/>
      <c r="L137" s="11"/>
      <c r="M137" s="11"/>
    </row>
    <row r="138" spans="1:13" ht="14.1" customHeight="1">
      <c r="A138" s="2"/>
      <c r="B138" s="2"/>
      <c r="C138" s="2"/>
      <c r="D138" s="2"/>
      <c r="E138" s="2"/>
      <c r="F138" s="2"/>
      <c r="G138" s="2"/>
    </row>
    <row r="139" spans="1:13" ht="14.1" customHeight="1">
      <c r="G139" s="2"/>
      <c r="H139" s="140"/>
      <c r="I139" s="140"/>
      <c r="J139" s="140"/>
    </row>
    <row r="140" spans="1:13" ht="14.1" customHeight="1">
      <c r="G140" s="2"/>
    </row>
    <row r="141" spans="1:13" ht="14.1" customHeight="1">
      <c r="G141" s="2"/>
      <c r="H141" s="8"/>
    </row>
    <row r="142" spans="1:13" ht="14.1" customHeight="1">
      <c r="G142" s="2"/>
      <c r="H142" s="8"/>
    </row>
    <row r="143" spans="1:13" ht="14.1" customHeight="1">
      <c r="G143" s="2"/>
    </row>
    <row r="144" spans="1:13" ht="14.1" customHeight="1">
      <c r="G144" s="2"/>
    </row>
    <row r="145" spans="7:7" ht="14.1" customHeight="1">
      <c r="G145" s="2"/>
    </row>
    <row r="146" spans="7:7" ht="14.1" customHeight="1">
      <c r="G146" s="2"/>
    </row>
    <row r="147" spans="7:7" ht="14.1" customHeight="1">
      <c r="G147" s="2"/>
    </row>
    <row r="148" spans="7:7" ht="14.1" customHeight="1">
      <c r="G148" s="3"/>
    </row>
  </sheetData>
  <sheetProtection algorithmName="SHA-512" hashValue="LvrGG44a9s7PW7b3Mh453Ts13/iX1xXWEfzq3llordM/39a6n6WScgBEpIWX1hqEFkqFy356MfSmY9SpNStBWA==" saltValue="mdc+g1+f6NMFOl52HEFwag==" spinCount="100000" sheet="1" selectLockedCells="1"/>
  <mergeCells count="136">
    <mergeCell ref="A1:K2"/>
    <mergeCell ref="B47:C47"/>
    <mergeCell ref="B48:C48"/>
    <mergeCell ref="B49:C49"/>
    <mergeCell ref="B50:C50"/>
    <mergeCell ref="B8:C9"/>
    <mergeCell ref="D8:D9"/>
    <mergeCell ref="G8:G9"/>
    <mergeCell ref="J8:K8"/>
    <mergeCell ref="J9:K9"/>
    <mergeCell ref="F8:F9"/>
    <mergeCell ref="B10:C10"/>
    <mergeCell ref="B11:C11"/>
    <mergeCell ref="B12:C12"/>
    <mergeCell ref="B13:C13"/>
    <mergeCell ref="B26:C26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4:C34"/>
    <mergeCell ref="B35:C35"/>
    <mergeCell ref="B32:C32"/>
    <mergeCell ref="B33:C33"/>
    <mergeCell ref="B27:C27"/>
    <mergeCell ref="B36:C36"/>
    <mergeCell ref="B37:C37"/>
    <mergeCell ref="B46:C46"/>
    <mergeCell ref="A136:K136"/>
    <mergeCell ref="B38:C38"/>
    <mergeCell ref="B39:C39"/>
    <mergeCell ref="B51:C51"/>
    <mergeCell ref="B52:C52"/>
    <mergeCell ref="B53:C53"/>
    <mergeCell ref="B54:C54"/>
    <mergeCell ref="B130:C130"/>
    <mergeCell ref="B117:C117"/>
    <mergeCell ref="B118:C118"/>
    <mergeCell ref="B119:C119"/>
    <mergeCell ref="B120:C120"/>
    <mergeCell ref="B121:C121"/>
    <mergeCell ref="B122:C122"/>
    <mergeCell ref="B124:C124"/>
    <mergeCell ref="B125:C125"/>
    <mergeCell ref="B131:C131"/>
    <mergeCell ref="B132:C132"/>
    <mergeCell ref="B133:C133"/>
    <mergeCell ref="B134:C134"/>
    <mergeCell ref="B135:C135"/>
    <mergeCell ref="B137:C137"/>
    <mergeCell ref="H139:J139"/>
    <mergeCell ref="B40:C40"/>
    <mergeCell ref="B41:C41"/>
    <mergeCell ref="B42:C42"/>
    <mergeCell ref="B43:C43"/>
    <mergeCell ref="B44:C44"/>
    <mergeCell ref="B45:C45"/>
    <mergeCell ref="B55:C55"/>
    <mergeCell ref="B56:C56"/>
    <mergeCell ref="B123:C123"/>
    <mergeCell ref="B126:C126"/>
    <mergeCell ref="B127:C127"/>
    <mergeCell ref="B128:C128"/>
    <mergeCell ref="B129:C129"/>
    <mergeCell ref="B63:C63"/>
    <mergeCell ref="B64:C64"/>
    <mergeCell ref="B65:C65"/>
    <mergeCell ref="B66:C66"/>
    <mergeCell ref="B67:C67"/>
    <mergeCell ref="B68:C68"/>
    <mergeCell ref="B57:C57"/>
    <mergeCell ref="B58:C58"/>
    <mergeCell ref="B59:C59"/>
    <mergeCell ref="B60:C60"/>
    <mergeCell ref="B61:C61"/>
    <mergeCell ref="B62:C62"/>
    <mergeCell ref="B75:C75"/>
    <mergeCell ref="B76:C76"/>
    <mergeCell ref="B77:C77"/>
    <mergeCell ref="B78:C78"/>
    <mergeCell ref="B79:C79"/>
    <mergeCell ref="B80:C80"/>
    <mergeCell ref="B69:C69"/>
    <mergeCell ref="B70:C70"/>
    <mergeCell ref="B71:C71"/>
    <mergeCell ref="B72:C72"/>
    <mergeCell ref="B73:C73"/>
    <mergeCell ref="B74:C74"/>
    <mergeCell ref="B87:C87"/>
    <mergeCell ref="B88:C88"/>
    <mergeCell ref="B89:C89"/>
    <mergeCell ref="B90:C90"/>
    <mergeCell ref="B91:C91"/>
    <mergeCell ref="B92:C92"/>
    <mergeCell ref="B81:C81"/>
    <mergeCell ref="B82:C82"/>
    <mergeCell ref="B83:C83"/>
    <mergeCell ref="B84:C84"/>
    <mergeCell ref="B85:C85"/>
    <mergeCell ref="B86:C86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1:C111"/>
    <mergeCell ref="B112:C112"/>
    <mergeCell ref="B113:C113"/>
    <mergeCell ref="B114:C114"/>
    <mergeCell ref="B115:C115"/>
    <mergeCell ref="B116:C116"/>
    <mergeCell ref="B105:C105"/>
    <mergeCell ref="B106:C106"/>
    <mergeCell ref="B107:C107"/>
    <mergeCell ref="B108:C108"/>
    <mergeCell ref="B109:C109"/>
    <mergeCell ref="B110:C110"/>
  </mergeCells>
  <conditionalFormatting sqref="B10:K135">
    <cfRule type="expression" dxfId="11" priority="3" stopIfTrue="1">
      <formula>$I10&gt;0</formula>
    </cfRule>
    <cfRule type="expression" dxfId="10" priority="4" stopIfTrue="1">
      <formula>$K10=100%</formula>
    </cfRule>
  </conditionalFormatting>
  <conditionalFormatting sqref="D10:K135">
    <cfRule type="expression" dxfId="9" priority="1" stopIfTrue="1">
      <formula>$K10=""</formula>
    </cfRule>
    <cfRule type="expression" dxfId="8" priority="2" stopIfTrue="1">
      <formula>$K10&gt;100%</formula>
    </cfRule>
  </conditionalFormatting>
  <pageMargins left="0.7" right="0.7" top="0.75" bottom="0.75" header="0.3" footer="0.3"/>
  <pageSetup scale="78" orientation="portrait" verticalDpi="1200" r:id="rId1"/>
  <colBreaks count="1" manualBreakCount="1">
    <brk id="11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48"/>
  <sheetViews>
    <sheetView showGridLines="0" zoomScale="90" zoomScaleNormal="90" workbookViewId="0">
      <selection activeCell="I17" sqref="I17"/>
    </sheetView>
  </sheetViews>
  <sheetFormatPr defaultColWidth="6.59765625" defaultRowHeight="15.75"/>
  <cols>
    <col min="1" max="1" width="4.8984375" style="1" customWidth="1"/>
    <col min="2" max="2" width="5.69921875" style="1" customWidth="1"/>
    <col min="3" max="3" width="15.19921875" style="1" customWidth="1"/>
    <col min="4" max="5" width="10.59765625" style="1" customWidth="1"/>
    <col min="6" max="9" width="10.69921875" style="1" customWidth="1"/>
    <col min="10" max="10" width="10.59765625" style="1" customWidth="1"/>
    <col min="11" max="11" width="5.09765625" style="18" customWidth="1"/>
    <col min="12" max="13" width="4.69921875" style="1" customWidth="1"/>
    <col min="14" max="16384" width="6.59765625" style="1"/>
  </cols>
  <sheetData>
    <row r="1" spans="1:13" ht="16.350000000000001" customHeight="1">
      <c r="A1" s="171" t="s">
        <v>18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</row>
    <row r="2" spans="1:13">
      <c r="A2" s="174"/>
      <c r="B2" s="153"/>
      <c r="C2" s="153"/>
      <c r="D2" s="153"/>
      <c r="E2" s="153"/>
      <c r="F2" s="153"/>
      <c r="G2" s="153"/>
      <c r="H2" s="153"/>
      <c r="I2" s="153"/>
      <c r="J2" s="153"/>
      <c r="K2" s="175"/>
    </row>
    <row r="3" spans="1:13">
      <c r="A3" s="74"/>
      <c r="B3" s="13" t="s">
        <v>7</v>
      </c>
      <c r="C3" s="35" t="str">
        <f>'SCHEDULE OF VALUE WORKSHEET'!$B$3</f>
        <v>Angeleno Investments</v>
      </c>
      <c r="F3" s="6"/>
      <c r="G3" s="28"/>
      <c r="H3" s="55"/>
      <c r="I3" s="41" t="s">
        <v>5</v>
      </c>
      <c r="J3" s="38">
        <f>SUM(J137)</f>
        <v>0</v>
      </c>
      <c r="K3" s="80" t="e">
        <f>SUM(J3)/J7</f>
        <v>#REF!</v>
      </c>
    </row>
    <row r="4" spans="1:13" ht="16.350000000000001" customHeight="1">
      <c r="A4" s="74"/>
      <c r="B4" s="34" t="s">
        <v>0</v>
      </c>
      <c r="C4" s="36">
        <f ca="1">TODAY()</f>
        <v>45978</v>
      </c>
      <c r="D4" s="36"/>
      <c r="E4" s="36"/>
      <c r="F4" s="15"/>
      <c r="G4" s="3"/>
      <c r="H4" s="75"/>
      <c r="I4" s="41" t="s">
        <v>13</v>
      </c>
      <c r="J4" s="38" t="e">
        <f>SUM(H137)</f>
        <v>#REF!</v>
      </c>
      <c r="K4" s="80"/>
    </row>
    <row r="5" spans="1:13">
      <c r="A5" s="74"/>
      <c r="B5" s="34" t="s">
        <v>6</v>
      </c>
      <c r="C5" s="37" t="str">
        <f>'SCHEDULE OF VALUE WORKSHEET'!B5</f>
        <v>10910 Huston Street</v>
      </c>
      <c r="F5" s="56"/>
      <c r="G5" s="57"/>
      <c r="H5" s="75"/>
      <c r="I5" s="41" t="s">
        <v>14</v>
      </c>
      <c r="J5" s="38" t="e">
        <f>SUM(D137)</f>
        <v>#REF!</v>
      </c>
      <c r="K5" s="80"/>
    </row>
    <row r="6" spans="1:13">
      <c r="A6" s="74"/>
      <c r="B6" s="34" t="s">
        <v>20</v>
      </c>
      <c r="C6" s="48">
        <f>SUM(I137)</f>
        <v>0</v>
      </c>
      <c r="D6" s="6"/>
      <c r="E6" s="6"/>
      <c r="F6" s="6"/>
      <c r="G6" s="57"/>
      <c r="H6" s="75"/>
      <c r="I6" s="42" t="s">
        <v>17</v>
      </c>
      <c r="J6" s="38">
        <f>SUM(F137)</f>
        <v>0</v>
      </c>
      <c r="K6" s="80"/>
    </row>
    <row r="7" spans="1:13">
      <c r="A7" s="78"/>
      <c r="G7" s="28"/>
      <c r="H7" s="20"/>
      <c r="I7" s="34" t="s">
        <v>15</v>
      </c>
      <c r="J7" s="29" t="e">
        <f>SUM(G137)</f>
        <v>#REF!</v>
      </c>
      <c r="K7" s="80"/>
    </row>
    <row r="8" spans="1:13">
      <c r="A8" s="19"/>
      <c r="B8" s="169" t="s">
        <v>1</v>
      </c>
      <c r="C8" s="170"/>
      <c r="D8" s="177" t="s">
        <v>8</v>
      </c>
      <c r="E8" s="102" t="s">
        <v>24</v>
      </c>
      <c r="F8" s="176" t="s">
        <v>26</v>
      </c>
      <c r="G8" s="177" t="s">
        <v>9</v>
      </c>
      <c r="H8" s="30" t="s">
        <v>10</v>
      </c>
      <c r="I8" s="31" t="s">
        <v>12</v>
      </c>
      <c r="J8" s="178" t="s">
        <v>3</v>
      </c>
      <c r="K8" s="179"/>
      <c r="L8" s="12"/>
      <c r="M8" s="12"/>
    </row>
    <row r="9" spans="1:13" ht="14.1" customHeight="1">
      <c r="A9" s="19"/>
      <c r="B9" s="146"/>
      <c r="C9" s="147"/>
      <c r="D9" s="162"/>
      <c r="E9" s="103" t="s">
        <v>25</v>
      </c>
      <c r="F9" s="164"/>
      <c r="G9" s="162"/>
      <c r="H9" s="32" t="s">
        <v>22</v>
      </c>
      <c r="I9" s="33">
        <v>19</v>
      </c>
      <c r="J9" s="180" t="s">
        <v>4</v>
      </c>
      <c r="K9" s="181"/>
      <c r="L9" s="12"/>
      <c r="M9" s="12"/>
    </row>
    <row r="10" spans="1:13" ht="14.1" customHeight="1">
      <c r="A10" s="4">
        <f>'SCHEDULE OF VALUE WORKSHEET'!A7</f>
        <v>1</v>
      </c>
      <c r="B10" s="142" t="str">
        <f>'SCHEDULE OF VALUE WORKSHEET'!B7</f>
        <v>SOFT COSTS</v>
      </c>
      <c r="C10" s="143"/>
      <c r="D10" s="104">
        <f>SUM('SCHEDULE OF VALUE WORKSHEET'!E7)</f>
        <v>0</v>
      </c>
      <c r="E10" s="104">
        <f>SUM('Draw #18'!E10:F10)</f>
        <v>0</v>
      </c>
      <c r="F10" s="105">
        <v>0</v>
      </c>
      <c r="G10" s="104">
        <f>SUM('Draw #18'!G10)+F10</f>
        <v>0</v>
      </c>
      <c r="H10" s="109">
        <f>SUM(G10-J10)</f>
        <v>0</v>
      </c>
      <c r="I10" s="110">
        <v>0</v>
      </c>
      <c r="J10" s="109">
        <f>SUM(I10+'Draw #18'!J10)</f>
        <v>0</v>
      </c>
      <c r="K10" s="101" t="str">
        <f>IF(J10=0,"",J10/G10)</f>
        <v/>
      </c>
      <c r="L10" s="9"/>
      <c r="M10" s="9"/>
    </row>
    <row r="11" spans="1:13" ht="14.1" customHeight="1">
      <c r="A11" s="4">
        <f>'SCHEDULE OF VALUE WORKSHEET'!A8</f>
        <v>2</v>
      </c>
      <c r="B11" s="142" t="str">
        <f>'SCHEDULE OF VALUE WORKSHEET'!B8</f>
        <v>Site Security</v>
      </c>
      <c r="C11" s="143"/>
      <c r="D11" s="104">
        <f>SUM('SCHEDULE OF VALUE WORKSHEET'!E8)</f>
        <v>10580.63</v>
      </c>
      <c r="E11" s="104">
        <f>SUM('Draw #18'!E11:F11)</f>
        <v>0</v>
      </c>
      <c r="F11" s="105">
        <v>0</v>
      </c>
      <c r="G11" s="104">
        <f>SUM('Draw #18'!G11)+F11</f>
        <v>10580.63</v>
      </c>
      <c r="H11" s="109">
        <f t="shared" ref="H11:H74" si="0">SUM(G11-J11)</f>
        <v>10580.63</v>
      </c>
      <c r="I11" s="110">
        <v>0</v>
      </c>
      <c r="J11" s="109">
        <f>SUM(I11+'Draw #18'!J11)</f>
        <v>0</v>
      </c>
      <c r="K11" s="101" t="str">
        <f t="shared" ref="K11:K74" si="1">IF(J11=0,"",J11/G11)</f>
        <v/>
      </c>
      <c r="L11" s="9"/>
      <c r="M11" s="9"/>
    </row>
    <row r="12" spans="1:13" ht="14.1" customHeight="1">
      <c r="A12" s="4">
        <f>'SCHEDULE OF VALUE WORKSHEET'!A9</f>
        <v>3</v>
      </c>
      <c r="B12" s="142" t="str">
        <f>'SCHEDULE OF VALUE WORKSHEET'!B9</f>
        <v>Soils Inspection</v>
      </c>
      <c r="C12" s="143"/>
      <c r="D12" s="104">
        <f>SUM('SCHEDULE OF VALUE WORKSHEET'!E9)</f>
        <v>0</v>
      </c>
      <c r="E12" s="104">
        <f>SUM('Draw #18'!E12:F12)</f>
        <v>0</v>
      </c>
      <c r="F12" s="105">
        <v>0</v>
      </c>
      <c r="G12" s="104">
        <f>SUM('Draw #18'!G12)+F12</f>
        <v>0</v>
      </c>
      <c r="H12" s="109">
        <f t="shared" si="0"/>
        <v>0</v>
      </c>
      <c r="I12" s="110">
        <v>0</v>
      </c>
      <c r="J12" s="109">
        <f>SUM(I12+'Draw #18'!J12)</f>
        <v>0</v>
      </c>
      <c r="K12" s="101" t="str">
        <f t="shared" si="1"/>
        <v/>
      </c>
      <c r="L12" s="9"/>
      <c r="M12" s="9"/>
    </row>
    <row r="13" spans="1:13" ht="14.1" customHeight="1">
      <c r="A13" s="4">
        <f>'SCHEDULE OF VALUE WORKSHEET'!A10</f>
        <v>4</v>
      </c>
      <c r="B13" s="142" t="str">
        <f>'SCHEDULE OF VALUE WORKSHEET'!B10</f>
        <v>Offsites (Transformer)</v>
      </c>
      <c r="C13" s="143"/>
      <c r="D13" s="104">
        <f>SUM('SCHEDULE OF VALUE WORKSHEET'!E10)</f>
        <v>20000</v>
      </c>
      <c r="E13" s="104">
        <f>SUM('Draw #18'!E13:F13)</f>
        <v>0</v>
      </c>
      <c r="F13" s="105">
        <v>0</v>
      </c>
      <c r="G13" s="104">
        <f>SUM('Draw #18'!G13)+F13</f>
        <v>20000</v>
      </c>
      <c r="H13" s="109">
        <f t="shared" si="0"/>
        <v>20000</v>
      </c>
      <c r="I13" s="110">
        <v>0</v>
      </c>
      <c r="J13" s="109">
        <f>SUM(I13+'Draw #18'!J13)</f>
        <v>0</v>
      </c>
      <c r="K13" s="101" t="str">
        <f t="shared" si="1"/>
        <v/>
      </c>
      <c r="L13" s="9"/>
      <c r="M13" s="9"/>
    </row>
    <row r="14" spans="1:13" ht="14.1" customHeight="1">
      <c r="A14" s="4">
        <f>'SCHEDULE OF VALUE WORKSHEET'!A11</f>
        <v>5</v>
      </c>
      <c r="B14" s="142" t="str">
        <f>'SCHEDULE OF VALUE WORKSHEET'!B11</f>
        <v>Plan Check Fees</v>
      </c>
      <c r="C14" s="143"/>
      <c r="D14" s="104">
        <f>SUM('SCHEDULE OF VALUE WORKSHEET'!E11)</f>
        <v>0</v>
      </c>
      <c r="E14" s="104">
        <f>SUM('Draw #18'!E14:F14)</f>
        <v>0</v>
      </c>
      <c r="F14" s="105">
        <v>0</v>
      </c>
      <c r="G14" s="104">
        <f>SUM('Draw #18'!G14)+F14</f>
        <v>0</v>
      </c>
      <c r="H14" s="109">
        <f t="shared" si="0"/>
        <v>0</v>
      </c>
      <c r="I14" s="110">
        <v>0</v>
      </c>
      <c r="J14" s="109">
        <f>SUM(I14+'Draw #18'!J14)</f>
        <v>0</v>
      </c>
      <c r="K14" s="101" t="str">
        <f t="shared" si="1"/>
        <v/>
      </c>
      <c r="L14" s="9"/>
      <c r="M14" s="9"/>
    </row>
    <row r="15" spans="1:13" ht="14.1" customHeight="1">
      <c r="A15" s="4">
        <f>'SCHEDULE OF VALUE WORKSHEET'!A12</f>
        <v>6</v>
      </c>
      <c r="B15" s="142" t="str">
        <f>'SCHEDULE OF VALUE WORKSHEET'!B12</f>
        <v>Permits</v>
      </c>
      <c r="C15" s="143"/>
      <c r="D15" s="104">
        <f>SUM('SCHEDULE OF VALUE WORKSHEET'!E12)</f>
        <v>0</v>
      </c>
      <c r="E15" s="104">
        <f>SUM('Draw #18'!E15:F15)</f>
        <v>0</v>
      </c>
      <c r="F15" s="105">
        <v>0</v>
      </c>
      <c r="G15" s="104">
        <f>SUM('Draw #18'!G15)+F15</f>
        <v>0</v>
      </c>
      <c r="H15" s="109">
        <f t="shared" si="0"/>
        <v>0</v>
      </c>
      <c r="I15" s="110">
        <v>0</v>
      </c>
      <c r="J15" s="109">
        <f>SUM(I15+'Draw #18'!J15)</f>
        <v>0</v>
      </c>
      <c r="K15" s="101" t="str">
        <f t="shared" si="1"/>
        <v/>
      </c>
      <c r="L15" s="9"/>
      <c r="M15" s="9"/>
    </row>
    <row r="16" spans="1:13" ht="14.1" customHeight="1">
      <c r="A16" s="4">
        <f>'SCHEDULE OF VALUE WORKSHEET'!A13</f>
        <v>7</v>
      </c>
      <c r="B16" s="142" t="str">
        <f>'SCHEDULE OF VALUE WORKSHEET'!B13</f>
        <v>Survey</v>
      </c>
      <c r="C16" s="143"/>
      <c r="D16" s="104">
        <f>SUM('SCHEDULE OF VALUE WORKSHEET'!E13)</f>
        <v>0</v>
      </c>
      <c r="E16" s="104">
        <f>SUM('Draw #18'!E16:F16)</f>
        <v>0</v>
      </c>
      <c r="F16" s="105">
        <v>0</v>
      </c>
      <c r="G16" s="104">
        <f>SUM('Draw #18'!G16)+F16</f>
        <v>0</v>
      </c>
      <c r="H16" s="109">
        <f t="shared" si="0"/>
        <v>0</v>
      </c>
      <c r="I16" s="110">
        <v>0</v>
      </c>
      <c r="J16" s="109">
        <f>SUM(I16+'Draw #18'!J16)</f>
        <v>0</v>
      </c>
      <c r="K16" s="101" t="str">
        <f t="shared" si="1"/>
        <v/>
      </c>
      <c r="L16" s="9"/>
      <c r="M16" s="9"/>
    </row>
    <row r="17" spans="1:13" ht="14.1" customHeight="1">
      <c r="A17" s="4">
        <f>'SCHEDULE OF VALUE WORKSHEET'!A14</f>
        <v>8</v>
      </c>
      <c r="B17" s="142" t="str">
        <f>'SCHEDULE OF VALUE WORKSHEET'!B14</f>
        <v>Soils Engineer</v>
      </c>
      <c r="C17" s="143"/>
      <c r="D17" s="104">
        <f>SUM('SCHEDULE OF VALUE WORKSHEET'!E14)</f>
        <v>0</v>
      </c>
      <c r="E17" s="104">
        <f>SUM('Draw #18'!E17:F17)</f>
        <v>0</v>
      </c>
      <c r="F17" s="105">
        <v>0</v>
      </c>
      <c r="G17" s="104">
        <f>SUM('Draw #18'!G17)+F17</f>
        <v>0</v>
      </c>
      <c r="H17" s="109">
        <f t="shared" si="0"/>
        <v>0</v>
      </c>
      <c r="I17" s="110">
        <v>0</v>
      </c>
      <c r="J17" s="109">
        <f>SUM(I17+'Draw #18'!J17)</f>
        <v>0</v>
      </c>
      <c r="K17" s="101" t="str">
        <f t="shared" si="1"/>
        <v/>
      </c>
      <c r="L17" s="9"/>
      <c r="M17" s="9"/>
    </row>
    <row r="18" spans="1:13" ht="14.1" customHeight="1">
      <c r="A18" s="4">
        <f>'SCHEDULE OF VALUE WORKSHEET'!A15</f>
        <v>9</v>
      </c>
      <c r="B18" s="142" t="str">
        <f>'SCHEDULE OF VALUE WORKSHEET'!B15</f>
        <v>Soils Permit + T24</v>
      </c>
      <c r="C18" s="143"/>
      <c r="D18" s="104">
        <f>SUM('SCHEDULE OF VALUE WORKSHEET'!E15)</f>
        <v>2500</v>
      </c>
      <c r="E18" s="104">
        <f>SUM('Draw #18'!E18:F18)</f>
        <v>0</v>
      </c>
      <c r="F18" s="105">
        <v>0</v>
      </c>
      <c r="G18" s="104">
        <f>SUM('Draw #18'!G18)+F18</f>
        <v>2500</v>
      </c>
      <c r="H18" s="109">
        <f t="shared" si="0"/>
        <v>2500</v>
      </c>
      <c r="I18" s="110">
        <v>0</v>
      </c>
      <c r="J18" s="109">
        <f>SUM(I18+'Draw #18'!J18)</f>
        <v>0</v>
      </c>
      <c r="K18" s="101" t="str">
        <f t="shared" si="1"/>
        <v/>
      </c>
      <c r="L18" s="9"/>
      <c r="M18" s="9"/>
    </row>
    <row r="19" spans="1:13" ht="14.1" customHeight="1">
      <c r="A19" s="4">
        <f>'SCHEDULE OF VALUE WORKSHEET'!A16</f>
        <v>10</v>
      </c>
      <c r="B19" s="142" t="str">
        <f>'SCHEDULE OF VALUE WORKSHEET'!B16</f>
        <v>Special Inspections - Deputy</v>
      </c>
      <c r="C19" s="143"/>
      <c r="D19" s="104">
        <f>SUM('SCHEDULE OF VALUE WORKSHEET'!E16)</f>
        <v>15000</v>
      </c>
      <c r="E19" s="104">
        <f>SUM('Draw #18'!E19:F19)</f>
        <v>0</v>
      </c>
      <c r="F19" s="105">
        <v>0</v>
      </c>
      <c r="G19" s="104">
        <f>SUM('Draw #18'!G19)+F19</f>
        <v>15000</v>
      </c>
      <c r="H19" s="109">
        <f t="shared" si="0"/>
        <v>15000</v>
      </c>
      <c r="I19" s="110">
        <v>0</v>
      </c>
      <c r="J19" s="109">
        <f>SUM(I19+'Draw #18'!J19)</f>
        <v>0</v>
      </c>
      <c r="K19" s="101" t="str">
        <f t="shared" si="1"/>
        <v/>
      </c>
      <c r="L19" s="9"/>
      <c r="M19" s="9"/>
    </row>
    <row r="20" spans="1:13" ht="14.1" customHeight="1">
      <c r="A20" s="4">
        <f>'SCHEDULE OF VALUE WORKSHEET'!A17</f>
        <v>11</v>
      </c>
      <c r="B20" s="142" t="str">
        <f>'SCHEDULE OF VALUE WORKSHEET'!B17</f>
        <v>Architect</v>
      </c>
      <c r="C20" s="143"/>
      <c r="D20" s="104">
        <f>SUM('SCHEDULE OF VALUE WORKSHEET'!E17)</f>
        <v>0</v>
      </c>
      <c r="E20" s="104">
        <f>SUM('Draw #18'!E20:F20)</f>
        <v>0</v>
      </c>
      <c r="F20" s="105">
        <v>0</v>
      </c>
      <c r="G20" s="104">
        <f>SUM('Draw #18'!G20)+F20</f>
        <v>0</v>
      </c>
      <c r="H20" s="109">
        <f t="shared" si="0"/>
        <v>0</v>
      </c>
      <c r="I20" s="110">
        <v>0</v>
      </c>
      <c r="J20" s="109">
        <f>SUM(I20+'Draw #18'!J20)</f>
        <v>0</v>
      </c>
      <c r="K20" s="101" t="str">
        <f t="shared" si="1"/>
        <v/>
      </c>
      <c r="L20" s="9"/>
      <c r="M20" s="9"/>
    </row>
    <row r="21" spans="1:13" ht="14.1" customHeight="1">
      <c r="A21" s="4">
        <f>'SCHEDULE OF VALUE WORKSHEET'!A18</f>
        <v>12</v>
      </c>
      <c r="B21" s="142" t="str">
        <f>'SCHEDULE OF VALUE WORKSHEET'!B18</f>
        <v>Structural Engineer</v>
      </c>
      <c r="C21" s="143"/>
      <c r="D21" s="104">
        <f>SUM('SCHEDULE OF VALUE WORKSHEET'!E18)</f>
        <v>0</v>
      </c>
      <c r="E21" s="104">
        <f>SUM('Draw #18'!E21:F21)</f>
        <v>0</v>
      </c>
      <c r="F21" s="105">
        <v>0</v>
      </c>
      <c r="G21" s="104">
        <f>SUM('Draw #18'!G21)+F21</f>
        <v>0</v>
      </c>
      <c r="H21" s="109">
        <f t="shared" si="0"/>
        <v>0</v>
      </c>
      <c r="I21" s="110">
        <v>0</v>
      </c>
      <c r="J21" s="109">
        <f>SUM(I21+'Draw #18'!J21)</f>
        <v>0</v>
      </c>
      <c r="K21" s="101" t="str">
        <f t="shared" si="1"/>
        <v/>
      </c>
      <c r="L21" s="9"/>
      <c r="M21" s="9"/>
    </row>
    <row r="22" spans="1:13" ht="14.1" customHeight="1">
      <c r="A22" s="4">
        <f>'SCHEDULE OF VALUE WORKSHEET'!A19</f>
        <v>13</v>
      </c>
      <c r="B22" s="142" t="str">
        <f>'SCHEDULE OF VALUE WORKSHEET'!B19</f>
        <v>Structural Observation</v>
      </c>
      <c r="C22" s="143"/>
      <c r="D22" s="104">
        <f>SUM('SCHEDULE OF VALUE WORKSHEET'!E19)</f>
        <v>8000</v>
      </c>
      <c r="E22" s="104">
        <f>SUM('Draw #18'!E22:F22)</f>
        <v>0</v>
      </c>
      <c r="F22" s="105">
        <v>0</v>
      </c>
      <c r="G22" s="104">
        <f>SUM('Draw #18'!G22)+F22</f>
        <v>8000</v>
      </c>
      <c r="H22" s="109">
        <f t="shared" si="0"/>
        <v>8000</v>
      </c>
      <c r="I22" s="110">
        <v>0</v>
      </c>
      <c r="J22" s="109">
        <f>SUM(I22+'Draw #18'!J22)</f>
        <v>0</v>
      </c>
      <c r="K22" s="101" t="str">
        <f t="shared" si="1"/>
        <v/>
      </c>
      <c r="L22" s="9"/>
      <c r="M22" s="9"/>
    </row>
    <row r="23" spans="1:13" ht="14.1" customHeight="1">
      <c r="A23" s="4">
        <f>'SCHEDULE OF VALUE WORKSHEET'!A20</f>
        <v>14</v>
      </c>
      <c r="B23" s="142" t="str">
        <f>'SCHEDULE OF VALUE WORKSHEET'!B20</f>
        <v>Civil Engineering</v>
      </c>
      <c r="C23" s="143"/>
      <c r="D23" s="104">
        <f>SUM('SCHEDULE OF VALUE WORKSHEET'!E20)</f>
        <v>0</v>
      </c>
      <c r="E23" s="104">
        <f>SUM('Draw #18'!E23:F23)</f>
        <v>0</v>
      </c>
      <c r="F23" s="105">
        <v>0</v>
      </c>
      <c r="G23" s="104">
        <f>SUM('Draw #18'!G23)+F23</f>
        <v>0</v>
      </c>
      <c r="H23" s="109">
        <f t="shared" si="0"/>
        <v>0</v>
      </c>
      <c r="I23" s="110">
        <v>0</v>
      </c>
      <c r="J23" s="109">
        <f>SUM(I23+'Draw #18'!J23)</f>
        <v>0</v>
      </c>
      <c r="K23" s="101" t="str">
        <f t="shared" si="1"/>
        <v/>
      </c>
      <c r="L23" s="9"/>
      <c r="M23" s="9"/>
    </row>
    <row r="24" spans="1:13" ht="14.1" customHeight="1">
      <c r="A24" s="4">
        <f>'SCHEDULE OF VALUE WORKSHEET'!A21</f>
        <v>15</v>
      </c>
      <c r="B24" s="142" t="str">
        <f>'SCHEDULE OF VALUE WORKSHEET'!B21</f>
        <v>Grading Permit</v>
      </c>
      <c r="C24" s="143"/>
      <c r="D24" s="104">
        <f>SUM('SCHEDULE OF VALUE WORKSHEET'!E21)</f>
        <v>0</v>
      </c>
      <c r="E24" s="104">
        <f>SUM('Draw #18'!E24:F24)</f>
        <v>0</v>
      </c>
      <c r="F24" s="105">
        <v>0</v>
      </c>
      <c r="G24" s="104">
        <f>SUM('Draw #18'!G24)+F24</f>
        <v>0</v>
      </c>
      <c r="H24" s="109">
        <f t="shared" si="0"/>
        <v>0</v>
      </c>
      <c r="I24" s="110">
        <v>0</v>
      </c>
      <c r="J24" s="109">
        <f>SUM(I24+'Draw #18'!J24)</f>
        <v>0</v>
      </c>
      <c r="K24" s="101" t="str">
        <f t="shared" si="1"/>
        <v/>
      </c>
      <c r="L24" s="9"/>
      <c r="M24" s="9"/>
    </row>
    <row r="25" spans="1:13" ht="14.1" customHeight="1">
      <c r="A25" s="4">
        <f>'SCHEDULE OF VALUE WORKSHEET'!A22</f>
        <v>16</v>
      </c>
      <c r="B25" s="142" t="str">
        <f>'SCHEDULE OF VALUE WORKSHEET'!B22</f>
        <v>Landscape Architect/Designer</v>
      </c>
      <c r="C25" s="143"/>
      <c r="D25" s="104">
        <f>SUM('SCHEDULE OF VALUE WORKSHEET'!E22)</f>
        <v>0</v>
      </c>
      <c r="E25" s="104">
        <f>SUM('Draw #18'!E25:F25)</f>
        <v>0</v>
      </c>
      <c r="F25" s="105">
        <v>0</v>
      </c>
      <c r="G25" s="104">
        <f>SUM('Draw #18'!G25)+F25</f>
        <v>0</v>
      </c>
      <c r="H25" s="109">
        <f t="shared" si="0"/>
        <v>0</v>
      </c>
      <c r="I25" s="110">
        <v>0</v>
      </c>
      <c r="J25" s="109">
        <f>SUM(I25+'Draw #18'!J25)</f>
        <v>0</v>
      </c>
      <c r="K25" s="101" t="str">
        <f t="shared" si="1"/>
        <v/>
      </c>
      <c r="L25" s="9"/>
      <c r="M25" s="9"/>
    </row>
    <row r="26" spans="1:13" ht="14.1" customHeight="1">
      <c r="A26" s="4">
        <f>'SCHEDULE OF VALUE WORKSHEET'!A23</f>
        <v>17</v>
      </c>
      <c r="B26" s="142" t="str">
        <f>'SCHEDULE OF VALUE WORKSHEET'!B23</f>
        <v>Driveway Apron Permit</v>
      </c>
      <c r="C26" s="143"/>
      <c r="D26" s="104">
        <f>SUM('SCHEDULE OF VALUE WORKSHEET'!E23)</f>
        <v>2500</v>
      </c>
      <c r="E26" s="104">
        <f>SUM('Draw #18'!E26:F26)</f>
        <v>0</v>
      </c>
      <c r="F26" s="105">
        <v>0</v>
      </c>
      <c r="G26" s="104">
        <f>SUM('Draw #18'!G26)+F26</f>
        <v>2500</v>
      </c>
      <c r="H26" s="109">
        <f t="shared" si="0"/>
        <v>2500</v>
      </c>
      <c r="I26" s="110">
        <v>0</v>
      </c>
      <c r="J26" s="109">
        <f>SUM(I26+'Draw #18'!J26)</f>
        <v>0</v>
      </c>
      <c r="K26" s="101" t="str">
        <f t="shared" si="1"/>
        <v/>
      </c>
      <c r="L26" s="9"/>
      <c r="M26" s="9"/>
    </row>
    <row r="27" spans="1:13" ht="14.1" customHeight="1">
      <c r="A27" s="4">
        <f>'SCHEDULE OF VALUE WORKSHEET'!A24</f>
        <v>18</v>
      </c>
      <c r="B27" s="142" t="str">
        <f>'SCHEDULE OF VALUE WORKSHEET'!B24</f>
        <v>Punch List - Misc.</v>
      </c>
      <c r="C27" s="143"/>
      <c r="D27" s="104">
        <f>SUM('SCHEDULE OF VALUE WORKSHEET'!E24)</f>
        <v>21962.77</v>
      </c>
      <c r="E27" s="104">
        <f>SUM('Draw #18'!E27:F27)</f>
        <v>0</v>
      </c>
      <c r="F27" s="105">
        <v>0</v>
      </c>
      <c r="G27" s="104">
        <f>SUM('Draw #18'!G27)+F27</f>
        <v>21962.77</v>
      </c>
      <c r="H27" s="109">
        <f t="shared" si="0"/>
        <v>21962.77</v>
      </c>
      <c r="I27" s="110">
        <v>0</v>
      </c>
      <c r="J27" s="109">
        <f>SUM(I27+'Draw #18'!J27)</f>
        <v>0</v>
      </c>
      <c r="K27" s="101" t="str">
        <f t="shared" si="1"/>
        <v/>
      </c>
      <c r="L27" s="9"/>
      <c r="M27" s="9"/>
    </row>
    <row r="28" spans="1:13" ht="14.1" customHeight="1">
      <c r="A28" s="4">
        <f>'SCHEDULE OF VALUE WORKSHEET'!A25</f>
        <v>19</v>
      </c>
      <c r="B28" s="142" t="str">
        <f>'SCHEDULE OF VALUE WORKSHEET'!B25</f>
        <v>EBM, Low Voltage, Landscape, Waterproofing CA</v>
      </c>
      <c r="C28" s="143"/>
      <c r="D28" s="104">
        <f>SUM('SCHEDULE OF VALUE WORKSHEET'!E25)</f>
        <v>0</v>
      </c>
      <c r="E28" s="104">
        <f>SUM('Draw #18'!E28:F28)</f>
        <v>0</v>
      </c>
      <c r="F28" s="105">
        <v>0</v>
      </c>
      <c r="G28" s="104">
        <f>SUM('Draw #18'!G28)+F28</f>
        <v>0</v>
      </c>
      <c r="H28" s="109">
        <f t="shared" si="0"/>
        <v>0</v>
      </c>
      <c r="I28" s="110">
        <v>0</v>
      </c>
      <c r="J28" s="109">
        <f>SUM(I28+'Draw #18'!J28)</f>
        <v>0</v>
      </c>
      <c r="K28" s="101" t="str">
        <f t="shared" si="1"/>
        <v/>
      </c>
      <c r="L28" s="9"/>
      <c r="M28" s="9"/>
    </row>
    <row r="29" spans="1:13" ht="14.1" customHeight="1">
      <c r="A29" s="4">
        <f>'SCHEDULE OF VALUE WORKSHEET'!A26</f>
        <v>20</v>
      </c>
      <c r="B29" s="142" t="str">
        <f>'SCHEDULE OF VALUE WORKSHEET'!B26</f>
        <v>Project Accounting/Tax Filing</v>
      </c>
      <c r="C29" s="143"/>
      <c r="D29" s="104">
        <f>SUM('SCHEDULE OF VALUE WORKSHEET'!E26)</f>
        <v>12994.01</v>
      </c>
      <c r="E29" s="104">
        <f>SUM('Draw #18'!E29:F29)</f>
        <v>0</v>
      </c>
      <c r="F29" s="105">
        <v>0</v>
      </c>
      <c r="G29" s="104">
        <f>SUM('Draw #18'!G29)+F29</f>
        <v>12994.01</v>
      </c>
      <c r="H29" s="109">
        <f t="shared" si="0"/>
        <v>12994.01</v>
      </c>
      <c r="I29" s="110">
        <v>0</v>
      </c>
      <c r="J29" s="109">
        <f>SUM(I29+'Draw #18'!J29)</f>
        <v>0</v>
      </c>
      <c r="K29" s="101" t="str">
        <f t="shared" si="1"/>
        <v/>
      </c>
      <c r="L29" s="9"/>
      <c r="M29" s="9"/>
    </row>
    <row r="30" spans="1:13" ht="14.1" customHeight="1">
      <c r="A30" s="4">
        <f>'SCHEDULE OF VALUE WORKSHEET'!A27</f>
        <v>21</v>
      </c>
      <c r="B30" s="142" t="str">
        <f>'SCHEDULE OF VALUE WORKSHEET'!B27</f>
        <v>Legal &amp; Professional Fees</v>
      </c>
      <c r="C30" s="143"/>
      <c r="D30" s="104">
        <f>SUM('SCHEDULE OF VALUE WORKSHEET'!E27)</f>
        <v>873.38999999999942</v>
      </c>
      <c r="E30" s="104">
        <f>SUM('Draw #18'!E30:F30)</f>
        <v>0</v>
      </c>
      <c r="F30" s="105">
        <v>0</v>
      </c>
      <c r="G30" s="104">
        <f>SUM('Draw #18'!G30)+F30</f>
        <v>873.38999999999942</v>
      </c>
      <c r="H30" s="109">
        <f t="shared" si="0"/>
        <v>873.38999999999942</v>
      </c>
      <c r="I30" s="110">
        <v>0</v>
      </c>
      <c r="J30" s="109">
        <f>SUM(I30+'Draw #18'!J30)</f>
        <v>0</v>
      </c>
      <c r="K30" s="101" t="str">
        <f t="shared" si="1"/>
        <v/>
      </c>
      <c r="L30" s="9"/>
      <c r="M30" s="9"/>
    </row>
    <row r="31" spans="1:13" ht="14.1" customHeight="1">
      <c r="A31" s="4">
        <f>'SCHEDULE OF VALUE WORKSHEET'!A28</f>
        <v>22</v>
      </c>
      <c r="B31" s="142" t="str">
        <f>'SCHEDULE OF VALUE WORKSHEET'!B28</f>
        <v>Sewer CCTV and inspection</v>
      </c>
      <c r="C31" s="143"/>
      <c r="D31" s="104">
        <f>SUM('SCHEDULE OF VALUE WORKSHEET'!E28)</f>
        <v>0</v>
      </c>
      <c r="E31" s="104">
        <f>SUM('Draw #18'!E31:F31)</f>
        <v>0</v>
      </c>
      <c r="F31" s="105">
        <v>0</v>
      </c>
      <c r="G31" s="104">
        <f>SUM('Draw #18'!G31)+F31</f>
        <v>0</v>
      </c>
      <c r="H31" s="109">
        <f t="shared" si="0"/>
        <v>0</v>
      </c>
      <c r="I31" s="110">
        <v>0</v>
      </c>
      <c r="J31" s="109">
        <f>SUM(I31+'Draw #18'!J31)</f>
        <v>0</v>
      </c>
      <c r="K31" s="101" t="str">
        <f t="shared" si="1"/>
        <v/>
      </c>
      <c r="L31" s="9"/>
      <c r="M31" s="9"/>
    </row>
    <row r="32" spans="1:13" ht="14.1" customHeight="1">
      <c r="A32" s="4">
        <f>'SCHEDULE OF VALUE WORKSHEET'!A29</f>
        <v>23</v>
      </c>
      <c r="B32" s="142" t="str">
        <f>'SCHEDULE OF VALUE WORKSHEET'!B29</f>
        <v>Environmental Phase I</v>
      </c>
      <c r="C32" s="143"/>
      <c r="D32" s="104">
        <f>SUM('SCHEDULE OF VALUE WORKSHEET'!E29)</f>
        <v>0</v>
      </c>
      <c r="E32" s="104">
        <f>SUM('Draw #18'!E32:F32)</f>
        <v>0</v>
      </c>
      <c r="F32" s="105">
        <v>0</v>
      </c>
      <c r="G32" s="104">
        <f>SUM('Draw #18'!G32)+F32</f>
        <v>0</v>
      </c>
      <c r="H32" s="109">
        <f t="shared" si="0"/>
        <v>0</v>
      </c>
      <c r="I32" s="110">
        <v>0</v>
      </c>
      <c r="J32" s="109">
        <f>SUM(I32+'Draw #18'!J32)</f>
        <v>0</v>
      </c>
      <c r="K32" s="101" t="str">
        <f t="shared" si="1"/>
        <v/>
      </c>
      <c r="L32" s="9"/>
      <c r="M32" s="9"/>
    </row>
    <row r="33" spans="1:13" ht="14.1" customHeight="1">
      <c r="A33" s="4">
        <f>'SCHEDULE OF VALUE WORKSHEET'!A30</f>
        <v>24</v>
      </c>
      <c r="B33" s="142" t="str">
        <f>'SCHEDULE OF VALUE WORKSHEET'!B30</f>
        <v>Dry Utility Consultant</v>
      </c>
      <c r="C33" s="143"/>
      <c r="D33" s="104">
        <f>SUM('SCHEDULE OF VALUE WORKSHEET'!E30)</f>
        <v>0</v>
      </c>
      <c r="E33" s="104">
        <f>SUM('Draw #18'!E33:F33)</f>
        <v>0</v>
      </c>
      <c r="F33" s="105">
        <v>0</v>
      </c>
      <c r="G33" s="104">
        <f>SUM('Draw #18'!G33)+F33</f>
        <v>0</v>
      </c>
      <c r="H33" s="109">
        <f t="shared" si="0"/>
        <v>0</v>
      </c>
      <c r="I33" s="110">
        <v>0</v>
      </c>
      <c r="J33" s="109">
        <f>SUM(I33+'Draw #18'!J33)</f>
        <v>0</v>
      </c>
      <c r="K33" s="101" t="str">
        <f t="shared" si="1"/>
        <v/>
      </c>
      <c r="L33" s="9"/>
      <c r="M33" s="9"/>
    </row>
    <row r="34" spans="1:13" ht="14.1" customHeight="1">
      <c r="A34" s="4">
        <f>'SCHEDULE OF VALUE WORKSHEET'!A31</f>
        <v>25</v>
      </c>
      <c r="B34" s="142" t="str">
        <f>'SCHEDULE OF VALUE WORKSHEET'!B31</f>
        <v>Dry Utility Survey</v>
      </c>
      <c r="C34" s="143"/>
      <c r="D34" s="104">
        <f>SUM('SCHEDULE OF VALUE WORKSHEET'!E31)</f>
        <v>5000</v>
      </c>
      <c r="E34" s="104">
        <f>SUM('Draw #18'!E34:F34)</f>
        <v>0</v>
      </c>
      <c r="F34" s="105">
        <v>0</v>
      </c>
      <c r="G34" s="104">
        <f>SUM('Draw #18'!G34)+F34</f>
        <v>5000</v>
      </c>
      <c r="H34" s="109">
        <f t="shared" si="0"/>
        <v>5000</v>
      </c>
      <c r="I34" s="110">
        <v>0</v>
      </c>
      <c r="J34" s="109">
        <f>SUM(I34+'Draw #18'!J34)</f>
        <v>0</v>
      </c>
      <c r="K34" s="101" t="str">
        <f t="shared" si="1"/>
        <v/>
      </c>
      <c r="L34" s="9"/>
      <c r="M34" s="9"/>
    </row>
    <row r="35" spans="1:13" ht="14.1" customHeight="1">
      <c r="A35" s="4">
        <f>'SCHEDULE OF VALUE WORKSHEET'!A32</f>
        <v>26</v>
      </c>
      <c r="B35" s="142" t="str">
        <f>'SCHEDULE OF VALUE WORKSHEET'!B32</f>
        <v>MEP</v>
      </c>
      <c r="C35" s="143"/>
      <c r="D35" s="104">
        <f>SUM('SCHEDULE OF VALUE WORKSHEET'!E32)</f>
        <v>0</v>
      </c>
      <c r="E35" s="104">
        <f>SUM('Draw #18'!E35:F35)</f>
        <v>0</v>
      </c>
      <c r="F35" s="105">
        <v>0</v>
      </c>
      <c r="G35" s="104">
        <f>SUM('Draw #18'!G35)+F35</f>
        <v>0</v>
      </c>
      <c r="H35" s="109">
        <f t="shared" si="0"/>
        <v>0</v>
      </c>
      <c r="I35" s="110">
        <v>0</v>
      </c>
      <c r="J35" s="109">
        <f>SUM(I35+'Draw #18'!J35)</f>
        <v>0</v>
      </c>
      <c r="K35" s="101" t="str">
        <f t="shared" si="1"/>
        <v/>
      </c>
      <c r="L35" s="9"/>
      <c r="M35" s="9"/>
    </row>
    <row r="36" spans="1:13" ht="14.1" customHeight="1">
      <c r="A36" s="4">
        <f>'SCHEDULE OF VALUE WORKSHEET'!A33</f>
        <v>27</v>
      </c>
      <c r="B36" s="142" t="str">
        <f>'SCHEDULE OF VALUE WORKSHEET'!B33</f>
        <v>Civil Construction Administration</v>
      </c>
      <c r="C36" s="143"/>
      <c r="D36" s="104">
        <f>SUM('SCHEDULE OF VALUE WORKSHEET'!E33)</f>
        <v>5000</v>
      </c>
      <c r="E36" s="104">
        <f>SUM('Draw #18'!E36:F36)</f>
        <v>0</v>
      </c>
      <c r="F36" s="105">
        <v>0</v>
      </c>
      <c r="G36" s="104">
        <f>SUM('Draw #18'!G36)+F36</f>
        <v>5000</v>
      </c>
      <c r="H36" s="109">
        <f t="shared" si="0"/>
        <v>5000</v>
      </c>
      <c r="I36" s="110">
        <v>0</v>
      </c>
      <c r="J36" s="109">
        <f>SUM(I36+'Draw #18'!J36)</f>
        <v>0</v>
      </c>
      <c r="K36" s="101" t="str">
        <f t="shared" si="1"/>
        <v/>
      </c>
      <c r="L36" s="9"/>
      <c r="M36" s="9"/>
    </row>
    <row r="37" spans="1:13" ht="14.1" customHeight="1">
      <c r="A37" s="4">
        <f>'SCHEDULE OF VALUE WORKSHEET'!A34</f>
        <v>28</v>
      </c>
      <c r="B37" s="142" t="str">
        <f>'SCHEDULE OF VALUE WORKSHEET'!B34</f>
        <v>Permit Clearances &amp; Agency Reviews</v>
      </c>
      <c r="C37" s="143"/>
      <c r="D37" s="104">
        <f>SUM('SCHEDULE OF VALUE WORKSHEET'!E34)</f>
        <v>0</v>
      </c>
      <c r="E37" s="104">
        <f>SUM('Draw #18'!E37:F37)</f>
        <v>0</v>
      </c>
      <c r="F37" s="105">
        <v>0</v>
      </c>
      <c r="G37" s="104">
        <f>SUM('Draw #18'!G37)+F37</f>
        <v>0</v>
      </c>
      <c r="H37" s="109">
        <f t="shared" si="0"/>
        <v>0</v>
      </c>
      <c r="I37" s="110">
        <v>0</v>
      </c>
      <c r="J37" s="109">
        <f>SUM(I37+'Draw #18'!J37)</f>
        <v>0</v>
      </c>
      <c r="K37" s="101" t="str">
        <f t="shared" si="1"/>
        <v/>
      </c>
      <c r="L37" s="9"/>
      <c r="M37" s="9"/>
    </row>
    <row r="38" spans="1:13" ht="14.1" customHeight="1">
      <c r="A38" s="4">
        <f>'SCHEDULE OF VALUE WORKSHEET'!A35</f>
        <v>29</v>
      </c>
      <c r="B38" s="142" t="str">
        <f>'SCHEDULE OF VALUE WORKSHEET'!B35</f>
        <v>Demo Permit Fees</v>
      </c>
      <c r="C38" s="143"/>
      <c r="D38" s="104">
        <f>SUM('SCHEDULE OF VALUE WORKSHEET'!E35)</f>
        <v>500</v>
      </c>
      <c r="E38" s="104">
        <f>SUM('Draw #18'!E38:F38)</f>
        <v>0</v>
      </c>
      <c r="F38" s="105">
        <v>0</v>
      </c>
      <c r="G38" s="104">
        <f>SUM('Draw #18'!G38)+F38</f>
        <v>500</v>
      </c>
      <c r="H38" s="109">
        <f t="shared" si="0"/>
        <v>500</v>
      </c>
      <c r="I38" s="110">
        <v>0</v>
      </c>
      <c r="J38" s="109">
        <f>SUM(I38+'Draw #18'!J38)</f>
        <v>0</v>
      </c>
      <c r="K38" s="101" t="str">
        <f t="shared" si="1"/>
        <v/>
      </c>
      <c r="L38" s="9"/>
      <c r="M38" s="9"/>
    </row>
    <row r="39" spans="1:13" ht="14.1" customHeight="1">
      <c r="A39" s="4">
        <f>'SCHEDULE OF VALUE WORKSHEET'!A36</f>
        <v>30</v>
      </c>
      <c r="B39" s="142" t="str">
        <f>'SCHEDULE OF VALUE WORKSHEET'!B36</f>
        <v>MEP Fees</v>
      </c>
      <c r="C39" s="143"/>
      <c r="D39" s="104">
        <f>SUM('SCHEDULE OF VALUE WORKSHEET'!E36)</f>
        <v>0</v>
      </c>
      <c r="E39" s="104">
        <f>SUM('Draw #18'!E39:F39)</f>
        <v>0</v>
      </c>
      <c r="F39" s="105">
        <v>0</v>
      </c>
      <c r="G39" s="104">
        <f>SUM('Draw #18'!G39)+F39</f>
        <v>0</v>
      </c>
      <c r="H39" s="109">
        <f t="shared" si="0"/>
        <v>0</v>
      </c>
      <c r="I39" s="110">
        <v>0</v>
      </c>
      <c r="J39" s="109">
        <f>SUM(I39+'Draw #18'!J39)</f>
        <v>0</v>
      </c>
      <c r="K39" s="101" t="str">
        <f t="shared" si="1"/>
        <v/>
      </c>
      <c r="L39" s="9"/>
      <c r="M39" s="9"/>
    </row>
    <row r="40" spans="1:13" ht="14.1" customHeight="1">
      <c r="A40" s="4">
        <f>'SCHEDULE OF VALUE WORKSHEET'!A37</f>
        <v>31</v>
      </c>
      <c r="B40" s="142" t="str">
        <f>'SCHEDULE OF VALUE WORKSHEET'!B37</f>
        <v>Agency Signoffs</v>
      </c>
      <c r="C40" s="143"/>
      <c r="D40" s="104">
        <f>SUM('SCHEDULE OF VALUE WORKSHEET'!E37)</f>
        <v>0</v>
      </c>
      <c r="E40" s="104">
        <f>SUM('Draw #18'!E40:F40)</f>
        <v>0</v>
      </c>
      <c r="F40" s="105">
        <v>0</v>
      </c>
      <c r="G40" s="104">
        <f>SUM('Draw #18'!G40)+F40</f>
        <v>0</v>
      </c>
      <c r="H40" s="109">
        <f t="shared" si="0"/>
        <v>0</v>
      </c>
      <c r="I40" s="110">
        <v>0</v>
      </c>
      <c r="J40" s="109">
        <f>SUM(I40+'Draw #18'!J40)</f>
        <v>0</v>
      </c>
      <c r="K40" s="101" t="str">
        <f t="shared" si="1"/>
        <v/>
      </c>
      <c r="L40" s="9"/>
      <c r="M40" s="9"/>
    </row>
    <row r="41" spans="1:13" ht="14.1" customHeight="1">
      <c r="A41" s="4">
        <f>'SCHEDULE OF VALUE WORKSHEET'!A38</f>
        <v>32</v>
      </c>
      <c r="B41" s="142" t="str">
        <f>'SCHEDULE OF VALUE WORKSHEET'!B38</f>
        <v>Specifications Writer Consultant</v>
      </c>
      <c r="C41" s="143"/>
      <c r="D41" s="104">
        <f>SUM('SCHEDULE OF VALUE WORKSHEET'!E38)</f>
        <v>2000</v>
      </c>
      <c r="E41" s="104">
        <f>SUM('Draw #18'!E41:F41)</f>
        <v>0</v>
      </c>
      <c r="F41" s="105">
        <v>0</v>
      </c>
      <c r="G41" s="104">
        <f>SUM('Draw #18'!G41)+F41</f>
        <v>2000</v>
      </c>
      <c r="H41" s="109">
        <f t="shared" si="0"/>
        <v>2000</v>
      </c>
      <c r="I41" s="110">
        <v>0</v>
      </c>
      <c r="J41" s="109">
        <f>SUM(I41+'Draw #18'!J41)</f>
        <v>0</v>
      </c>
      <c r="K41" s="101" t="str">
        <f t="shared" si="1"/>
        <v/>
      </c>
      <c r="L41" s="9"/>
      <c r="M41" s="9"/>
    </row>
    <row r="42" spans="1:13" ht="14.1" customHeight="1">
      <c r="A42" s="4">
        <f>'SCHEDULE OF VALUE WORKSHEET'!A39</f>
        <v>33</v>
      </c>
      <c r="B42" s="142" t="str">
        <f>'SCHEDULE OF VALUE WORKSHEET'!B39</f>
        <v>Construction Consultant</v>
      </c>
      <c r="C42" s="143"/>
      <c r="D42" s="104">
        <f>SUM('SCHEDULE OF VALUE WORKSHEET'!E39)</f>
        <v>0</v>
      </c>
      <c r="E42" s="104">
        <f>SUM('Draw #18'!E42:F42)</f>
        <v>0</v>
      </c>
      <c r="F42" s="105">
        <v>0</v>
      </c>
      <c r="G42" s="104">
        <f>SUM('Draw #18'!G42)+F42</f>
        <v>0</v>
      </c>
      <c r="H42" s="109">
        <f t="shared" si="0"/>
        <v>0</v>
      </c>
      <c r="I42" s="110">
        <v>0</v>
      </c>
      <c r="J42" s="109">
        <f>SUM(I42+'Draw #18'!J42)</f>
        <v>0</v>
      </c>
      <c r="K42" s="101" t="str">
        <f t="shared" si="1"/>
        <v/>
      </c>
      <c r="L42" s="9"/>
      <c r="M42" s="9"/>
    </row>
    <row r="43" spans="1:13" ht="14.1" customHeight="1">
      <c r="A43" s="4">
        <f>'SCHEDULE OF VALUE WORKSHEET'!A40</f>
        <v>34</v>
      </c>
      <c r="B43" s="142" t="str">
        <f>'SCHEDULE OF VALUE WORKSHEET'!B40</f>
        <v>Low Voltage Consultant</v>
      </c>
      <c r="C43" s="143"/>
      <c r="D43" s="104">
        <f>SUM('SCHEDULE OF VALUE WORKSHEET'!E40)</f>
        <v>15524</v>
      </c>
      <c r="E43" s="104">
        <f>SUM('Draw #18'!E43:F43)</f>
        <v>0</v>
      </c>
      <c r="F43" s="105">
        <v>0</v>
      </c>
      <c r="G43" s="104">
        <f>SUM('Draw #18'!G43)+F43</f>
        <v>15524</v>
      </c>
      <c r="H43" s="109">
        <f t="shared" si="0"/>
        <v>15524</v>
      </c>
      <c r="I43" s="110">
        <v>0</v>
      </c>
      <c r="J43" s="109">
        <f>SUM(I43+'Draw #18'!J43)</f>
        <v>0</v>
      </c>
      <c r="K43" s="101" t="str">
        <f t="shared" si="1"/>
        <v/>
      </c>
      <c r="L43" s="9"/>
      <c r="M43" s="9"/>
    </row>
    <row r="44" spans="1:13" ht="14.1" customHeight="1">
      <c r="A44" s="4">
        <f>'SCHEDULE OF VALUE WORKSHEET'!A41</f>
        <v>35</v>
      </c>
      <c r="B44" s="142" t="str">
        <f>'SCHEDULE OF VALUE WORKSHEET'!B41</f>
        <v>Photovoltaic Consultant</v>
      </c>
      <c r="C44" s="143"/>
      <c r="D44" s="104">
        <f>SUM('SCHEDULE OF VALUE WORKSHEET'!E41)</f>
        <v>5000</v>
      </c>
      <c r="E44" s="104">
        <f>SUM('Draw #18'!E44:F44)</f>
        <v>0</v>
      </c>
      <c r="F44" s="105">
        <v>0</v>
      </c>
      <c r="G44" s="104">
        <f>SUM('Draw #18'!G44)+F44</f>
        <v>5000</v>
      </c>
      <c r="H44" s="109">
        <f t="shared" si="0"/>
        <v>5000</v>
      </c>
      <c r="I44" s="110">
        <v>0</v>
      </c>
      <c r="J44" s="109">
        <f>SUM(I44+'Draw #18'!J44)</f>
        <v>0</v>
      </c>
      <c r="K44" s="101" t="str">
        <f t="shared" si="1"/>
        <v/>
      </c>
      <c r="L44" s="9"/>
      <c r="M44" s="9"/>
    </row>
    <row r="45" spans="1:13" ht="14.1" customHeight="1">
      <c r="A45" s="4">
        <f>'SCHEDULE OF VALUE WORKSHEET'!A42</f>
        <v>36</v>
      </c>
      <c r="B45" s="142" t="str">
        <f>'SCHEDULE OF VALUE WORKSHEET'!B42</f>
        <v>Construction Management / Observation (OO)</v>
      </c>
      <c r="C45" s="143"/>
      <c r="D45" s="104">
        <f>SUM('SCHEDULE OF VALUE WORKSHEET'!E42)</f>
        <v>49427.9</v>
      </c>
      <c r="E45" s="104">
        <f>SUM('Draw #18'!E45:F45)</f>
        <v>0</v>
      </c>
      <c r="F45" s="105">
        <v>0</v>
      </c>
      <c r="G45" s="104">
        <f>SUM('Draw #18'!G45)+F45</f>
        <v>49427.9</v>
      </c>
      <c r="H45" s="109">
        <f t="shared" si="0"/>
        <v>49427.9</v>
      </c>
      <c r="I45" s="110">
        <v>0</v>
      </c>
      <c r="J45" s="109">
        <f>SUM(I45+'Draw #18'!J45)</f>
        <v>0</v>
      </c>
      <c r="K45" s="101" t="str">
        <f t="shared" si="1"/>
        <v/>
      </c>
      <c r="L45" s="9"/>
      <c r="M45" s="9"/>
    </row>
    <row r="46" spans="1:13" ht="14.1" customHeight="1">
      <c r="A46" s="4" t="e">
        <f>'SCHEDULE OF VALUE WORKSHEET'!#REF!</f>
        <v>#REF!</v>
      </c>
      <c r="B46" s="142" t="e">
        <f>'SCHEDULE OF VALUE WORKSHEET'!#REF!</f>
        <v>#REF!</v>
      </c>
      <c r="C46" s="143"/>
      <c r="D46" s="104" t="e">
        <f>SUM('SCHEDULE OF VALUE WORKSHEET'!#REF!)</f>
        <v>#REF!</v>
      </c>
      <c r="E46" s="104">
        <f>SUM('Draw #18'!E46:F46)</f>
        <v>0</v>
      </c>
      <c r="F46" s="105">
        <v>0</v>
      </c>
      <c r="G46" s="104" t="e">
        <f>SUM('Draw #18'!G46)+F46</f>
        <v>#REF!</v>
      </c>
      <c r="H46" s="109" t="e">
        <f t="shared" si="0"/>
        <v>#REF!</v>
      </c>
      <c r="I46" s="110">
        <v>0</v>
      </c>
      <c r="J46" s="109">
        <f>SUM(I46+'Draw #18'!J46)</f>
        <v>0</v>
      </c>
      <c r="K46" s="101" t="str">
        <f t="shared" si="1"/>
        <v/>
      </c>
      <c r="L46" s="9"/>
      <c r="M46" s="9"/>
    </row>
    <row r="47" spans="1:13" ht="14.1" customHeight="1">
      <c r="A47" s="4">
        <f>'SCHEDULE OF VALUE WORKSHEET'!A43</f>
        <v>37</v>
      </c>
      <c r="B47" s="142" t="str">
        <f>'SCHEDULE OF VALUE WORKSHEET'!B43</f>
        <v>CMFA Startup Fee</v>
      </c>
      <c r="C47" s="143"/>
      <c r="D47" s="104">
        <f>SUM('SCHEDULE OF VALUE WORKSHEET'!E43)</f>
        <v>22800</v>
      </c>
      <c r="E47" s="104">
        <f>SUM('Draw #18'!E47:F47)</f>
        <v>0</v>
      </c>
      <c r="F47" s="105">
        <v>0</v>
      </c>
      <c r="G47" s="104">
        <f>SUM('Draw #18'!G47)+F47</f>
        <v>22800</v>
      </c>
      <c r="H47" s="109">
        <f t="shared" si="0"/>
        <v>22800</v>
      </c>
      <c r="I47" s="110">
        <v>0</v>
      </c>
      <c r="J47" s="109">
        <f>SUM(I47+'Draw #18'!J47)</f>
        <v>0</v>
      </c>
      <c r="K47" s="101" t="str">
        <f t="shared" si="1"/>
        <v/>
      </c>
      <c r="L47" s="9"/>
      <c r="M47" s="9"/>
    </row>
    <row r="48" spans="1:13" ht="14.1" customHeight="1">
      <c r="A48" s="4">
        <f>'SCHEDULE OF VALUE WORKSHEET'!A44</f>
        <v>38</v>
      </c>
      <c r="B48" s="142" t="str">
        <f>'SCHEDULE OF VALUE WORKSHEET'!B44</f>
        <v>Non-Profit Start Up Fee</v>
      </c>
      <c r="C48" s="143"/>
      <c r="D48" s="104">
        <f>SUM('SCHEDULE OF VALUE WORKSHEET'!E44)</f>
        <v>25000</v>
      </c>
      <c r="E48" s="104">
        <f>SUM('Draw #18'!E48:F48)</f>
        <v>0</v>
      </c>
      <c r="F48" s="105">
        <v>0</v>
      </c>
      <c r="G48" s="104">
        <f>SUM('Draw #18'!G48)+F48</f>
        <v>25000</v>
      </c>
      <c r="H48" s="109">
        <f t="shared" si="0"/>
        <v>25000</v>
      </c>
      <c r="I48" s="110">
        <v>0</v>
      </c>
      <c r="J48" s="109">
        <f>SUM(I48+'Draw #18'!J48)</f>
        <v>0</v>
      </c>
      <c r="K48" s="101" t="str">
        <f t="shared" si="1"/>
        <v/>
      </c>
      <c r="L48" s="9"/>
      <c r="M48" s="9"/>
    </row>
    <row r="49" spans="1:13" ht="14.1" customHeight="1">
      <c r="A49" s="4">
        <f>'SCHEDULE OF VALUE WORKSHEET'!A45</f>
        <v>39</v>
      </c>
      <c r="B49" s="142" t="str">
        <f>'SCHEDULE OF VALUE WORKSHEET'!B45</f>
        <v>CMFA Construction Fee</v>
      </c>
      <c r="C49" s="143"/>
      <c r="D49" s="104">
        <f>SUM('SCHEDULE OF VALUE WORKSHEET'!E45)</f>
        <v>12000</v>
      </c>
      <c r="E49" s="104">
        <f>SUM('Draw #18'!E49:F49)</f>
        <v>0</v>
      </c>
      <c r="F49" s="105">
        <v>0</v>
      </c>
      <c r="G49" s="104">
        <f>SUM('Draw #18'!G49)+F49</f>
        <v>12000</v>
      </c>
      <c r="H49" s="109">
        <f t="shared" si="0"/>
        <v>12000</v>
      </c>
      <c r="I49" s="110">
        <v>0</v>
      </c>
      <c r="J49" s="109">
        <f>SUM(I49+'Draw #18'!J49)</f>
        <v>0</v>
      </c>
      <c r="K49" s="101" t="str">
        <f t="shared" si="1"/>
        <v/>
      </c>
      <c r="L49" s="9"/>
      <c r="M49" s="9"/>
    </row>
    <row r="50" spans="1:13" ht="14.1" customHeight="1">
      <c r="A50" s="4">
        <f>'SCHEDULE OF VALUE WORKSHEET'!A46</f>
        <v>40</v>
      </c>
      <c r="B50" s="142" t="str">
        <f>'SCHEDULE OF VALUE WORKSHEET'!B46</f>
        <v>Non-Profit Construction Fee</v>
      </c>
      <c r="C50" s="143"/>
      <c r="D50" s="104">
        <f>SUM('SCHEDULE OF VALUE WORKSHEET'!E46)</f>
        <v>10000</v>
      </c>
      <c r="E50" s="104">
        <f>SUM('Draw #18'!E50:F50)</f>
        <v>0</v>
      </c>
      <c r="F50" s="105">
        <v>0</v>
      </c>
      <c r="G50" s="104">
        <f>SUM('Draw #18'!G50)+F50</f>
        <v>10000</v>
      </c>
      <c r="H50" s="109">
        <f t="shared" si="0"/>
        <v>10000</v>
      </c>
      <c r="I50" s="110">
        <v>0</v>
      </c>
      <c r="J50" s="109">
        <f>SUM(I50+'Draw #18'!J50)</f>
        <v>0</v>
      </c>
      <c r="K50" s="101" t="str">
        <f t="shared" si="1"/>
        <v/>
      </c>
      <c r="L50" s="9"/>
      <c r="M50" s="9"/>
    </row>
    <row r="51" spans="1:13" ht="14.1" customHeight="1">
      <c r="A51" s="4">
        <f>'SCHEDULE OF VALUE WORKSHEET'!A47</f>
        <v>41</v>
      </c>
      <c r="B51" s="142" t="str">
        <f>'SCHEDULE OF VALUE WORKSHEET'!B47</f>
        <v>WTE Legal Costs for CMFA &amp; Non-Profit Partner</v>
      </c>
      <c r="C51" s="143"/>
      <c r="D51" s="104">
        <f>SUM('SCHEDULE OF VALUE WORKSHEET'!E47)</f>
        <v>20000</v>
      </c>
      <c r="E51" s="104">
        <f>SUM('Draw #18'!E51:F51)</f>
        <v>0</v>
      </c>
      <c r="F51" s="105">
        <v>0</v>
      </c>
      <c r="G51" s="104">
        <f>SUM('Draw #18'!G51)+F51</f>
        <v>20000</v>
      </c>
      <c r="H51" s="109">
        <f t="shared" si="0"/>
        <v>20000</v>
      </c>
      <c r="I51" s="110">
        <v>0</v>
      </c>
      <c r="J51" s="109">
        <f>SUM(I51+'Draw #18'!J51)</f>
        <v>0</v>
      </c>
      <c r="K51" s="101" t="str">
        <f t="shared" si="1"/>
        <v/>
      </c>
      <c r="L51" s="9"/>
      <c r="M51" s="9"/>
    </row>
    <row r="52" spans="1:13" ht="14.1" customHeight="1">
      <c r="A52" s="4" t="e">
        <f>'SCHEDULE OF VALUE WORKSHEET'!#REF!</f>
        <v>#REF!</v>
      </c>
      <c r="B52" s="142" t="e">
        <f>'SCHEDULE OF VALUE WORKSHEET'!#REF!</f>
        <v>#REF!</v>
      </c>
      <c r="C52" s="143"/>
      <c r="D52" s="104" t="e">
        <f>SUM('SCHEDULE OF VALUE WORKSHEET'!#REF!)</f>
        <v>#REF!</v>
      </c>
      <c r="E52" s="104">
        <f>SUM('Draw #18'!E52:F52)</f>
        <v>0</v>
      </c>
      <c r="F52" s="105">
        <v>0</v>
      </c>
      <c r="G52" s="104" t="e">
        <f>SUM('Draw #18'!G52)+F52</f>
        <v>#REF!</v>
      </c>
      <c r="H52" s="109" t="e">
        <f t="shared" si="0"/>
        <v>#REF!</v>
      </c>
      <c r="I52" s="110">
        <v>0</v>
      </c>
      <c r="J52" s="109">
        <f>SUM(I52+'Draw #18'!J52)</f>
        <v>0</v>
      </c>
      <c r="K52" s="101" t="str">
        <f t="shared" si="1"/>
        <v/>
      </c>
      <c r="L52" s="9"/>
      <c r="M52" s="9"/>
    </row>
    <row r="53" spans="1:13" ht="14.1" customHeight="1">
      <c r="A53" s="4">
        <f>'SCHEDULE OF VALUE WORKSHEET'!A49</f>
        <v>43</v>
      </c>
      <c r="B53" s="142" t="str">
        <f>'SCHEDULE OF VALUE WORKSHEET'!B49</f>
        <v>GENERAL CONDITIONS</v>
      </c>
      <c r="C53" s="143"/>
      <c r="D53" s="104">
        <f>SUM('SCHEDULE OF VALUE WORKSHEET'!E49)</f>
        <v>362115.24</v>
      </c>
      <c r="E53" s="104">
        <f>SUM('Draw #18'!E53:F53)</f>
        <v>0</v>
      </c>
      <c r="F53" s="105">
        <v>0</v>
      </c>
      <c r="G53" s="104">
        <f>SUM('Draw #18'!G53)+F53</f>
        <v>362115.24</v>
      </c>
      <c r="H53" s="109">
        <f t="shared" si="0"/>
        <v>362115.24</v>
      </c>
      <c r="I53" s="110">
        <v>0</v>
      </c>
      <c r="J53" s="109">
        <f>SUM(I53+'Draw #18'!J53)</f>
        <v>0</v>
      </c>
      <c r="K53" s="101" t="str">
        <f t="shared" si="1"/>
        <v/>
      </c>
      <c r="L53" s="9"/>
      <c r="M53" s="9"/>
    </row>
    <row r="54" spans="1:13" ht="14.1" customHeight="1">
      <c r="A54" s="4">
        <f>'SCHEDULE OF VALUE WORKSHEET'!A50</f>
        <v>44</v>
      </c>
      <c r="B54" s="142" t="str">
        <f>'SCHEDULE OF VALUE WORKSHEET'!B50</f>
        <v>GENERAL REQUIREMENT</v>
      </c>
      <c r="C54" s="143"/>
      <c r="D54" s="104">
        <f>SUM('SCHEDULE OF VALUE WORKSHEET'!E50)</f>
        <v>124657.88</v>
      </c>
      <c r="E54" s="104">
        <f>SUM('Draw #18'!E54:F54)</f>
        <v>0</v>
      </c>
      <c r="F54" s="105">
        <v>0</v>
      </c>
      <c r="G54" s="104">
        <f>SUM('Draw #18'!G54)+F54</f>
        <v>124657.88</v>
      </c>
      <c r="H54" s="109">
        <f t="shared" si="0"/>
        <v>124657.88</v>
      </c>
      <c r="I54" s="110">
        <v>0</v>
      </c>
      <c r="J54" s="109">
        <f>SUM(I54+'Draw #18'!J54)</f>
        <v>0</v>
      </c>
      <c r="K54" s="101" t="str">
        <f t="shared" si="1"/>
        <v/>
      </c>
      <c r="L54" s="9"/>
      <c r="M54" s="9"/>
    </row>
    <row r="55" spans="1:13" ht="14.1" customHeight="1">
      <c r="A55" s="4">
        <f>'SCHEDULE OF VALUE WORKSHEET'!A51</f>
        <v>45</v>
      </c>
      <c r="B55" s="142" t="str">
        <f>'SCHEDULE OF VALUE WORKSHEET'!B51</f>
        <v>SITE WORK</v>
      </c>
      <c r="C55" s="143"/>
      <c r="D55" s="104">
        <f>SUM('SCHEDULE OF VALUE WORKSHEET'!E51)</f>
        <v>139049.51</v>
      </c>
      <c r="E55" s="104">
        <f>SUM('Draw #18'!E55:F55)</f>
        <v>0</v>
      </c>
      <c r="F55" s="105">
        <v>0</v>
      </c>
      <c r="G55" s="104">
        <f>SUM('Draw #18'!G55)+F55</f>
        <v>139049.51</v>
      </c>
      <c r="H55" s="109">
        <f t="shared" si="0"/>
        <v>139049.51</v>
      </c>
      <c r="I55" s="110">
        <v>0</v>
      </c>
      <c r="J55" s="109">
        <f>SUM(I55+'Draw #18'!J55)</f>
        <v>0</v>
      </c>
      <c r="K55" s="101" t="str">
        <f t="shared" si="1"/>
        <v/>
      </c>
      <c r="L55" s="9"/>
      <c r="M55" s="9"/>
    </row>
    <row r="56" spans="1:13" ht="14.1" customHeight="1">
      <c r="A56" s="4">
        <f>'SCHEDULE OF VALUE WORKSHEET'!A52</f>
        <v>46</v>
      </c>
      <c r="B56" s="142" t="str">
        <f>'SCHEDULE OF VALUE WORKSHEET'!B52</f>
        <v>CONCRETE</v>
      </c>
      <c r="C56" s="143"/>
      <c r="D56" s="104">
        <f>SUM('SCHEDULE OF VALUE WORKSHEET'!E52)</f>
        <v>253182</v>
      </c>
      <c r="E56" s="104">
        <f>SUM('Draw #18'!E56:F56)</f>
        <v>0</v>
      </c>
      <c r="F56" s="105">
        <v>0</v>
      </c>
      <c r="G56" s="104">
        <f>SUM('Draw #18'!G56)+F56</f>
        <v>253182</v>
      </c>
      <c r="H56" s="109">
        <f t="shared" si="0"/>
        <v>253182</v>
      </c>
      <c r="I56" s="110">
        <v>0</v>
      </c>
      <c r="J56" s="109">
        <f>SUM(I56+'Draw #18'!J56)</f>
        <v>0</v>
      </c>
      <c r="K56" s="101" t="str">
        <f t="shared" si="1"/>
        <v/>
      </c>
      <c r="L56" s="9"/>
      <c r="M56" s="9"/>
    </row>
    <row r="57" spans="1:13" ht="14.1" customHeight="1">
      <c r="A57" s="4">
        <f>'SCHEDULE OF VALUE WORKSHEET'!A53</f>
        <v>47</v>
      </c>
      <c r="B57" s="142" t="str">
        <f>'SCHEDULE OF VALUE WORKSHEET'!B53</f>
        <v>MASONRY</v>
      </c>
      <c r="C57" s="143"/>
      <c r="D57" s="104">
        <f>SUM('SCHEDULE OF VALUE WORKSHEET'!E53)</f>
        <v>3562.64</v>
      </c>
      <c r="E57" s="104">
        <f>SUM('Draw #18'!E57:F57)</f>
        <v>0</v>
      </c>
      <c r="F57" s="105">
        <v>0</v>
      </c>
      <c r="G57" s="104">
        <f>SUM('Draw #18'!G57)+F57</f>
        <v>3562.64</v>
      </c>
      <c r="H57" s="109">
        <f t="shared" si="0"/>
        <v>3562.64</v>
      </c>
      <c r="I57" s="110">
        <v>0</v>
      </c>
      <c r="J57" s="109">
        <f>SUM(I57+'Draw #18'!J57)</f>
        <v>0</v>
      </c>
      <c r="K57" s="101" t="str">
        <f t="shared" si="1"/>
        <v/>
      </c>
      <c r="L57" s="9"/>
      <c r="M57" s="9"/>
    </row>
    <row r="58" spans="1:13" ht="14.1" customHeight="1">
      <c r="A58" s="4">
        <f>'SCHEDULE OF VALUE WORKSHEET'!A54</f>
        <v>48</v>
      </c>
      <c r="B58" s="142" t="str">
        <f>'SCHEDULE OF VALUE WORKSHEET'!B54</f>
        <v>METALS</v>
      </c>
      <c r="C58" s="143"/>
      <c r="D58" s="104">
        <f>SUM('SCHEDULE OF VALUE WORKSHEET'!E54)</f>
        <v>324100</v>
      </c>
      <c r="E58" s="104">
        <f>SUM('Draw #18'!E58:F58)</f>
        <v>0</v>
      </c>
      <c r="F58" s="105">
        <v>0</v>
      </c>
      <c r="G58" s="104">
        <f>SUM('Draw #18'!G58)+F58</f>
        <v>324100</v>
      </c>
      <c r="H58" s="109">
        <f t="shared" si="0"/>
        <v>324100</v>
      </c>
      <c r="I58" s="110">
        <v>0</v>
      </c>
      <c r="J58" s="109">
        <f>SUM(I58+'Draw #18'!J58)</f>
        <v>0</v>
      </c>
      <c r="K58" s="101" t="str">
        <f t="shared" si="1"/>
        <v/>
      </c>
      <c r="L58" s="9"/>
      <c r="M58" s="9"/>
    </row>
    <row r="59" spans="1:13" ht="14.1" customHeight="1">
      <c r="A59" s="4">
        <f>'SCHEDULE OF VALUE WORKSHEET'!A55</f>
        <v>49</v>
      </c>
      <c r="B59" s="142" t="str">
        <f>'SCHEDULE OF VALUE WORKSHEET'!B55</f>
        <v>FRAMING</v>
      </c>
      <c r="C59" s="143"/>
      <c r="D59" s="104">
        <f>SUM('SCHEDULE OF VALUE WORKSHEET'!E55)</f>
        <v>818554</v>
      </c>
      <c r="E59" s="104">
        <f>SUM('Draw #18'!E59:F59)</f>
        <v>0</v>
      </c>
      <c r="F59" s="105">
        <v>0</v>
      </c>
      <c r="G59" s="104">
        <f>SUM('Draw #18'!G59)+F59</f>
        <v>818554</v>
      </c>
      <c r="H59" s="109">
        <f t="shared" si="0"/>
        <v>818554</v>
      </c>
      <c r="I59" s="110">
        <v>0</v>
      </c>
      <c r="J59" s="109">
        <f>SUM(I59+'Draw #18'!J59)</f>
        <v>0</v>
      </c>
      <c r="K59" s="101" t="str">
        <f t="shared" si="1"/>
        <v/>
      </c>
      <c r="L59" s="9"/>
      <c r="M59" s="9"/>
    </row>
    <row r="60" spans="1:13" ht="14.1" customHeight="1">
      <c r="A60" s="4">
        <f>'SCHEDULE OF VALUE WORKSHEET'!A56</f>
        <v>50</v>
      </c>
      <c r="B60" s="142" t="str">
        <f>'SCHEDULE OF VALUE WORKSHEET'!B56</f>
        <v>COUNTERTOPS</v>
      </c>
      <c r="C60" s="143"/>
      <c r="D60" s="104">
        <f>SUM('SCHEDULE OF VALUE WORKSHEET'!E56)</f>
        <v>56930</v>
      </c>
      <c r="E60" s="104">
        <f>SUM('Draw #18'!E60:F60)</f>
        <v>0</v>
      </c>
      <c r="F60" s="105">
        <v>0</v>
      </c>
      <c r="G60" s="104">
        <f>SUM('Draw #18'!G60)+F60</f>
        <v>56930</v>
      </c>
      <c r="H60" s="109">
        <f t="shared" si="0"/>
        <v>56930</v>
      </c>
      <c r="I60" s="110">
        <v>0</v>
      </c>
      <c r="J60" s="109">
        <f>SUM(I60+'Draw #18'!J60)</f>
        <v>0</v>
      </c>
      <c r="K60" s="101" t="str">
        <f t="shared" si="1"/>
        <v/>
      </c>
      <c r="L60" s="9"/>
      <c r="M60" s="9"/>
    </row>
    <row r="61" spans="1:13" ht="14.1" customHeight="1">
      <c r="A61" s="4">
        <f>'SCHEDULE OF VALUE WORKSHEET'!A57</f>
        <v>51</v>
      </c>
      <c r="B61" s="142" t="str">
        <f>'SCHEDULE OF VALUE WORKSHEET'!B57</f>
        <v>CABINETS</v>
      </c>
      <c r="C61" s="143"/>
      <c r="D61" s="104">
        <f>SUM('SCHEDULE OF VALUE WORKSHEET'!E57)</f>
        <v>56930</v>
      </c>
      <c r="E61" s="104">
        <f>SUM('Draw #18'!E61:F61)</f>
        <v>0</v>
      </c>
      <c r="F61" s="105">
        <v>0</v>
      </c>
      <c r="G61" s="104">
        <f>SUM('Draw #18'!G61)+F61</f>
        <v>56930</v>
      </c>
      <c r="H61" s="109">
        <f t="shared" si="0"/>
        <v>56930</v>
      </c>
      <c r="I61" s="110">
        <v>0</v>
      </c>
      <c r="J61" s="109">
        <f>SUM(I61+'Draw #18'!J61)</f>
        <v>0</v>
      </c>
      <c r="K61" s="101" t="str">
        <f t="shared" si="1"/>
        <v/>
      </c>
      <c r="L61" s="9"/>
      <c r="M61" s="9"/>
    </row>
    <row r="62" spans="1:13" ht="14.1" customHeight="1">
      <c r="A62" s="4">
        <f>'SCHEDULE OF VALUE WORKSHEET'!A58</f>
        <v>52</v>
      </c>
      <c r="B62" s="142" t="str">
        <f>'SCHEDULE OF VALUE WORKSHEET'!B58</f>
        <v>THERMAL MOISTURE PROTECTION</v>
      </c>
      <c r="C62" s="143"/>
      <c r="D62" s="104">
        <f>SUM('SCHEDULE OF VALUE WORKSHEET'!E58)</f>
        <v>173148</v>
      </c>
      <c r="E62" s="104">
        <f>SUM('Draw #18'!E62:F62)</f>
        <v>0</v>
      </c>
      <c r="F62" s="105">
        <v>0</v>
      </c>
      <c r="G62" s="104">
        <f>SUM('Draw #18'!G62)+F62</f>
        <v>173148</v>
      </c>
      <c r="H62" s="109">
        <f t="shared" si="0"/>
        <v>173148</v>
      </c>
      <c r="I62" s="110">
        <v>0</v>
      </c>
      <c r="J62" s="109">
        <f>SUM(I62+'Draw #18'!J62)</f>
        <v>0</v>
      </c>
      <c r="K62" s="101" t="str">
        <f t="shared" si="1"/>
        <v/>
      </c>
      <c r="L62" s="9"/>
      <c r="M62" s="9"/>
    </row>
    <row r="63" spans="1:13" ht="14.1" customHeight="1">
      <c r="A63" s="4">
        <f>'SCHEDULE OF VALUE WORKSHEET'!A59</f>
        <v>53</v>
      </c>
      <c r="B63" s="142" t="str">
        <f>'SCHEDULE OF VALUE WORKSHEET'!B59</f>
        <v>DOORS</v>
      </c>
      <c r="C63" s="143"/>
      <c r="D63" s="104">
        <f>SUM('SCHEDULE OF VALUE WORKSHEET'!E59)</f>
        <v>204087.33</v>
      </c>
      <c r="E63" s="104">
        <f>SUM('Draw #18'!E63:F63)</f>
        <v>0</v>
      </c>
      <c r="F63" s="105">
        <v>0</v>
      </c>
      <c r="G63" s="104">
        <f>SUM('Draw #18'!G63)+F63</f>
        <v>204087.33</v>
      </c>
      <c r="H63" s="109">
        <f t="shared" si="0"/>
        <v>204087.33</v>
      </c>
      <c r="I63" s="110">
        <v>0</v>
      </c>
      <c r="J63" s="109">
        <f>SUM(I63+'Draw #18'!J63)</f>
        <v>0</v>
      </c>
      <c r="K63" s="101" t="str">
        <f t="shared" si="1"/>
        <v/>
      </c>
      <c r="L63" s="9"/>
      <c r="M63" s="9"/>
    </row>
    <row r="64" spans="1:13" ht="14.1" customHeight="1">
      <c r="A64" s="4">
        <f>'SCHEDULE OF VALUE WORKSHEET'!A60</f>
        <v>54</v>
      </c>
      <c r="B64" s="142" t="str">
        <f>'SCHEDULE OF VALUE WORKSHEET'!B60</f>
        <v>WINDOWS</v>
      </c>
      <c r="C64" s="143"/>
      <c r="D64" s="104">
        <f>SUM('SCHEDULE OF VALUE WORKSHEET'!E60)</f>
        <v>106274.25</v>
      </c>
      <c r="E64" s="104">
        <f>SUM('Draw #18'!E64:F64)</f>
        <v>0</v>
      </c>
      <c r="F64" s="105">
        <v>0</v>
      </c>
      <c r="G64" s="104">
        <f>SUM('Draw #18'!G64)+F64</f>
        <v>106274.25</v>
      </c>
      <c r="H64" s="109">
        <f t="shared" si="0"/>
        <v>106274.25</v>
      </c>
      <c r="I64" s="110">
        <v>0</v>
      </c>
      <c r="J64" s="109">
        <f>SUM(I64+'Draw #18'!J64)</f>
        <v>0</v>
      </c>
      <c r="K64" s="101" t="str">
        <f t="shared" si="1"/>
        <v/>
      </c>
      <c r="L64" s="9"/>
      <c r="M64" s="9"/>
    </row>
    <row r="65" spans="1:13" ht="14.1" customHeight="1">
      <c r="A65" s="4">
        <f>'SCHEDULE OF VALUE WORKSHEET'!A61</f>
        <v>55</v>
      </c>
      <c r="B65" s="142" t="str">
        <f>'SCHEDULE OF VALUE WORKSHEET'!B61</f>
        <v>STUCCO</v>
      </c>
      <c r="C65" s="143"/>
      <c r="D65" s="104">
        <f>SUM('SCHEDULE OF VALUE WORKSHEET'!E61)</f>
        <v>208002</v>
      </c>
      <c r="E65" s="104">
        <f>SUM('Draw #18'!E65:F65)</f>
        <v>0</v>
      </c>
      <c r="F65" s="105">
        <v>0</v>
      </c>
      <c r="G65" s="104">
        <f>SUM('Draw #18'!G65)+F65</f>
        <v>208002</v>
      </c>
      <c r="H65" s="109">
        <f t="shared" si="0"/>
        <v>208002</v>
      </c>
      <c r="I65" s="110">
        <v>0</v>
      </c>
      <c r="J65" s="109">
        <f>SUM(I65+'Draw #18'!J65)</f>
        <v>0</v>
      </c>
      <c r="K65" s="101" t="str">
        <f t="shared" si="1"/>
        <v/>
      </c>
      <c r="L65" s="9"/>
      <c r="M65" s="9"/>
    </row>
    <row r="66" spans="1:13" ht="14.1" customHeight="1">
      <c r="A66" s="4">
        <f>'SCHEDULE OF VALUE WORKSHEET'!A62</f>
        <v>56</v>
      </c>
      <c r="B66" s="142" t="str">
        <f>'SCHEDULE OF VALUE WORKSHEET'!B62</f>
        <v>DRYWALL</v>
      </c>
      <c r="C66" s="143"/>
      <c r="D66" s="104">
        <f>SUM('SCHEDULE OF VALUE WORKSHEET'!E62)</f>
        <v>416355</v>
      </c>
      <c r="E66" s="104">
        <f>SUM('Draw #18'!E66:F66)</f>
        <v>0</v>
      </c>
      <c r="F66" s="105">
        <v>0</v>
      </c>
      <c r="G66" s="104">
        <f>SUM('Draw #18'!G66)+F66</f>
        <v>416355</v>
      </c>
      <c r="H66" s="109">
        <f t="shared" si="0"/>
        <v>416355</v>
      </c>
      <c r="I66" s="110">
        <v>0</v>
      </c>
      <c r="J66" s="109">
        <f>SUM(I66+'Draw #18'!J66)</f>
        <v>0</v>
      </c>
      <c r="K66" s="101" t="str">
        <f t="shared" si="1"/>
        <v/>
      </c>
      <c r="L66" s="9"/>
      <c r="M66" s="9"/>
    </row>
    <row r="67" spans="1:13" ht="14.1" customHeight="1">
      <c r="A67" s="4">
        <f>'SCHEDULE OF VALUE WORKSHEET'!A63</f>
        <v>57</v>
      </c>
      <c r="B67" s="142" t="str">
        <f>'SCHEDULE OF VALUE WORKSHEET'!B63</f>
        <v>PAINTING</v>
      </c>
      <c r="C67" s="143"/>
      <c r="D67" s="104">
        <f>SUM('SCHEDULE OF VALUE WORKSHEET'!E63)</f>
        <v>120700</v>
      </c>
      <c r="E67" s="104">
        <f>SUM('Draw #18'!E67:F67)</f>
        <v>0</v>
      </c>
      <c r="F67" s="105">
        <v>0</v>
      </c>
      <c r="G67" s="104">
        <f>SUM('Draw #18'!G67)+F67</f>
        <v>120700</v>
      </c>
      <c r="H67" s="109">
        <f t="shared" si="0"/>
        <v>120700</v>
      </c>
      <c r="I67" s="110">
        <v>0</v>
      </c>
      <c r="J67" s="109">
        <f>SUM(I67+'Draw #18'!J67)</f>
        <v>0</v>
      </c>
      <c r="K67" s="101" t="str">
        <f t="shared" si="1"/>
        <v/>
      </c>
      <c r="L67" s="9"/>
      <c r="M67" s="9"/>
    </row>
    <row r="68" spans="1:13" ht="14.1" customHeight="1">
      <c r="A68" s="4">
        <f>'SCHEDULE OF VALUE WORKSHEET'!A64</f>
        <v>58</v>
      </c>
      <c r="B68" s="142" t="str">
        <f>'SCHEDULE OF VALUE WORKSHEET'!B64</f>
        <v>FLOORING - common areas</v>
      </c>
      <c r="C68" s="143"/>
      <c r="D68" s="104">
        <f>SUM('SCHEDULE OF VALUE WORKSHEET'!E64)</f>
        <v>45150</v>
      </c>
      <c r="E68" s="104">
        <f>SUM('Draw #18'!E68:F68)</f>
        <v>0</v>
      </c>
      <c r="F68" s="105">
        <v>0</v>
      </c>
      <c r="G68" s="104">
        <f>SUM('Draw #18'!G68)+F68</f>
        <v>45150</v>
      </c>
      <c r="H68" s="109">
        <f t="shared" si="0"/>
        <v>45150</v>
      </c>
      <c r="I68" s="110">
        <v>0</v>
      </c>
      <c r="J68" s="109">
        <f>SUM(I68+'Draw #18'!J68)</f>
        <v>0</v>
      </c>
      <c r="K68" s="101" t="str">
        <f t="shared" si="1"/>
        <v/>
      </c>
      <c r="L68" s="9"/>
      <c r="M68" s="9"/>
    </row>
    <row r="69" spans="1:13" ht="14.1" customHeight="1">
      <c r="A69" s="4">
        <f>'SCHEDULE OF VALUE WORKSHEET'!A65</f>
        <v>59</v>
      </c>
      <c r="B69" s="142" t="str">
        <f>'SCHEDULE OF VALUE WORKSHEET'!B65</f>
        <v>FLOORING - Units with baseboards</v>
      </c>
      <c r="C69" s="143"/>
      <c r="D69" s="104">
        <f>SUM('SCHEDULE OF VALUE WORKSHEET'!E65)</f>
        <v>93335</v>
      </c>
      <c r="E69" s="104">
        <f>SUM('Draw #18'!E69:F69)</f>
        <v>0</v>
      </c>
      <c r="F69" s="105">
        <v>0</v>
      </c>
      <c r="G69" s="104">
        <f>SUM('Draw #18'!G69)+F69</f>
        <v>93335</v>
      </c>
      <c r="H69" s="109">
        <f t="shared" si="0"/>
        <v>93335</v>
      </c>
      <c r="I69" s="110">
        <v>0</v>
      </c>
      <c r="J69" s="109">
        <f>SUM(I69+'Draw #18'!J69)</f>
        <v>0</v>
      </c>
      <c r="K69" s="101" t="str">
        <f t="shared" si="1"/>
        <v/>
      </c>
      <c r="L69" s="9"/>
      <c r="M69" s="9"/>
    </row>
    <row r="70" spans="1:13" ht="14.1" customHeight="1">
      <c r="A70" s="4">
        <f>'SCHEDULE OF VALUE WORKSHEET'!A66</f>
        <v>60</v>
      </c>
      <c r="B70" s="142" t="str">
        <f>'SCHEDULE OF VALUE WORKSHEET'!B66</f>
        <v>SPECIALTIES</v>
      </c>
      <c r="C70" s="143"/>
      <c r="D70" s="104">
        <f>SUM('SCHEDULE OF VALUE WORKSHEET'!E66)</f>
        <v>25109.21</v>
      </c>
      <c r="E70" s="104">
        <f>SUM('Draw #18'!E70:F70)</f>
        <v>0</v>
      </c>
      <c r="F70" s="105">
        <v>0</v>
      </c>
      <c r="G70" s="104">
        <f>SUM('Draw #18'!G70)+F70</f>
        <v>25109.21</v>
      </c>
      <c r="H70" s="109">
        <f t="shared" si="0"/>
        <v>25109.21</v>
      </c>
      <c r="I70" s="110">
        <v>0</v>
      </c>
      <c r="J70" s="109">
        <f>SUM(I70+'Draw #18'!J70)</f>
        <v>0</v>
      </c>
      <c r="K70" s="101" t="str">
        <f t="shared" si="1"/>
        <v/>
      </c>
      <c r="L70" s="9"/>
      <c r="M70" s="9"/>
    </row>
    <row r="71" spans="1:13" ht="14.1" customHeight="1">
      <c r="A71" s="4">
        <f>'SCHEDULE OF VALUE WORKSHEET'!A67</f>
        <v>61</v>
      </c>
      <c r="B71" s="142" t="str">
        <f>'SCHEDULE OF VALUE WORKSHEET'!B67</f>
        <v>EQUIPMENT</v>
      </c>
      <c r="C71" s="143"/>
      <c r="D71" s="104">
        <f>SUM('SCHEDULE OF VALUE WORKSHEET'!E67)</f>
        <v>153636</v>
      </c>
      <c r="E71" s="104">
        <f>SUM('Draw #18'!E71:F71)</f>
        <v>0</v>
      </c>
      <c r="F71" s="105">
        <v>0</v>
      </c>
      <c r="G71" s="104">
        <f>SUM('Draw #18'!G71)+F71</f>
        <v>153636</v>
      </c>
      <c r="H71" s="109">
        <f t="shared" si="0"/>
        <v>153636</v>
      </c>
      <c r="I71" s="110">
        <v>0</v>
      </c>
      <c r="J71" s="109">
        <f>SUM(I71+'Draw #18'!J71)</f>
        <v>0</v>
      </c>
      <c r="K71" s="101" t="str">
        <f t="shared" si="1"/>
        <v/>
      </c>
      <c r="L71" s="9"/>
      <c r="M71" s="9"/>
    </row>
    <row r="72" spans="1:13" ht="14.1" customHeight="1">
      <c r="A72" s="4">
        <f>'SCHEDULE OF VALUE WORKSHEET'!A68</f>
        <v>62</v>
      </c>
      <c r="B72" s="142" t="str">
        <f>'SCHEDULE OF VALUE WORKSHEET'!B68</f>
        <v>FURNISHING</v>
      </c>
      <c r="C72" s="143"/>
      <c r="D72" s="104">
        <f>SUM('SCHEDULE OF VALUE WORKSHEET'!E68)</f>
        <v>0</v>
      </c>
      <c r="E72" s="104">
        <f>SUM('Draw #18'!E72:F72)</f>
        <v>0</v>
      </c>
      <c r="F72" s="105">
        <v>0</v>
      </c>
      <c r="G72" s="104">
        <f>SUM('Draw #18'!G72)+F72</f>
        <v>0</v>
      </c>
      <c r="H72" s="109">
        <f t="shared" si="0"/>
        <v>0</v>
      </c>
      <c r="I72" s="110">
        <v>0</v>
      </c>
      <c r="J72" s="109">
        <f>SUM(I72+'Draw #18'!J72)</f>
        <v>0</v>
      </c>
      <c r="K72" s="101" t="str">
        <f t="shared" si="1"/>
        <v/>
      </c>
      <c r="L72" s="9"/>
      <c r="M72" s="9"/>
    </row>
    <row r="73" spans="1:13" ht="14.1" customHeight="1">
      <c r="A73" s="4">
        <f>'SCHEDULE OF VALUE WORKSHEET'!A69</f>
        <v>63</v>
      </c>
      <c r="B73" s="142" t="str">
        <f>'SCHEDULE OF VALUE WORKSHEET'!B69</f>
        <v>FIRE SPRINKLERS</v>
      </c>
      <c r="C73" s="143"/>
      <c r="D73" s="104">
        <f>SUM('SCHEDULE OF VALUE WORKSHEET'!E69)</f>
        <v>108500</v>
      </c>
      <c r="E73" s="104">
        <f>SUM('Draw #18'!E73:F73)</f>
        <v>0</v>
      </c>
      <c r="F73" s="105">
        <v>0</v>
      </c>
      <c r="G73" s="104">
        <f>SUM('Draw #18'!G73)+F73</f>
        <v>108500</v>
      </c>
      <c r="H73" s="109">
        <f t="shared" si="0"/>
        <v>108500</v>
      </c>
      <c r="I73" s="110">
        <v>0</v>
      </c>
      <c r="J73" s="109">
        <f>SUM(I73+'Draw #18'!J73)</f>
        <v>0</v>
      </c>
      <c r="K73" s="101" t="str">
        <f t="shared" si="1"/>
        <v/>
      </c>
      <c r="L73" s="9"/>
      <c r="M73" s="9"/>
    </row>
    <row r="74" spans="1:13" ht="14.1" customHeight="1">
      <c r="A74" s="4">
        <f>'SCHEDULE OF VALUE WORKSHEET'!A70</f>
        <v>64</v>
      </c>
      <c r="B74" s="142" t="str">
        <f>'SCHEDULE OF VALUE WORKSHEET'!B70</f>
        <v>FIRE ALARM</v>
      </c>
      <c r="C74" s="143"/>
      <c r="D74" s="104">
        <f>SUM('SCHEDULE OF VALUE WORKSHEET'!E70)</f>
        <v>68401</v>
      </c>
      <c r="E74" s="104">
        <f>SUM('Draw #18'!E74:F74)</f>
        <v>0</v>
      </c>
      <c r="F74" s="105">
        <v>0</v>
      </c>
      <c r="G74" s="104">
        <f>SUM('Draw #18'!G74)+F74</f>
        <v>68401</v>
      </c>
      <c r="H74" s="109">
        <f t="shared" si="0"/>
        <v>68401</v>
      </c>
      <c r="I74" s="110">
        <v>0</v>
      </c>
      <c r="J74" s="109">
        <f>SUM(I74+'Draw #18'!J74)</f>
        <v>0</v>
      </c>
      <c r="K74" s="101" t="str">
        <f t="shared" si="1"/>
        <v/>
      </c>
      <c r="L74" s="9"/>
      <c r="M74" s="9"/>
    </row>
    <row r="75" spans="1:13" ht="14.1" customHeight="1">
      <c r="A75" s="4">
        <f>'SCHEDULE OF VALUE WORKSHEET'!A71</f>
        <v>65</v>
      </c>
      <c r="B75" s="142" t="str">
        <f>'SCHEDULE OF VALUE WORKSHEET'!B71</f>
        <v>SOLAR PANELS</v>
      </c>
      <c r="C75" s="143"/>
      <c r="D75" s="104">
        <f>SUM('SCHEDULE OF VALUE WORKSHEET'!E71)</f>
        <v>97000</v>
      </c>
      <c r="E75" s="104">
        <f>SUM('Draw #18'!E75:F75)</f>
        <v>0</v>
      </c>
      <c r="F75" s="105">
        <v>0</v>
      </c>
      <c r="G75" s="104">
        <f>SUM('Draw #18'!G75)+F75</f>
        <v>97000</v>
      </c>
      <c r="H75" s="109">
        <f t="shared" ref="H75:H135" si="2">SUM(G75-J75)</f>
        <v>97000</v>
      </c>
      <c r="I75" s="110">
        <v>0</v>
      </c>
      <c r="J75" s="109">
        <f>SUM(I75+'Draw #18'!J75)</f>
        <v>0</v>
      </c>
      <c r="K75" s="101" t="str">
        <f t="shared" ref="K75:K135" si="3">IF(J75=0,"",J75/G75)</f>
        <v/>
      </c>
      <c r="L75" s="9"/>
      <c r="M75" s="9"/>
    </row>
    <row r="76" spans="1:13" ht="14.1" customHeight="1">
      <c r="A76" s="4">
        <f>'SCHEDULE OF VALUE WORKSHEET'!A72</f>
        <v>66</v>
      </c>
      <c r="B76" s="142" t="str">
        <f>'SCHEDULE OF VALUE WORKSHEET'!B72</f>
        <v>SECURITY ACCESS &amp; SURVEILLANCE</v>
      </c>
      <c r="C76" s="143"/>
      <c r="D76" s="104">
        <f>SUM('SCHEDULE OF VALUE WORKSHEET'!E72)</f>
        <v>136430</v>
      </c>
      <c r="E76" s="104">
        <f>SUM('Draw #18'!E76:F76)</f>
        <v>0</v>
      </c>
      <c r="F76" s="105">
        <v>0</v>
      </c>
      <c r="G76" s="104">
        <f>SUM('Draw #18'!G76)+F76</f>
        <v>136430</v>
      </c>
      <c r="H76" s="109">
        <f t="shared" si="2"/>
        <v>136430</v>
      </c>
      <c r="I76" s="110">
        <v>0</v>
      </c>
      <c r="J76" s="109">
        <f>SUM(I76+'Draw #18'!J76)</f>
        <v>0</v>
      </c>
      <c r="K76" s="101" t="str">
        <f t="shared" si="3"/>
        <v/>
      </c>
      <c r="L76" s="9"/>
      <c r="M76" s="9"/>
    </row>
    <row r="77" spans="1:13" ht="14.1" customHeight="1">
      <c r="A77" s="4">
        <f>'SCHEDULE OF VALUE WORKSHEET'!A73</f>
        <v>67</v>
      </c>
      <c r="B77" s="142" t="str">
        <f>'SCHEDULE OF VALUE WORKSHEET'!B73</f>
        <v>ELEVATORS &amp; LIFT</v>
      </c>
      <c r="C77" s="143"/>
      <c r="D77" s="104">
        <f>SUM('SCHEDULE OF VALUE WORKSHEET'!E73)</f>
        <v>174882</v>
      </c>
      <c r="E77" s="104">
        <f>SUM('Draw #18'!E77:F77)</f>
        <v>0</v>
      </c>
      <c r="F77" s="105">
        <v>0</v>
      </c>
      <c r="G77" s="104">
        <f>SUM('Draw #18'!G77)+F77</f>
        <v>174882</v>
      </c>
      <c r="H77" s="109">
        <f t="shared" si="2"/>
        <v>174882</v>
      </c>
      <c r="I77" s="110">
        <v>0</v>
      </c>
      <c r="J77" s="109">
        <f>SUM(I77+'Draw #18'!J77)</f>
        <v>0</v>
      </c>
      <c r="K77" s="101" t="str">
        <f t="shared" si="3"/>
        <v/>
      </c>
      <c r="L77" s="9"/>
      <c r="M77" s="9"/>
    </row>
    <row r="78" spans="1:13" ht="14.1" customHeight="1">
      <c r="A78" s="4">
        <f>'SCHEDULE OF VALUE WORKSHEET'!A74</f>
        <v>68</v>
      </c>
      <c r="B78" s="142" t="str">
        <f>'SCHEDULE OF VALUE WORKSHEET'!B74</f>
        <v>WATER SUBMETER (material)</v>
      </c>
      <c r="C78" s="143"/>
      <c r="D78" s="104">
        <f>SUM('SCHEDULE OF VALUE WORKSHEET'!E74)</f>
        <v>12273</v>
      </c>
      <c r="E78" s="104">
        <f>SUM('Draw #18'!E78:F78)</f>
        <v>0</v>
      </c>
      <c r="F78" s="105">
        <v>0</v>
      </c>
      <c r="G78" s="104">
        <f>SUM('Draw #18'!G78)+F78</f>
        <v>12273</v>
      </c>
      <c r="H78" s="109">
        <f t="shared" si="2"/>
        <v>12273</v>
      </c>
      <c r="I78" s="110">
        <v>0</v>
      </c>
      <c r="J78" s="109">
        <f>SUM(I78+'Draw #18'!J78)</f>
        <v>0</v>
      </c>
      <c r="K78" s="101" t="str">
        <f t="shared" si="3"/>
        <v/>
      </c>
      <c r="L78" s="9"/>
      <c r="M78" s="9"/>
    </row>
    <row r="79" spans="1:13" ht="14.1" customHeight="1">
      <c r="A79" s="4">
        <f>'SCHEDULE OF VALUE WORKSHEET'!A75</f>
        <v>69</v>
      </c>
      <c r="B79" s="142" t="str">
        <f>'SCHEDULE OF VALUE WORKSHEET'!B75</f>
        <v>WATER SUBMETER (labor)</v>
      </c>
      <c r="C79" s="143"/>
      <c r="D79" s="104">
        <f>SUM('SCHEDULE OF VALUE WORKSHEET'!E75)</f>
        <v>0</v>
      </c>
      <c r="E79" s="104">
        <f>SUM('Draw #18'!E79:F79)</f>
        <v>0</v>
      </c>
      <c r="F79" s="105">
        <v>0</v>
      </c>
      <c r="G79" s="104">
        <f>SUM('Draw #18'!G79)+F79</f>
        <v>0</v>
      </c>
      <c r="H79" s="109">
        <f t="shared" si="2"/>
        <v>0</v>
      </c>
      <c r="I79" s="110">
        <v>0</v>
      </c>
      <c r="J79" s="109">
        <f>SUM(I79+'Draw #18'!J79)</f>
        <v>0</v>
      </c>
      <c r="K79" s="101" t="str">
        <f t="shared" si="3"/>
        <v/>
      </c>
      <c r="L79" s="9"/>
      <c r="M79" s="9"/>
    </row>
    <row r="80" spans="1:13" ht="14.1" customHeight="1">
      <c r="A80" s="4">
        <f>'SCHEDULE OF VALUE WORKSHEET'!A76</f>
        <v>70</v>
      </c>
      <c r="B80" s="142" t="str">
        <f>'SCHEDULE OF VALUE WORKSHEET'!B76</f>
        <v>ROUGH PLUMBING</v>
      </c>
      <c r="C80" s="143"/>
      <c r="D80" s="104">
        <f>SUM('SCHEDULE OF VALUE WORKSHEET'!E76)</f>
        <v>751927</v>
      </c>
      <c r="E80" s="104">
        <f>SUM('Draw #18'!E80:F80)</f>
        <v>0</v>
      </c>
      <c r="F80" s="105">
        <v>0</v>
      </c>
      <c r="G80" s="104">
        <f>SUM('Draw #18'!G80)+F80</f>
        <v>751927</v>
      </c>
      <c r="H80" s="109">
        <f t="shared" si="2"/>
        <v>751927</v>
      </c>
      <c r="I80" s="110">
        <v>0</v>
      </c>
      <c r="J80" s="109">
        <f>SUM(I80+'Draw #18'!J80)</f>
        <v>0</v>
      </c>
      <c r="K80" s="101" t="str">
        <f t="shared" si="3"/>
        <v/>
      </c>
      <c r="L80" s="9"/>
      <c r="M80" s="9"/>
    </row>
    <row r="81" spans="1:13" ht="14.1" customHeight="1">
      <c r="A81" s="4">
        <f>'SCHEDULE OF VALUE WORKSHEET'!A77</f>
        <v>71</v>
      </c>
      <c r="B81" s="142" t="str">
        <f>'SCHEDULE OF VALUE WORKSHEET'!B77</f>
        <v>FINISH PLUMBING</v>
      </c>
      <c r="C81" s="143"/>
      <c r="D81" s="104">
        <f>SUM('SCHEDULE OF VALUE WORKSHEET'!E77)</f>
        <v>90000</v>
      </c>
      <c r="E81" s="104">
        <f>SUM('Draw #18'!E81:F81)</f>
        <v>0</v>
      </c>
      <c r="F81" s="105">
        <v>0</v>
      </c>
      <c r="G81" s="104">
        <f>SUM('Draw #18'!G81)+F81</f>
        <v>90000</v>
      </c>
      <c r="H81" s="109">
        <f t="shared" si="2"/>
        <v>90000</v>
      </c>
      <c r="I81" s="110">
        <v>0</v>
      </c>
      <c r="J81" s="109">
        <f>SUM(I81+'Draw #18'!J81)</f>
        <v>0</v>
      </c>
      <c r="K81" s="101" t="str">
        <f t="shared" si="3"/>
        <v/>
      </c>
      <c r="L81" s="9"/>
      <c r="M81" s="9"/>
    </row>
    <row r="82" spans="1:13" ht="14.1" customHeight="1">
      <c r="A82" s="4">
        <f>'SCHEDULE OF VALUE WORKSHEET'!A78</f>
        <v>72</v>
      </c>
      <c r="B82" s="142" t="str">
        <f>'SCHEDULE OF VALUE WORKSHEET'!B78</f>
        <v>HVAC</v>
      </c>
      <c r="C82" s="143"/>
      <c r="D82" s="104">
        <f>SUM('SCHEDULE OF VALUE WORKSHEET'!E78)</f>
        <v>259000</v>
      </c>
      <c r="E82" s="104">
        <f>SUM('Draw #18'!E82:F82)</f>
        <v>0</v>
      </c>
      <c r="F82" s="105">
        <v>0</v>
      </c>
      <c r="G82" s="104">
        <f>SUM('Draw #18'!G82)+F82</f>
        <v>259000</v>
      </c>
      <c r="H82" s="109">
        <f t="shared" si="2"/>
        <v>259000</v>
      </c>
      <c r="I82" s="110">
        <v>0</v>
      </c>
      <c r="J82" s="109">
        <f>SUM(I82+'Draw #18'!J82)</f>
        <v>0</v>
      </c>
      <c r="K82" s="101" t="str">
        <f t="shared" si="3"/>
        <v/>
      </c>
      <c r="L82" s="9"/>
      <c r="M82" s="9"/>
    </row>
    <row r="83" spans="1:13" ht="14.1" customHeight="1">
      <c r="A83" s="4">
        <f>'SCHEDULE OF VALUE WORKSHEET'!A79</f>
        <v>73</v>
      </c>
      <c r="B83" s="142" t="str">
        <f>'SCHEDULE OF VALUE WORKSHEET'!B79</f>
        <v>ELECTRICAL</v>
      </c>
      <c r="C83" s="143"/>
      <c r="D83" s="104">
        <f>SUM('SCHEDULE OF VALUE WORKSHEET'!E79)</f>
        <v>880486.32</v>
      </c>
      <c r="E83" s="104">
        <f>SUM('Draw #18'!E83:F83)</f>
        <v>0</v>
      </c>
      <c r="F83" s="105">
        <v>0</v>
      </c>
      <c r="G83" s="104">
        <f>SUM('Draw #18'!G83)+F83</f>
        <v>880486.32</v>
      </c>
      <c r="H83" s="109">
        <f t="shared" si="2"/>
        <v>880486.32</v>
      </c>
      <c r="I83" s="110">
        <v>0</v>
      </c>
      <c r="J83" s="109">
        <f>SUM(I83+'Draw #18'!J83)</f>
        <v>0</v>
      </c>
      <c r="K83" s="101" t="str">
        <f t="shared" si="3"/>
        <v/>
      </c>
      <c r="L83" s="9"/>
      <c r="M83" s="9"/>
    </row>
    <row r="84" spans="1:13" ht="14.1" customHeight="1">
      <c r="A84" s="4">
        <f>'SCHEDULE OF VALUE WORKSHEET'!A80</f>
        <v>74</v>
      </c>
      <c r="B84" s="142" t="str">
        <f>'SCHEDULE OF VALUE WORKSHEET'!B80</f>
        <v xml:space="preserve">CONTINGENCY </v>
      </c>
      <c r="C84" s="143"/>
      <c r="D84" s="104">
        <f>SUM('SCHEDULE OF VALUE WORKSHEET'!E80)</f>
        <v>529215.20000000007</v>
      </c>
      <c r="E84" s="104">
        <f>SUM('Draw #18'!E84:F84)</f>
        <v>0</v>
      </c>
      <c r="F84" s="105">
        <v>0</v>
      </c>
      <c r="G84" s="104">
        <f>SUM('Draw #18'!G84)+F84</f>
        <v>529215.20000000007</v>
      </c>
      <c r="H84" s="109">
        <f t="shared" si="2"/>
        <v>529215.20000000007</v>
      </c>
      <c r="I84" s="110">
        <v>0</v>
      </c>
      <c r="J84" s="109">
        <f>SUM(I84+'Draw #18'!J84)</f>
        <v>0</v>
      </c>
      <c r="K84" s="101" t="str">
        <f t="shared" si="3"/>
        <v/>
      </c>
      <c r="L84" s="9"/>
      <c r="M84" s="9"/>
    </row>
    <row r="85" spans="1:13" ht="14.1" customHeight="1">
      <c r="A85" s="4">
        <f>'SCHEDULE OF VALUE WORKSHEET'!A81</f>
        <v>75</v>
      </c>
      <c r="B85" s="142" t="str">
        <f>'SCHEDULE OF VALUE WORKSHEET'!B81</f>
        <v>INSURANCE (GL w/auto, workers compl)</v>
      </c>
      <c r="C85" s="143"/>
      <c r="D85" s="104">
        <f>SUM('SCHEDULE OF VALUE WORKSHEET'!E81)</f>
        <v>97177.07</v>
      </c>
      <c r="E85" s="104">
        <f>SUM('Draw #18'!E85:F85)</f>
        <v>0</v>
      </c>
      <c r="F85" s="105">
        <v>0</v>
      </c>
      <c r="G85" s="104">
        <f>SUM('Draw #18'!G85)+F85</f>
        <v>97177.07</v>
      </c>
      <c r="H85" s="109">
        <f t="shared" si="2"/>
        <v>97177.07</v>
      </c>
      <c r="I85" s="110">
        <v>0</v>
      </c>
      <c r="J85" s="109">
        <f>SUM(I85+'Draw #18'!J85)</f>
        <v>0</v>
      </c>
      <c r="K85" s="101" t="str">
        <f t="shared" si="3"/>
        <v/>
      </c>
      <c r="L85" s="9"/>
      <c r="M85" s="9"/>
    </row>
    <row r="86" spans="1:13" ht="14.1" customHeight="1">
      <c r="A86" s="4">
        <f>'SCHEDULE OF VALUE WORKSHEET'!A82</f>
        <v>76</v>
      </c>
      <c r="B86" s="142" t="str">
        <f>'SCHEDULE OF VALUE WORKSHEET'!B82</f>
        <v>GROSS RECEIPT TAX</v>
      </c>
      <c r="C86" s="143"/>
      <c r="D86" s="104">
        <f>SUM('SCHEDULE OF VALUE WORKSHEET'!E82)</f>
        <v>6543.26</v>
      </c>
      <c r="E86" s="104">
        <f>SUM('Draw #18'!E86:F86)</f>
        <v>0</v>
      </c>
      <c r="F86" s="105">
        <v>0</v>
      </c>
      <c r="G86" s="104">
        <f>SUM('Draw #18'!G86)+F86</f>
        <v>6543.26</v>
      </c>
      <c r="H86" s="109">
        <f t="shared" si="2"/>
        <v>6543.26</v>
      </c>
      <c r="I86" s="110">
        <v>0</v>
      </c>
      <c r="J86" s="109">
        <f>SUM(I86+'Draw #18'!J86)</f>
        <v>0</v>
      </c>
      <c r="K86" s="101" t="str">
        <f t="shared" si="3"/>
        <v/>
      </c>
      <c r="L86" s="9"/>
      <c r="M86" s="9"/>
    </row>
    <row r="87" spans="1:13" ht="14.1" customHeight="1">
      <c r="A87" s="4">
        <f>'SCHEDULE OF VALUE WORKSHEET'!A83</f>
        <v>77</v>
      </c>
      <c r="B87" s="142" t="str">
        <f>'SCHEDULE OF VALUE WORKSHEET'!B83</f>
        <v>GC FEE</v>
      </c>
      <c r="C87" s="143"/>
      <c r="D87" s="104">
        <f>SUM('SCHEDULE OF VALUE WORKSHEET'!E83)</f>
        <v>388708.28</v>
      </c>
      <c r="E87" s="104">
        <f>SUM('Draw #18'!E87:F87)</f>
        <v>0</v>
      </c>
      <c r="F87" s="105">
        <v>0</v>
      </c>
      <c r="G87" s="104">
        <f>SUM('Draw #18'!G87)+F87</f>
        <v>388708.28</v>
      </c>
      <c r="H87" s="109">
        <f t="shared" si="2"/>
        <v>388708.28</v>
      </c>
      <c r="I87" s="110">
        <v>0</v>
      </c>
      <c r="J87" s="109">
        <f>SUM(I87+'Draw #18'!J87)</f>
        <v>0</v>
      </c>
      <c r="K87" s="101" t="str">
        <f t="shared" si="3"/>
        <v/>
      </c>
      <c r="L87" s="9"/>
      <c r="M87" s="9"/>
    </row>
    <row r="88" spans="1:13" ht="14.1" customHeight="1">
      <c r="A88" s="4">
        <f>'SCHEDULE OF VALUE WORKSHEET'!A84</f>
        <v>78</v>
      </c>
      <c r="B88" s="142" t="str">
        <f>'SCHEDULE OF VALUE WORKSHEET'!B84</f>
        <v>DEVELOPMENT FEE</v>
      </c>
      <c r="C88" s="143"/>
      <c r="D88" s="104">
        <f>SUM('SCHEDULE OF VALUE WORKSHEET'!E84)</f>
        <v>180523.5</v>
      </c>
      <c r="E88" s="104">
        <f>SUM('Draw #18'!E88:F88)</f>
        <v>0</v>
      </c>
      <c r="F88" s="105">
        <v>0</v>
      </c>
      <c r="G88" s="104">
        <f>SUM('Draw #18'!G88)+F88</f>
        <v>180523.5</v>
      </c>
      <c r="H88" s="109">
        <f t="shared" si="2"/>
        <v>180523.5</v>
      </c>
      <c r="I88" s="110">
        <v>0</v>
      </c>
      <c r="J88" s="109">
        <f>SUM(I88+'Draw #18'!J88)</f>
        <v>0</v>
      </c>
      <c r="K88" s="101" t="str">
        <f t="shared" si="3"/>
        <v/>
      </c>
      <c r="L88" s="9"/>
      <c r="M88" s="9"/>
    </row>
    <row r="89" spans="1:13" ht="14.1" customHeight="1">
      <c r="A89" s="4">
        <f>'SCHEDULE OF VALUE WORKSHEET'!A85</f>
        <v>79</v>
      </c>
      <c r="B89" s="142" t="str">
        <f>'SCHEDULE OF VALUE WORKSHEET'!B85</f>
        <v>CARRYING COSTS</v>
      </c>
      <c r="C89" s="143"/>
      <c r="D89" s="104">
        <f>SUM('SCHEDULE OF VALUE WORKSHEET'!E85)</f>
        <v>92885.53</v>
      </c>
      <c r="E89" s="104">
        <f>SUM('Draw #18'!E89:F89)</f>
        <v>0</v>
      </c>
      <c r="F89" s="105">
        <v>0</v>
      </c>
      <c r="G89" s="104">
        <f>SUM('Draw #18'!G89)+F89</f>
        <v>92885.53</v>
      </c>
      <c r="H89" s="109">
        <f t="shared" si="2"/>
        <v>92885.53</v>
      </c>
      <c r="I89" s="110">
        <v>0</v>
      </c>
      <c r="J89" s="109">
        <f>SUM(I89+'Draw #18'!J89)</f>
        <v>0</v>
      </c>
      <c r="K89" s="101" t="str">
        <f t="shared" si="3"/>
        <v/>
      </c>
      <c r="L89" s="9"/>
      <c r="M89" s="9"/>
    </row>
    <row r="90" spans="1:13" ht="14.1" customHeight="1">
      <c r="A90" s="4">
        <f>'SCHEDULE OF VALUE WORKSHEET'!A86</f>
        <v>80</v>
      </c>
      <c r="B90" s="142" t="str">
        <f>'SCHEDULE OF VALUE WORKSHEET'!B86</f>
        <v>FINANCING COSTS</v>
      </c>
      <c r="C90" s="143"/>
      <c r="D90" s="104">
        <f>SUM('SCHEDULE OF VALUE WORKSHEET'!E86)</f>
        <v>0</v>
      </c>
      <c r="E90" s="104">
        <f>SUM('Draw #18'!E90:F90)</f>
        <v>0</v>
      </c>
      <c r="F90" s="105">
        <v>0</v>
      </c>
      <c r="G90" s="104">
        <f>SUM('Draw #18'!G90)+F90</f>
        <v>0</v>
      </c>
      <c r="H90" s="109">
        <f t="shared" si="2"/>
        <v>0</v>
      </c>
      <c r="I90" s="110">
        <v>0</v>
      </c>
      <c r="J90" s="109">
        <f>SUM(I90+'Draw #18'!J90)</f>
        <v>0</v>
      </c>
      <c r="K90" s="101" t="str">
        <f t="shared" si="3"/>
        <v/>
      </c>
      <c r="L90" s="9"/>
      <c r="M90" s="9"/>
    </row>
    <row r="91" spans="1:13" ht="14.1" customHeight="1">
      <c r="A91" s="4" t="e">
        <f>'SCHEDULE OF VALUE WORKSHEET'!#REF!</f>
        <v>#REF!</v>
      </c>
      <c r="B91" s="142" t="e">
        <f>'SCHEDULE OF VALUE WORKSHEET'!#REF!</f>
        <v>#REF!</v>
      </c>
      <c r="C91" s="143"/>
      <c r="D91" s="104" t="e">
        <f>SUM('SCHEDULE OF VALUE WORKSHEET'!#REF!)</f>
        <v>#REF!</v>
      </c>
      <c r="E91" s="104">
        <f>SUM('Draw #18'!E91:F91)</f>
        <v>0</v>
      </c>
      <c r="F91" s="105">
        <v>0</v>
      </c>
      <c r="G91" s="104" t="e">
        <f>SUM('Draw #18'!G91)+F91</f>
        <v>#REF!</v>
      </c>
      <c r="H91" s="109" t="e">
        <f t="shared" si="2"/>
        <v>#REF!</v>
      </c>
      <c r="I91" s="110">
        <v>0</v>
      </c>
      <c r="J91" s="109">
        <f>SUM(I91+'Draw #18'!J91)</f>
        <v>0</v>
      </c>
      <c r="K91" s="101" t="str">
        <f t="shared" si="3"/>
        <v/>
      </c>
      <c r="L91" s="9"/>
      <c r="M91" s="9"/>
    </row>
    <row r="92" spans="1:13" ht="14.1" customHeight="1">
      <c r="A92" s="4" t="e">
        <f>'SCHEDULE OF VALUE WORKSHEET'!#REF!</f>
        <v>#REF!</v>
      </c>
      <c r="B92" s="142" t="e">
        <f>'SCHEDULE OF VALUE WORKSHEET'!#REF!</f>
        <v>#REF!</v>
      </c>
      <c r="C92" s="143"/>
      <c r="D92" s="104" t="e">
        <f>SUM('SCHEDULE OF VALUE WORKSHEET'!#REF!)</f>
        <v>#REF!</v>
      </c>
      <c r="E92" s="104">
        <f>SUM('Draw #18'!E92:F92)</f>
        <v>0</v>
      </c>
      <c r="F92" s="105">
        <v>0</v>
      </c>
      <c r="G92" s="104" t="e">
        <f>SUM('Draw #18'!G92)+F92</f>
        <v>#REF!</v>
      </c>
      <c r="H92" s="109" t="e">
        <f t="shared" si="2"/>
        <v>#REF!</v>
      </c>
      <c r="I92" s="110">
        <v>0</v>
      </c>
      <c r="J92" s="109">
        <f>SUM(I92+'Draw #18'!J92)</f>
        <v>0</v>
      </c>
      <c r="K92" s="101" t="str">
        <f t="shared" si="3"/>
        <v/>
      </c>
      <c r="L92" s="9"/>
      <c r="M92" s="9"/>
    </row>
    <row r="93" spans="1:13" ht="14.1" customHeight="1">
      <c r="A93" s="4" t="e">
        <f>'SCHEDULE OF VALUE WORKSHEET'!#REF!</f>
        <v>#REF!</v>
      </c>
      <c r="B93" s="142" t="e">
        <f>'SCHEDULE OF VALUE WORKSHEET'!#REF!</f>
        <v>#REF!</v>
      </c>
      <c r="C93" s="143"/>
      <c r="D93" s="104" t="e">
        <f>SUM('SCHEDULE OF VALUE WORKSHEET'!#REF!)</f>
        <v>#REF!</v>
      </c>
      <c r="E93" s="104">
        <f>SUM('Draw #18'!E93:F93)</f>
        <v>0</v>
      </c>
      <c r="F93" s="105">
        <v>0</v>
      </c>
      <c r="G93" s="104" t="e">
        <f>SUM('Draw #18'!G93)+F93</f>
        <v>#REF!</v>
      </c>
      <c r="H93" s="109" t="e">
        <f t="shared" si="2"/>
        <v>#REF!</v>
      </c>
      <c r="I93" s="110">
        <v>0</v>
      </c>
      <c r="J93" s="109">
        <f>SUM(I93+'Draw #18'!J93)</f>
        <v>0</v>
      </c>
      <c r="K93" s="101" t="str">
        <f t="shared" si="3"/>
        <v/>
      </c>
      <c r="L93" s="9"/>
      <c r="M93" s="9"/>
    </row>
    <row r="94" spans="1:13" ht="14.1" customHeight="1">
      <c r="A94" s="4" t="e">
        <f>'SCHEDULE OF VALUE WORKSHEET'!#REF!</f>
        <v>#REF!</v>
      </c>
      <c r="B94" s="142" t="e">
        <f>'SCHEDULE OF VALUE WORKSHEET'!#REF!</f>
        <v>#REF!</v>
      </c>
      <c r="C94" s="143"/>
      <c r="D94" s="104" t="e">
        <f>SUM('SCHEDULE OF VALUE WORKSHEET'!#REF!)</f>
        <v>#REF!</v>
      </c>
      <c r="E94" s="104">
        <f>SUM('Draw #18'!E94:F94)</f>
        <v>0</v>
      </c>
      <c r="F94" s="105">
        <v>0</v>
      </c>
      <c r="G94" s="104" t="e">
        <f>SUM('Draw #18'!G94)+F94</f>
        <v>#REF!</v>
      </c>
      <c r="H94" s="109" t="e">
        <f t="shared" si="2"/>
        <v>#REF!</v>
      </c>
      <c r="I94" s="110">
        <v>0</v>
      </c>
      <c r="J94" s="109">
        <f>SUM(I94+'Draw #18'!J94)</f>
        <v>0</v>
      </c>
      <c r="K94" s="101" t="str">
        <f t="shared" si="3"/>
        <v/>
      </c>
      <c r="L94" s="9"/>
      <c r="M94" s="9"/>
    </row>
    <row r="95" spans="1:13" ht="14.1" customHeight="1">
      <c r="A95" s="4" t="e">
        <f>'SCHEDULE OF VALUE WORKSHEET'!#REF!</f>
        <v>#REF!</v>
      </c>
      <c r="B95" s="142" t="e">
        <f>'SCHEDULE OF VALUE WORKSHEET'!#REF!</f>
        <v>#REF!</v>
      </c>
      <c r="C95" s="143"/>
      <c r="D95" s="104" t="e">
        <f>SUM('SCHEDULE OF VALUE WORKSHEET'!#REF!)</f>
        <v>#REF!</v>
      </c>
      <c r="E95" s="104">
        <f>SUM('Draw #18'!E95:F95)</f>
        <v>0</v>
      </c>
      <c r="F95" s="105">
        <v>0</v>
      </c>
      <c r="G95" s="104" t="e">
        <f>SUM('Draw #18'!G95)+F95</f>
        <v>#REF!</v>
      </c>
      <c r="H95" s="109" t="e">
        <f t="shared" si="2"/>
        <v>#REF!</v>
      </c>
      <c r="I95" s="110">
        <v>0</v>
      </c>
      <c r="J95" s="109">
        <f>SUM(I95+'Draw #18'!J95)</f>
        <v>0</v>
      </c>
      <c r="K95" s="101" t="str">
        <f t="shared" si="3"/>
        <v/>
      </c>
      <c r="L95" s="9"/>
      <c r="M95" s="9"/>
    </row>
    <row r="96" spans="1:13" ht="14.1" customHeight="1">
      <c r="A96" s="4" t="e">
        <f>'SCHEDULE OF VALUE WORKSHEET'!#REF!</f>
        <v>#REF!</v>
      </c>
      <c r="B96" s="142" t="e">
        <f>'SCHEDULE OF VALUE WORKSHEET'!#REF!</f>
        <v>#REF!</v>
      </c>
      <c r="C96" s="143"/>
      <c r="D96" s="104" t="e">
        <f>SUM('SCHEDULE OF VALUE WORKSHEET'!#REF!)</f>
        <v>#REF!</v>
      </c>
      <c r="E96" s="104">
        <f>SUM('Draw #18'!E96:F96)</f>
        <v>0</v>
      </c>
      <c r="F96" s="105">
        <v>0</v>
      </c>
      <c r="G96" s="104" t="e">
        <f>SUM('Draw #18'!G96)+F96</f>
        <v>#REF!</v>
      </c>
      <c r="H96" s="109" t="e">
        <f t="shared" si="2"/>
        <v>#REF!</v>
      </c>
      <c r="I96" s="110">
        <v>0</v>
      </c>
      <c r="J96" s="109">
        <f>SUM(I96+'Draw #18'!J96)</f>
        <v>0</v>
      </c>
      <c r="K96" s="101" t="str">
        <f t="shared" si="3"/>
        <v/>
      </c>
      <c r="L96" s="9"/>
      <c r="M96" s="9"/>
    </row>
    <row r="97" spans="1:13" ht="14.1" customHeight="1">
      <c r="A97" s="4" t="e">
        <f>'SCHEDULE OF VALUE WORKSHEET'!#REF!</f>
        <v>#REF!</v>
      </c>
      <c r="B97" s="142" t="e">
        <f>'SCHEDULE OF VALUE WORKSHEET'!#REF!</f>
        <v>#REF!</v>
      </c>
      <c r="C97" s="143"/>
      <c r="D97" s="104" t="e">
        <f>SUM('SCHEDULE OF VALUE WORKSHEET'!#REF!)</f>
        <v>#REF!</v>
      </c>
      <c r="E97" s="104">
        <f>SUM('Draw #18'!E97:F97)</f>
        <v>0</v>
      </c>
      <c r="F97" s="105">
        <v>0</v>
      </c>
      <c r="G97" s="104" t="e">
        <f>SUM('Draw #18'!G97)+F97</f>
        <v>#REF!</v>
      </c>
      <c r="H97" s="109" t="e">
        <f t="shared" si="2"/>
        <v>#REF!</v>
      </c>
      <c r="I97" s="110">
        <v>0</v>
      </c>
      <c r="J97" s="109">
        <f>SUM(I97+'Draw #18'!J97)</f>
        <v>0</v>
      </c>
      <c r="K97" s="101" t="str">
        <f t="shared" si="3"/>
        <v/>
      </c>
      <c r="L97" s="9"/>
      <c r="M97" s="9"/>
    </row>
    <row r="98" spans="1:13" ht="14.1" customHeight="1">
      <c r="A98" s="4" t="e">
        <f>'SCHEDULE OF VALUE WORKSHEET'!#REF!</f>
        <v>#REF!</v>
      </c>
      <c r="B98" s="142" t="e">
        <f>'SCHEDULE OF VALUE WORKSHEET'!#REF!</f>
        <v>#REF!</v>
      </c>
      <c r="C98" s="143"/>
      <c r="D98" s="104" t="e">
        <f>SUM('SCHEDULE OF VALUE WORKSHEET'!#REF!)</f>
        <v>#REF!</v>
      </c>
      <c r="E98" s="104">
        <f>SUM('Draw #18'!E98:F98)</f>
        <v>0</v>
      </c>
      <c r="F98" s="105">
        <v>0</v>
      </c>
      <c r="G98" s="104" t="e">
        <f>SUM('Draw #18'!G98)+F98</f>
        <v>#REF!</v>
      </c>
      <c r="H98" s="109" t="e">
        <f t="shared" si="2"/>
        <v>#REF!</v>
      </c>
      <c r="I98" s="110">
        <v>0</v>
      </c>
      <c r="J98" s="109">
        <f>SUM(I98+'Draw #18'!J98)</f>
        <v>0</v>
      </c>
      <c r="K98" s="101" t="str">
        <f t="shared" si="3"/>
        <v/>
      </c>
      <c r="L98" s="9"/>
      <c r="M98" s="9"/>
    </row>
    <row r="99" spans="1:13" ht="14.1" customHeight="1">
      <c r="A99" s="4" t="e">
        <f>'SCHEDULE OF VALUE WORKSHEET'!#REF!</f>
        <v>#REF!</v>
      </c>
      <c r="B99" s="142" t="e">
        <f>'SCHEDULE OF VALUE WORKSHEET'!#REF!</f>
        <v>#REF!</v>
      </c>
      <c r="C99" s="143"/>
      <c r="D99" s="104" t="e">
        <f>SUM('SCHEDULE OF VALUE WORKSHEET'!#REF!)</f>
        <v>#REF!</v>
      </c>
      <c r="E99" s="104">
        <f>SUM('Draw #18'!E99:F99)</f>
        <v>0</v>
      </c>
      <c r="F99" s="105">
        <v>0</v>
      </c>
      <c r="G99" s="104" t="e">
        <f>SUM('Draw #18'!G99)+F99</f>
        <v>#REF!</v>
      </c>
      <c r="H99" s="109" t="e">
        <f t="shared" si="2"/>
        <v>#REF!</v>
      </c>
      <c r="I99" s="110">
        <v>0</v>
      </c>
      <c r="J99" s="109">
        <f>SUM(I99+'Draw #18'!J99)</f>
        <v>0</v>
      </c>
      <c r="K99" s="101" t="str">
        <f t="shared" si="3"/>
        <v/>
      </c>
      <c r="L99" s="9"/>
      <c r="M99" s="9"/>
    </row>
    <row r="100" spans="1:13" ht="14.1" customHeight="1">
      <c r="A100" s="4" t="e">
        <f>'SCHEDULE OF VALUE WORKSHEET'!#REF!</f>
        <v>#REF!</v>
      </c>
      <c r="B100" s="142" t="e">
        <f>'SCHEDULE OF VALUE WORKSHEET'!#REF!</f>
        <v>#REF!</v>
      </c>
      <c r="C100" s="143"/>
      <c r="D100" s="104" t="e">
        <f>SUM('SCHEDULE OF VALUE WORKSHEET'!#REF!)</f>
        <v>#REF!</v>
      </c>
      <c r="E100" s="104">
        <f>SUM('Draw #18'!E100:F100)</f>
        <v>0</v>
      </c>
      <c r="F100" s="105">
        <v>0</v>
      </c>
      <c r="G100" s="104" t="e">
        <f>SUM('Draw #18'!G100)+F100</f>
        <v>#REF!</v>
      </c>
      <c r="H100" s="109" t="e">
        <f t="shared" si="2"/>
        <v>#REF!</v>
      </c>
      <c r="I100" s="110">
        <v>0</v>
      </c>
      <c r="J100" s="109">
        <f>SUM(I100+'Draw #18'!J100)</f>
        <v>0</v>
      </c>
      <c r="K100" s="101" t="str">
        <f t="shared" si="3"/>
        <v/>
      </c>
      <c r="L100" s="9"/>
      <c r="M100" s="9"/>
    </row>
    <row r="101" spans="1:13" ht="14.1" customHeight="1">
      <c r="A101" s="4" t="e">
        <f>'SCHEDULE OF VALUE WORKSHEET'!#REF!</f>
        <v>#REF!</v>
      </c>
      <c r="B101" s="142" t="e">
        <f>'SCHEDULE OF VALUE WORKSHEET'!#REF!</f>
        <v>#REF!</v>
      </c>
      <c r="C101" s="143"/>
      <c r="D101" s="104" t="e">
        <f>SUM('SCHEDULE OF VALUE WORKSHEET'!#REF!)</f>
        <v>#REF!</v>
      </c>
      <c r="E101" s="104">
        <f>SUM('Draw #18'!E101:F101)</f>
        <v>0</v>
      </c>
      <c r="F101" s="105">
        <v>0</v>
      </c>
      <c r="G101" s="104" t="e">
        <f>SUM('Draw #18'!G101)+F101</f>
        <v>#REF!</v>
      </c>
      <c r="H101" s="109" t="e">
        <f t="shared" si="2"/>
        <v>#REF!</v>
      </c>
      <c r="I101" s="110">
        <v>0</v>
      </c>
      <c r="J101" s="109">
        <f>SUM(I101+'Draw #18'!J101)</f>
        <v>0</v>
      </c>
      <c r="K101" s="101" t="str">
        <f t="shared" si="3"/>
        <v/>
      </c>
      <c r="L101" s="9"/>
      <c r="M101" s="9"/>
    </row>
    <row r="102" spans="1:13" ht="14.1" customHeight="1">
      <c r="A102" s="4" t="e">
        <f>'SCHEDULE OF VALUE WORKSHEET'!#REF!</f>
        <v>#REF!</v>
      </c>
      <c r="B102" s="142" t="e">
        <f>'SCHEDULE OF VALUE WORKSHEET'!#REF!</f>
        <v>#REF!</v>
      </c>
      <c r="C102" s="143"/>
      <c r="D102" s="104" t="e">
        <f>SUM('SCHEDULE OF VALUE WORKSHEET'!#REF!)</f>
        <v>#REF!</v>
      </c>
      <c r="E102" s="104">
        <f>SUM('Draw #18'!E102:F102)</f>
        <v>0</v>
      </c>
      <c r="F102" s="105">
        <v>0</v>
      </c>
      <c r="G102" s="104" t="e">
        <f>SUM('Draw #18'!G102)+F102</f>
        <v>#REF!</v>
      </c>
      <c r="H102" s="109" t="e">
        <f t="shared" si="2"/>
        <v>#REF!</v>
      </c>
      <c r="I102" s="110">
        <v>0</v>
      </c>
      <c r="J102" s="109">
        <f>SUM(I102+'Draw #18'!J102)</f>
        <v>0</v>
      </c>
      <c r="K102" s="101" t="str">
        <f t="shared" si="3"/>
        <v/>
      </c>
      <c r="L102" s="9"/>
      <c r="M102" s="9"/>
    </row>
    <row r="103" spans="1:13" ht="14.1" customHeight="1">
      <c r="A103" s="4" t="e">
        <f>'SCHEDULE OF VALUE WORKSHEET'!#REF!</f>
        <v>#REF!</v>
      </c>
      <c r="B103" s="142" t="e">
        <f>'SCHEDULE OF VALUE WORKSHEET'!#REF!</f>
        <v>#REF!</v>
      </c>
      <c r="C103" s="143"/>
      <c r="D103" s="104" t="e">
        <f>SUM('SCHEDULE OF VALUE WORKSHEET'!#REF!)</f>
        <v>#REF!</v>
      </c>
      <c r="E103" s="104">
        <f>SUM('Draw #18'!E103:F103)</f>
        <v>0</v>
      </c>
      <c r="F103" s="105">
        <v>0</v>
      </c>
      <c r="G103" s="104" t="e">
        <f>SUM('Draw #18'!G103)+F103</f>
        <v>#REF!</v>
      </c>
      <c r="H103" s="109" t="e">
        <f t="shared" si="2"/>
        <v>#REF!</v>
      </c>
      <c r="I103" s="110">
        <v>0</v>
      </c>
      <c r="J103" s="109">
        <f>SUM(I103+'Draw #18'!J103)</f>
        <v>0</v>
      </c>
      <c r="K103" s="101" t="str">
        <f t="shared" si="3"/>
        <v/>
      </c>
      <c r="L103" s="9"/>
      <c r="M103" s="9"/>
    </row>
    <row r="104" spans="1:13" ht="14.1" customHeight="1">
      <c r="A104" s="4" t="e">
        <f>'SCHEDULE OF VALUE WORKSHEET'!#REF!</f>
        <v>#REF!</v>
      </c>
      <c r="B104" s="142" t="e">
        <f>'SCHEDULE OF VALUE WORKSHEET'!#REF!</f>
        <v>#REF!</v>
      </c>
      <c r="C104" s="143"/>
      <c r="D104" s="104" t="e">
        <f>SUM('SCHEDULE OF VALUE WORKSHEET'!#REF!)</f>
        <v>#REF!</v>
      </c>
      <c r="E104" s="104">
        <f>SUM('Draw #18'!E104:F104)</f>
        <v>0</v>
      </c>
      <c r="F104" s="105">
        <v>0</v>
      </c>
      <c r="G104" s="104" t="e">
        <f>SUM('Draw #18'!G104)+F104</f>
        <v>#REF!</v>
      </c>
      <c r="H104" s="109" t="e">
        <f t="shared" si="2"/>
        <v>#REF!</v>
      </c>
      <c r="I104" s="110">
        <v>0</v>
      </c>
      <c r="J104" s="109">
        <f>SUM(I104+'Draw #18'!J104)</f>
        <v>0</v>
      </c>
      <c r="K104" s="101" t="str">
        <f t="shared" si="3"/>
        <v/>
      </c>
      <c r="L104" s="9"/>
      <c r="M104" s="9"/>
    </row>
    <row r="105" spans="1:13" ht="14.1" customHeight="1">
      <c r="A105" s="4" t="e">
        <f>'SCHEDULE OF VALUE WORKSHEET'!#REF!</f>
        <v>#REF!</v>
      </c>
      <c r="B105" s="142" t="e">
        <f>'SCHEDULE OF VALUE WORKSHEET'!#REF!</f>
        <v>#REF!</v>
      </c>
      <c r="C105" s="143"/>
      <c r="D105" s="104" t="e">
        <f>SUM('SCHEDULE OF VALUE WORKSHEET'!#REF!)</f>
        <v>#REF!</v>
      </c>
      <c r="E105" s="104">
        <f>SUM('Draw #18'!E105:F105)</f>
        <v>0</v>
      </c>
      <c r="F105" s="105">
        <v>0</v>
      </c>
      <c r="G105" s="104" t="e">
        <f>SUM('Draw #18'!G105)+F105</f>
        <v>#REF!</v>
      </c>
      <c r="H105" s="109" t="e">
        <f t="shared" si="2"/>
        <v>#REF!</v>
      </c>
      <c r="I105" s="110">
        <v>0</v>
      </c>
      <c r="J105" s="109">
        <f>SUM(I105+'Draw #18'!J105)</f>
        <v>0</v>
      </c>
      <c r="K105" s="101" t="str">
        <f t="shared" si="3"/>
        <v/>
      </c>
      <c r="L105" s="9"/>
      <c r="M105" s="9"/>
    </row>
    <row r="106" spans="1:13" ht="14.1" customHeight="1">
      <c r="A106" s="4" t="e">
        <f>'SCHEDULE OF VALUE WORKSHEET'!#REF!</f>
        <v>#REF!</v>
      </c>
      <c r="B106" s="142" t="e">
        <f>'SCHEDULE OF VALUE WORKSHEET'!#REF!</f>
        <v>#REF!</v>
      </c>
      <c r="C106" s="143"/>
      <c r="D106" s="104" t="e">
        <f>SUM('SCHEDULE OF VALUE WORKSHEET'!#REF!)</f>
        <v>#REF!</v>
      </c>
      <c r="E106" s="104">
        <f>SUM('Draw #18'!E106:F106)</f>
        <v>0</v>
      </c>
      <c r="F106" s="105">
        <v>0</v>
      </c>
      <c r="G106" s="104" t="e">
        <f>SUM('Draw #18'!G106)+F106</f>
        <v>#REF!</v>
      </c>
      <c r="H106" s="109" t="e">
        <f t="shared" si="2"/>
        <v>#REF!</v>
      </c>
      <c r="I106" s="110">
        <v>0</v>
      </c>
      <c r="J106" s="109">
        <f>SUM(I106+'Draw #18'!J106)</f>
        <v>0</v>
      </c>
      <c r="K106" s="101" t="str">
        <f t="shared" si="3"/>
        <v/>
      </c>
      <c r="L106" s="9"/>
      <c r="M106" s="9"/>
    </row>
    <row r="107" spans="1:13" ht="14.1" customHeight="1">
      <c r="A107" s="4" t="e">
        <f>'SCHEDULE OF VALUE WORKSHEET'!#REF!</f>
        <v>#REF!</v>
      </c>
      <c r="B107" s="142" t="e">
        <f>'SCHEDULE OF VALUE WORKSHEET'!#REF!</f>
        <v>#REF!</v>
      </c>
      <c r="C107" s="143"/>
      <c r="D107" s="104" t="e">
        <f>SUM('SCHEDULE OF VALUE WORKSHEET'!#REF!)</f>
        <v>#REF!</v>
      </c>
      <c r="E107" s="104">
        <f>SUM('Draw #18'!E107:F107)</f>
        <v>0</v>
      </c>
      <c r="F107" s="105">
        <v>0</v>
      </c>
      <c r="G107" s="104" t="e">
        <f>SUM('Draw #18'!G107)+F107</f>
        <v>#REF!</v>
      </c>
      <c r="H107" s="109" t="e">
        <f t="shared" si="2"/>
        <v>#REF!</v>
      </c>
      <c r="I107" s="110">
        <v>0</v>
      </c>
      <c r="J107" s="109">
        <f>SUM(I107+'Draw #18'!J107)</f>
        <v>0</v>
      </c>
      <c r="K107" s="101" t="str">
        <f t="shared" si="3"/>
        <v/>
      </c>
      <c r="L107" s="9"/>
      <c r="M107" s="9"/>
    </row>
    <row r="108" spans="1:13" ht="14.1" customHeight="1">
      <c r="A108" s="4" t="e">
        <f>'SCHEDULE OF VALUE WORKSHEET'!#REF!</f>
        <v>#REF!</v>
      </c>
      <c r="B108" s="142" t="e">
        <f>'SCHEDULE OF VALUE WORKSHEET'!#REF!</f>
        <v>#REF!</v>
      </c>
      <c r="C108" s="143"/>
      <c r="D108" s="104" t="e">
        <f>SUM('SCHEDULE OF VALUE WORKSHEET'!#REF!)</f>
        <v>#REF!</v>
      </c>
      <c r="E108" s="104">
        <f>SUM('Draw #18'!E108:F108)</f>
        <v>0</v>
      </c>
      <c r="F108" s="105">
        <v>0</v>
      </c>
      <c r="G108" s="104" t="e">
        <f>SUM('Draw #18'!G108)+F108</f>
        <v>#REF!</v>
      </c>
      <c r="H108" s="109" t="e">
        <f t="shared" si="2"/>
        <v>#REF!</v>
      </c>
      <c r="I108" s="110">
        <v>0</v>
      </c>
      <c r="J108" s="109">
        <f>SUM(I108+'Draw #18'!J108)</f>
        <v>0</v>
      </c>
      <c r="K108" s="101" t="str">
        <f t="shared" si="3"/>
        <v/>
      </c>
      <c r="L108" s="9"/>
      <c r="M108" s="9"/>
    </row>
    <row r="109" spans="1:13" ht="14.1" customHeight="1">
      <c r="A109" s="4" t="e">
        <f>'SCHEDULE OF VALUE WORKSHEET'!#REF!</f>
        <v>#REF!</v>
      </c>
      <c r="B109" s="142" t="e">
        <f>'SCHEDULE OF VALUE WORKSHEET'!#REF!</f>
        <v>#REF!</v>
      </c>
      <c r="C109" s="143"/>
      <c r="D109" s="104" t="e">
        <f>SUM('SCHEDULE OF VALUE WORKSHEET'!#REF!)</f>
        <v>#REF!</v>
      </c>
      <c r="E109" s="104">
        <f>SUM('Draw #18'!E109:F109)</f>
        <v>0</v>
      </c>
      <c r="F109" s="105">
        <v>0</v>
      </c>
      <c r="G109" s="104" t="e">
        <f>SUM('Draw #18'!G109)+F109</f>
        <v>#REF!</v>
      </c>
      <c r="H109" s="109" t="e">
        <f t="shared" si="2"/>
        <v>#REF!</v>
      </c>
      <c r="I109" s="110">
        <v>0</v>
      </c>
      <c r="J109" s="109">
        <f>SUM(I109+'Draw #18'!J109)</f>
        <v>0</v>
      </c>
      <c r="K109" s="101" t="str">
        <f t="shared" si="3"/>
        <v/>
      </c>
      <c r="L109" s="9"/>
      <c r="M109" s="9"/>
    </row>
    <row r="110" spans="1:13" ht="14.1" customHeight="1">
      <c r="A110" s="4" t="e">
        <f>'SCHEDULE OF VALUE WORKSHEET'!#REF!</f>
        <v>#REF!</v>
      </c>
      <c r="B110" s="142" t="e">
        <f>'SCHEDULE OF VALUE WORKSHEET'!#REF!</f>
        <v>#REF!</v>
      </c>
      <c r="C110" s="143"/>
      <c r="D110" s="104" t="e">
        <f>SUM('SCHEDULE OF VALUE WORKSHEET'!#REF!)</f>
        <v>#REF!</v>
      </c>
      <c r="E110" s="104">
        <f>SUM('Draw #18'!E110:F110)</f>
        <v>0</v>
      </c>
      <c r="F110" s="105">
        <v>0</v>
      </c>
      <c r="G110" s="104" t="e">
        <f>SUM('Draw #18'!G110)+F110</f>
        <v>#REF!</v>
      </c>
      <c r="H110" s="109" t="e">
        <f t="shared" si="2"/>
        <v>#REF!</v>
      </c>
      <c r="I110" s="110">
        <v>0</v>
      </c>
      <c r="J110" s="109">
        <f>SUM(I110+'Draw #18'!J110)</f>
        <v>0</v>
      </c>
      <c r="K110" s="101" t="str">
        <f t="shared" si="3"/>
        <v/>
      </c>
      <c r="L110" s="9"/>
      <c r="M110" s="9"/>
    </row>
    <row r="111" spans="1:13" ht="14.1" customHeight="1">
      <c r="A111" s="4" t="e">
        <f>'SCHEDULE OF VALUE WORKSHEET'!#REF!</f>
        <v>#REF!</v>
      </c>
      <c r="B111" s="142" t="e">
        <f>'SCHEDULE OF VALUE WORKSHEET'!#REF!</f>
        <v>#REF!</v>
      </c>
      <c r="C111" s="143"/>
      <c r="D111" s="104" t="e">
        <f>SUM('SCHEDULE OF VALUE WORKSHEET'!#REF!)</f>
        <v>#REF!</v>
      </c>
      <c r="E111" s="104">
        <f>SUM('Draw #18'!E111:F111)</f>
        <v>0</v>
      </c>
      <c r="F111" s="105">
        <v>0</v>
      </c>
      <c r="G111" s="104" t="e">
        <f>SUM('Draw #18'!G111)+F111</f>
        <v>#REF!</v>
      </c>
      <c r="H111" s="109" t="e">
        <f t="shared" si="2"/>
        <v>#REF!</v>
      </c>
      <c r="I111" s="110">
        <v>0</v>
      </c>
      <c r="J111" s="109">
        <f>SUM(I111+'Draw #18'!J111)</f>
        <v>0</v>
      </c>
      <c r="K111" s="101" t="str">
        <f t="shared" si="3"/>
        <v/>
      </c>
      <c r="L111" s="9"/>
      <c r="M111" s="9"/>
    </row>
    <row r="112" spans="1:13" ht="14.1" customHeight="1">
      <c r="A112" s="4" t="e">
        <f>'SCHEDULE OF VALUE WORKSHEET'!#REF!</f>
        <v>#REF!</v>
      </c>
      <c r="B112" s="142" t="e">
        <f>'SCHEDULE OF VALUE WORKSHEET'!#REF!</f>
        <v>#REF!</v>
      </c>
      <c r="C112" s="143"/>
      <c r="D112" s="104" t="e">
        <f>SUM('SCHEDULE OF VALUE WORKSHEET'!#REF!)</f>
        <v>#REF!</v>
      </c>
      <c r="E112" s="104">
        <f>SUM('Draw #18'!E112:F112)</f>
        <v>0</v>
      </c>
      <c r="F112" s="105">
        <v>0</v>
      </c>
      <c r="G112" s="104" t="e">
        <f>SUM('Draw #18'!G112)+F112</f>
        <v>#REF!</v>
      </c>
      <c r="H112" s="109" t="e">
        <f t="shared" si="2"/>
        <v>#REF!</v>
      </c>
      <c r="I112" s="110">
        <v>0</v>
      </c>
      <c r="J112" s="109">
        <f>SUM(I112+'Draw #18'!J112)</f>
        <v>0</v>
      </c>
      <c r="K112" s="101" t="str">
        <f t="shared" si="3"/>
        <v/>
      </c>
      <c r="L112" s="9"/>
      <c r="M112" s="9"/>
    </row>
    <row r="113" spans="1:13" ht="14.1" customHeight="1">
      <c r="A113" s="4" t="e">
        <f>'SCHEDULE OF VALUE WORKSHEET'!#REF!</f>
        <v>#REF!</v>
      </c>
      <c r="B113" s="142" t="e">
        <f>'SCHEDULE OF VALUE WORKSHEET'!#REF!</f>
        <v>#REF!</v>
      </c>
      <c r="C113" s="143"/>
      <c r="D113" s="104" t="e">
        <f>SUM('SCHEDULE OF VALUE WORKSHEET'!#REF!)</f>
        <v>#REF!</v>
      </c>
      <c r="E113" s="104">
        <f>SUM('Draw #18'!E113:F113)</f>
        <v>0</v>
      </c>
      <c r="F113" s="105">
        <v>0</v>
      </c>
      <c r="G113" s="104" t="e">
        <f>SUM('Draw #18'!G113)+F113</f>
        <v>#REF!</v>
      </c>
      <c r="H113" s="109" t="e">
        <f t="shared" si="2"/>
        <v>#REF!</v>
      </c>
      <c r="I113" s="110">
        <v>0</v>
      </c>
      <c r="J113" s="109">
        <f>SUM(I113+'Draw #18'!J113)</f>
        <v>0</v>
      </c>
      <c r="K113" s="101" t="str">
        <f t="shared" si="3"/>
        <v/>
      </c>
      <c r="L113" s="9"/>
      <c r="M113" s="9"/>
    </row>
    <row r="114" spans="1:13" ht="14.1" customHeight="1">
      <c r="A114" s="4" t="e">
        <f>'SCHEDULE OF VALUE WORKSHEET'!#REF!</f>
        <v>#REF!</v>
      </c>
      <c r="B114" s="142" t="e">
        <f>'SCHEDULE OF VALUE WORKSHEET'!#REF!</f>
        <v>#REF!</v>
      </c>
      <c r="C114" s="143"/>
      <c r="D114" s="104" t="e">
        <f>SUM('SCHEDULE OF VALUE WORKSHEET'!#REF!)</f>
        <v>#REF!</v>
      </c>
      <c r="E114" s="104">
        <f>SUM('Draw #18'!E114:F114)</f>
        <v>0</v>
      </c>
      <c r="F114" s="105">
        <v>0</v>
      </c>
      <c r="G114" s="104" t="e">
        <f>SUM('Draw #18'!G114)+F114</f>
        <v>#REF!</v>
      </c>
      <c r="H114" s="109" t="e">
        <f t="shared" si="2"/>
        <v>#REF!</v>
      </c>
      <c r="I114" s="110">
        <v>0</v>
      </c>
      <c r="J114" s="109">
        <f>SUM(I114+'Draw #18'!J114)</f>
        <v>0</v>
      </c>
      <c r="K114" s="101" t="str">
        <f t="shared" si="3"/>
        <v/>
      </c>
      <c r="L114" s="9"/>
      <c r="M114" s="9"/>
    </row>
    <row r="115" spans="1:13" ht="14.1" customHeight="1">
      <c r="A115" s="4" t="e">
        <f>'SCHEDULE OF VALUE WORKSHEET'!#REF!</f>
        <v>#REF!</v>
      </c>
      <c r="B115" s="142" t="e">
        <f>'SCHEDULE OF VALUE WORKSHEET'!#REF!</f>
        <v>#REF!</v>
      </c>
      <c r="C115" s="143"/>
      <c r="D115" s="104" t="e">
        <f>SUM('SCHEDULE OF VALUE WORKSHEET'!#REF!)</f>
        <v>#REF!</v>
      </c>
      <c r="E115" s="104">
        <f>SUM('Draw #18'!E115:F115)</f>
        <v>0</v>
      </c>
      <c r="F115" s="105">
        <v>0</v>
      </c>
      <c r="G115" s="104" t="e">
        <f>SUM('Draw #18'!G115)+F115</f>
        <v>#REF!</v>
      </c>
      <c r="H115" s="109" t="e">
        <f t="shared" si="2"/>
        <v>#REF!</v>
      </c>
      <c r="I115" s="110">
        <v>0</v>
      </c>
      <c r="J115" s="109">
        <f>SUM(I115+'Draw #18'!J115)</f>
        <v>0</v>
      </c>
      <c r="K115" s="101" t="str">
        <f t="shared" si="3"/>
        <v/>
      </c>
      <c r="L115" s="9"/>
      <c r="M115" s="9"/>
    </row>
    <row r="116" spans="1:13" ht="14.1" customHeight="1">
      <c r="A116" s="4" t="e">
        <f>'SCHEDULE OF VALUE WORKSHEET'!#REF!</f>
        <v>#REF!</v>
      </c>
      <c r="B116" s="142" t="e">
        <f>'SCHEDULE OF VALUE WORKSHEET'!#REF!</f>
        <v>#REF!</v>
      </c>
      <c r="C116" s="143"/>
      <c r="D116" s="104" t="e">
        <f>SUM('SCHEDULE OF VALUE WORKSHEET'!#REF!)</f>
        <v>#REF!</v>
      </c>
      <c r="E116" s="104">
        <f>SUM('Draw #18'!E116:F116)</f>
        <v>0</v>
      </c>
      <c r="F116" s="105">
        <v>0</v>
      </c>
      <c r="G116" s="104" t="e">
        <f>SUM('Draw #18'!G116)+F116</f>
        <v>#REF!</v>
      </c>
      <c r="H116" s="109" t="e">
        <f t="shared" si="2"/>
        <v>#REF!</v>
      </c>
      <c r="I116" s="110">
        <v>0</v>
      </c>
      <c r="J116" s="109">
        <f>SUM(I116+'Draw #18'!J116)</f>
        <v>0</v>
      </c>
      <c r="K116" s="101" t="str">
        <f t="shared" si="3"/>
        <v/>
      </c>
      <c r="L116" s="9"/>
      <c r="M116" s="9"/>
    </row>
    <row r="117" spans="1:13" ht="14.1" customHeight="1">
      <c r="A117" s="4">
        <f>'SCHEDULE OF VALUE WORKSHEET'!A87</f>
        <v>82</v>
      </c>
      <c r="B117" s="142" t="str">
        <f>'SCHEDULE OF VALUE WORKSHEET'!B87</f>
        <v xml:space="preserve">Open Item </v>
      </c>
      <c r="C117" s="143"/>
      <c r="D117" s="104">
        <f>SUM('SCHEDULE OF VALUE WORKSHEET'!E87)</f>
        <v>0</v>
      </c>
      <c r="E117" s="104">
        <f>SUM('Draw #18'!E117:F117)</f>
        <v>0</v>
      </c>
      <c r="F117" s="105">
        <v>0</v>
      </c>
      <c r="G117" s="104">
        <f>SUM('Draw #18'!G117)+F117</f>
        <v>0</v>
      </c>
      <c r="H117" s="109">
        <f t="shared" si="2"/>
        <v>0</v>
      </c>
      <c r="I117" s="110">
        <v>0</v>
      </c>
      <c r="J117" s="109">
        <f>SUM(I117+'Draw #18'!J117)</f>
        <v>0</v>
      </c>
      <c r="K117" s="101" t="str">
        <f t="shared" si="3"/>
        <v/>
      </c>
      <c r="L117" s="9"/>
      <c r="M117" s="9"/>
    </row>
    <row r="118" spans="1:13" ht="14.1" customHeight="1">
      <c r="A118" s="4">
        <f>'SCHEDULE OF VALUE WORKSHEET'!A88</f>
        <v>83</v>
      </c>
      <c r="B118" s="142" t="str">
        <f>'SCHEDULE OF VALUE WORKSHEET'!B88</f>
        <v xml:space="preserve">Open Item </v>
      </c>
      <c r="C118" s="143"/>
      <c r="D118" s="104">
        <f>SUM('SCHEDULE OF VALUE WORKSHEET'!E88)</f>
        <v>0</v>
      </c>
      <c r="E118" s="104">
        <f>SUM('Draw #18'!E118:F118)</f>
        <v>0</v>
      </c>
      <c r="F118" s="105">
        <v>0</v>
      </c>
      <c r="G118" s="104">
        <f>SUM('Draw #18'!G118)+F118</f>
        <v>0</v>
      </c>
      <c r="H118" s="109">
        <f t="shared" si="2"/>
        <v>0</v>
      </c>
      <c r="I118" s="110">
        <v>0</v>
      </c>
      <c r="J118" s="109">
        <f>SUM(I118+'Draw #18'!J118)</f>
        <v>0</v>
      </c>
      <c r="K118" s="101" t="str">
        <f t="shared" si="3"/>
        <v/>
      </c>
      <c r="L118" s="9"/>
      <c r="M118" s="9"/>
    </row>
    <row r="119" spans="1:13" ht="14.1" customHeight="1">
      <c r="A119" s="4">
        <f>'SCHEDULE OF VALUE WORKSHEET'!A89</f>
        <v>84</v>
      </c>
      <c r="B119" s="142" t="str">
        <f>'SCHEDULE OF VALUE WORKSHEET'!B89</f>
        <v xml:space="preserve">Open Item </v>
      </c>
      <c r="C119" s="143"/>
      <c r="D119" s="104">
        <f>SUM('SCHEDULE OF VALUE WORKSHEET'!E89)</f>
        <v>0</v>
      </c>
      <c r="E119" s="104">
        <f>SUM('Draw #18'!E119:F119)</f>
        <v>0</v>
      </c>
      <c r="F119" s="105">
        <v>0</v>
      </c>
      <c r="G119" s="104">
        <f>SUM('Draw #18'!G119)+F119</f>
        <v>0</v>
      </c>
      <c r="H119" s="109">
        <f t="shared" si="2"/>
        <v>0</v>
      </c>
      <c r="I119" s="110">
        <v>0</v>
      </c>
      <c r="J119" s="109">
        <f>SUM(I119+'Draw #18'!J119)</f>
        <v>0</v>
      </c>
      <c r="K119" s="101" t="str">
        <f t="shared" si="3"/>
        <v/>
      </c>
      <c r="L119" s="9"/>
      <c r="M119" s="9"/>
    </row>
    <row r="120" spans="1:13" ht="14.1" customHeight="1">
      <c r="A120" s="4">
        <f>'SCHEDULE OF VALUE WORKSHEET'!A90</f>
        <v>85</v>
      </c>
      <c r="B120" s="142" t="str">
        <f>'SCHEDULE OF VALUE WORKSHEET'!B90</f>
        <v xml:space="preserve">Open Item </v>
      </c>
      <c r="C120" s="143"/>
      <c r="D120" s="104">
        <f>SUM('SCHEDULE OF VALUE WORKSHEET'!E90)</f>
        <v>0</v>
      </c>
      <c r="E120" s="104">
        <f>SUM('Draw #18'!E120:F120)</f>
        <v>0</v>
      </c>
      <c r="F120" s="105">
        <v>0</v>
      </c>
      <c r="G120" s="104">
        <f>SUM('Draw #18'!G120)+F120</f>
        <v>0</v>
      </c>
      <c r="H120" s="109">
        <f t="shared" si="2"/>
        <v>0</v>
      </c>
      <c r="I120" s="110">
        <v>0</v>
      </c>
      <c r="J120" s="109">
        <f>SUM(I120+'Draw #18'!J120)</f>
        <v>0</v>
      </c>
      <c r="K120" s="101" t="str">
        <f t="shared" si="3"/>
        <v/>
      </c>
      <c r="L120" s="9"/>
      <c r="M120" s="9"/>
    </row>
    <row r="121" spans="1:13" ht="14.1" customHeight="1">
      <c r="A121" s="4">
        <f>'SCHEDULE OF VALUE WORKSHEET'!A91</f>
        <v>86</v>
      </c>
      <c r="B121" s="142" t="str">
        <f>'SCHEDULE OF VALUE WORKSHEET'!B91</f>
        <v xml:space="preserve">Open Item </v>
      </c>
      <c r="C121" s="143"/>
      <c r="D121" s="104">
        <f>SUM('SCHEDULE OF VALUE WORKSHEET'!E91)</f>
        <v>0</v>
      </c>
      <c r="E121" s="104">
        <f>SUM('Draw #18'!E121:F121)</f>
        <v>0</v>
      </c>
      <c r="F121" s="105">
        <v>0</v>
      </c>
      <c r="G121" s="104">
        <f>SUM('Draw #18'!G121)+F121</f>
        <v>0</v>
      </c>
      <c r="H121" s="109">
        <f t="shared" si="2"/>
        <v>0</v>
      </c>
      <c r="I121" s="110">
        <v>0</v>
      </c>
      <c r="J121" s="109">
        <f>SUM(I121+'Draw #18'!J121)</f>
        <v>0</v>
      </c>
      <c r="K121" s="101" t="str">
        <f t="shared" si="3"/>
        <v/>
      </c>
      <c r="L121" s="9"/>
      <c r="M121" s="9"/>
    </row>
    <row r="122" spans="1:13" ht="14.1" customHeight="1">
      <c r="A122" s="4">
        <f>'SCHEDULE OF VALUE WORKSHEET'!A92</f>
        <v>87</v>
      </c>
      <c r="B122" s="142" t="str">
        <f>'SCHEDULE OF VALUE WORKSHEET'!B92</f>
        <v xml:space="preserve">Open Item </v>
      </c>
      <c r="C122" s="143"/>
      <c r="D122" s="104">
        <f>SUM('SCHEDULE OF VALUE WORKSHEET'!E92)</f>
        <v>0</v>
      </c>
      <c r="E122" s="104">
        <f>SUM('Draw #18'!E122:F122)</f>
        <v>0</v>
      </c>
      <c r="F122" s="105">
        <v>0</v>
      </c>
      <c r="G122" s="104">
        <f>SUM('Draw #18'!G122)+F122</f>
        <v>0</v>
      </c>
      <c r="H122" s="109">
        <f t="shared" si="2"/>
        <v>0</v>
      </c>
      <c r="I122" s="110">
        <v>0</v>
      </c>
      <c r="J122" s="109">
        <f>SUM(I122+'Draw #18'!J122)</f>
        <v>0</v>
      </c>
      <c r="K122" s="101" t="str">
        <f t="shared" si="3"/>
        <v/>
      </c>
      <c r="L122" s="9"/>
      <c r="M122" s="9"/>
    </row>
    <row r="123" spans="1:13" ht="14.1" customHeight="1">
      <c r="A123" s="4">
        <f>'SCHEDULE OF VALUE WORKSHEET'!A93</f>
        <v>88</v>
      </c>
      <c r="B123" s="142" t="str">
        <f>'SCHEDULE OF VALUE WORKSHEET'!B93</f>
        <v xml:space="preserve">Open Item </v>
      </c>
      <c r="C123" s="143"/>
      <c r="D123" s="104">
        <f>SUM('SCHEDULE OF VALUE WORKSHEET'!E93)</f>
        <v>0</v>
      </c>
      <c r="E123" s="104">
        <f>SUM('Draw #18'!E123:F123)</f>
        <v>0</v>
      </c>
      <c r="F123" s="105">
        <v>0</v>
      </c>
      <c r="G123" s="104">
        <f>SUM('Draw #18'!G123)+F123</f>
        <v>0</v>
      </c>
      <c r="H123" s="109">
        <f t="shared" si="2"/>
        <v>0</v>
      </c>
      <c r="I123" s="110">
        <v>0</v>
      </c>
      <c r="J123" s="109">
        <f>SUM(I123+'Draw #18'!J123)</f>
        <v>0</v>
      </c>
      <c r="K123" s="101" t="str">
        <f t="shared" si="3"/>
        <v/>
      </c>
      <c r="L123" s="9"/>
      <c r="M123" s="9"/>
    </row>
    <row r="124" spans="1:13" ht="14.1" customHeight="1">
      <c r="A124" s="4">
        <f>'SCHEDULE OF VALUE WORKSHEET'!A94</f>
        <v>89</v>
      </c>
      <c r="B124" s="142" t="str">
        <f>'SCHEDULE OF VALUE WORKSHEET'!B94</f>
        <v xml:space="preserve">Open Item </v>
      </c>
      <c r="C124" s="143"/>
      <c r="D124" s="104">
        <f>SUM('SCHEDULE OF VALUE WORKSHEET'!E94)</f>
        <v>0</v>
      </c>
      <c r="E124" s="104">
        <f>SUM('Draw #18'!E124:F124)</f>
        <v>0</v>
      </c>
      <c r="F124" s="105">
        <v>0</v>
      </c>
      <c r="G124" s="104">
        <f>SUM('Draw #18'!G124)+F124</f>
        <v>0</v>
      </c>
      <c r="H124" s="109">
        <f t="shared" si="2"/>
        <v>0</v>
      </c>
      <c r="I124" s="110">
        <v>0</v>
      </c>
      <c r="J124" s="109">
        <f>SUM(I124+'Draw #18'!J124)</f>
        <v>0</v>
      </c>
      <c r="K124" s="101" t="str">
        <f t="shared" si="3"/>
        <v/>
      </c>
      <c r="L124" s="9"/>
      <c r="M124" s="9"/>
    </row>
    <row r="125" spans="1:13" ht="14.1" customHeight="1">
      <c r="A125" s="4">
        <f>'SCHEDULE OF VALUE WORKSHEET'!A95</f>
        <v>90</v>
      </c>
      <c r="B125" s="142" t="str">
        <f>'SCHEDULE OF VALUE WORKSHEET'!B95</f>
        <v xml:space="preserve">Open Item </v>
      </c>
      <c r="C125" s="143"/>
      <c r="D125" s="104">
        <f>SUM('SCHEDULE OF VALUE WORKSHEET'!E95)</f>
        <v>0</v>
      </c>
      <c r="E125" s="104">
        <f>SUM('Draw #18'!E125:F125)</f>
        <v>0</v>
      </c>
      <c r="F125" s="105">
        <v>0</v>
      </c>
      <c r="G125" s="104">
        <f>SUM('Draw #18'!G125)+F125</f>
        <v>0</v>
      </c>
      <c r="H125" s="109">
        <f t="shared" si="2"/>
        <v>0</v>
      </c>
      <c r="I125" s="110">
        <v>0</v>
      </c>
      <c r="J125" s="109">
        <f>SUM(I125+'Draw #18'!J125)</f>
        <v>0</v>
      </c>
      <c r="K125" s="101" t="str">
        <f t="shared" si="3"/>
        <v/>
      </c>
      <c r="L125" s="9"/>
      <c r="M125" s="9"/>
    </row>
    <row r="126" spans="1:13" ht="14.1" customHeight="1">
      <c r="A126" s="4">
        <f>'SCHEDULE OF VALUE WORKSHEET'!A96</f>
        <v>91</v>
      </c>
      <c r="B126" s="142" t="str">
        <f>'SCHEDULE OF VALUE WORKSHEET'!B96</f>
        <v xml:space="preserve">Open Item </v>
      </c>
      <c r="C126" s="143"/>
      <c r="D126" s="104">
        <f>SUM('SCHEDULE OF VALUE WORKSHEET'!E96)</f>
        <v>0</v>
      </c>
      <c r="E126" s="104">
        <f>SUM('Draw #18'!E126:F126)</f>
        <v>0</v>
      </c>
      <c r="F126" s="105">
        <v>0</v>
      </c>
      <c r="G126" s="104">
        <f>SUM('Draw #18'!G126)+F126</f>
        <v>0</v>
      </c>
      <c r="H126" s="109">
        <f t="shared" si="2"/>
        <v>0</v>
      </c>
      <c r="I126" s="110">
        <v>0</v>
      </c>
      <c r="J126" s="109">
        <f>SUM(I126+'Draw #18'!J126)</f>
        <v>0</v>
      </c>
      <c r="K126" s="101" t="str">
        <f t="shared" si="3"/>
        <v/>
      </c>
      <c r="L126" s="9"/>
      <c r="M126" s="9"/>
    </row>
    <row r="127" spans="1:13" ht="14.1" customHeight="1">
      <c r="A127" s="4">
        <f>'SCHEDULE OF VALUE WORKSHEET'!A97</f>
        <v>92</v>
      </c>
      <c r="B127" s="142" t="str">
        <f>'SCHEDULE OF VALUE WORKSHEET'!B97</f>
        <v xml:space="preserve">Open Item </v>
      </c>
      <c r="C127" s="143"/>
      <c r="D127" s="104">
        <f>SUM('SCHEDULE OF VALUE WORKSHEET'!E97)</f>
        <v>0</v>
      </c>
      <c r="E127" s="104">
        <f>SUM('Draw #18'!E127:F127)</f>
        <v>0</v>
      </c>
      <c r="F127" s="105">
        <v>0</v>
      </c>
      <c r="G127" s="104">
        <f>SUM('Draw #18'!G127)+F127</f>
        <v>0</v>
      </c>
      <c r="H127" s="109">
        <f t="shared" si="2"/>
        <v>0</v>
      </c>
      <c r="I127" s="110">
        <v>0</v>
      </c>
      <c r="J127" s="109">
        <f>SUM(I127+'Draw #18'!J127)</f>
        <v>0</v>
      </c>
      <c r="K127" s="101" t="str">
        <f t="shared" si="3"/>
        <v/>
      </c>
      <c r="L127" s="9"/>
      <c r="M127" s="9"/>
    </row>
    <row r="128" spans="1:13" ht="14.1" customHeight="1">
      <c r="A128" s="4">
        <f>'SCHEDULE OF VALUE WORKSHEET'!A98</f>
        <v>93</v>
      </c>
      <c r="B128" s="142" t="str">
        <f>'SCHEDULE OF VALUE WORKSHEET'!B98</f>
        <v xml:space="preserve">Open Item </v>
      </c>
      <c r="C128" s="143"/>
      <c r="D128" s="104">
        <f>SUM('SCHEDULE OF VALUE WORKSHEET'!E98)</f>
        <v>0</v>
      </c>
      <c r="E128" s="104">
        <f>SUM('Draw #18'!E128:F128)</f>
        <v>0</v>
      </c>
      <c r="F128" s="105">
        <v>0</v>
      </c>
      <c r="G128" s="104">
        <f>SUM('Draw #18'!G128)+F128</f>
        <v>0</v>
      </c>
      <c r="H128" s="109">
        <f t="shared" si="2"/>
        <v>0</v>
      </c>
      <c r="I128" s="110">
        <v>0</v>
      </c>
      <c r="J128" s="109">
        <f>SUM(I128+'Draw #18'!J128)</f>
        <v>0</v>
      </c>
      <c r="K128" s="101" t="str">
        <f t="shared" si="3"/>
        <v/>
      </c>
      <c r="L128" s="9"/>
      <c r="M128" s="9"/>
    </row>
    <row r="129" spans="1:13" ht="14.1" customHeight="1">
      <c r="A129" s="4">
        <f>'SCHEDULE OF VALUE WORKSHEET'!A99</f>
        <v>94</v>
      </c>
      <c r="B129" s="142" t="str">
        <f>'SCHEDULE OF VALUE WORKSHEET'!B99</f>
        <v xml:space="preserve">Open Item </v>
      </c>
      <c r="C129" s="143"/>
      <c r="D129" s="104">
        <f>SUM('SCHEDULE OF VALUE WORKSHEET'!E99)</f>
        <v>0</v>
      </c>
      <c r="E129" s="104">
        <f>SUM('Draw #18'!E129:F129)</f>
        <v>0</v>
      </c>
      <c r="F129" s="105">
        <v>0</v>
      </c>
      <c r="G129" s="104">
        <f>SUM('Draw #18'!G129)+F129</f>
        <v>0</v>
      </c>
      <c r="H129" s="109">
        <f t="shared" si="2"/>
        <v>0</v>
      </c>
      <c r="I129" s="110">
        <v>0</v>
      </c>
      <c r="J129" s="109">
        <f>SUM(I129+'Draw #18'!J129)</f>
        <v>0</v>
      </c>
      <c r="K129" s="101" t="str">
        <f t="shared" si="3"/>
        <v/>
      </c>
      <c r="L129" s="9"/>
      <c r="M129" s="9"/>
    </row>
    <row r="130" spans="1:13" ht="14.1" customHeight="1">
      <c r="A130" s="4">
        <f>'SCHEDULE OF VALUE WORKSHEET'!A100</f>
        <v>95</v>
      </c>
      <c r="B130" s="142" t="str">
        <f>'SCHEDULE OF VALUE WORKSHEET'!B100</f>
        <v xml:space="preserve">Open Item </v>
      </c>
      <c r="C130" s="143"/>
      <c r="D130" s="104">
        <f>SUM('SCHEDULE OF VALUE WORKSHEET'!E100)</f>
        <v>0</v>
      </c>
      <c r="E130" s="104">
        <f>SUM('Draw #18'!E130:F130)</f>
        <v>0</v>
      </c>
      <c r="F130" s="105">
        <v>0</v>
      </c>
      <c r="G130" s="104">
        <f>SUM('Draw #18'!G130)+F130</f>
        <v>0</v>
      </c>
      <c r="H130" s="109">
        <f t="shared" si="2"/>
        <v>0</v>
      </c>
      <c r="I130" s="110">
        <v>0</v>
      </c>
      <c r="J130" s="109">
        <f>SUM(I130+'Draw #18'!J130)</f>
        <v>0</v>
      </c>
      <c r="K130" s="101" t="str">
        <f t="shared" si="3"/>
        <v/>
      </c>
      <c r="L130" s="9"/>
      <c r="M130" s="9"/>
    </row>
    <row r="131" spans="1:13" ht="14.1" customHeight="1">
      <c r="A131" s="4">
        <f>'SCHEDULE OF VALUE WORKSHEET'!A101</f>
        <v>96</v>
      </c>
      <c r="B131" s="142" t="str">
        <f>'SCHEDULE OF VALUE WORKSHEET'!B101</f>
        <v xml:space="preserve">Open Item </v>
      </c>
      <c r="C131" s="143"/>
      <c r="D131" s="104">
        <f>SUM('SCHEDULE OF VALUE WORKSHEET'!E101)</f>
        <v>0</v>
      </c>
      <c r="E131" s="104">
        <f>SUM('Draw #18'!E131:F131)</f>
        <v>0</v>
      </c>
      <c r="F131" s="105">
        <v>0</v>
      </c>
      <c r="G131" s="104">
        <f>SUM('Draw #18'!G131)+F131</f>
        <v>0</v>
      </c>
      <c r="H131" s="109">
        <f t="shared" si="2"/>
        <v>0</v>
      </c>
      <c r="I131" s="110">
        <v>0</v>
      </c>
      <c r="J131" s="109">
        <f>SUM(I131+'Draw #18'!J131)</f>
        <v>0</v>
      </c>
      <c r="K131" s="101" t="str">
        <f t="shared" si="3"/>
        <v/>
      </c>
      <c r="L131" s="9"/>
      <c r="M131" s="9"/>
    </row>
    <row r="132" spans="1:13" ht="14.1" customHeight="1">
      <c r="A132" s="4">
        <f>'SCHEDULE OF VALUE WORKSHEET'!A102</f>
        <v>97</v>
      </c>
      <c r="B132" s="142" t="str">
        <f>'SCHEDULE OF VALUE WORKSHEET'!B102</f>
        <v xml:space="preserve">Open Item </v>
      </c>
      <c r="C132" s="143"/>
      <c r="D132" s="104">
        <f>SUM('SCHEDULE OF VALUE WORKSHEET'!E102)</f>
        <v>0</v>
      </c>
      <c r="E132" s="104">
        <f>SUM('Draw #18'!E132:F132)</f>
        <v>0</v>
      </c>
      <c r="F132" s="105">
        <v>0</v>
      </c>
      <c r="G132" s="104">
        <f>SUM('Draw #18'!G132)+F132</f>
        <v>0</v>
      </c>
      <c r="H132" s="109">
        <f t="shared" si="2"/>
        <v>0</v>
      </c>
      <c r="I132" s="110">
        <v>0</v>
      </c>
      <c r="J132" s="109">
        <f>SUM(I132+'Draw #18'!J132)</f>
        <v>0</v>
      </c>
      <c r="K132" s="101" t="str">
        <f t="shared" si="3"/>
        <v/>
      </c>
      <c r="L132" s="9"/>
      <c r="M132" s="9"/>
    </row>
    <row r="133" spans="1:13" ht="14.1" customHeight="1">
      <c r="A133" s="4">
        <f>'SCHEDULE OF VALUE WORKSHEET'!A103</f>
        <v>98</v>
      </c>
      <c r="B133" s="142" t="str">
        <f>'SCHEDULE OF VALUE WORKSHEET'!B103</f>
        <v xml:space="preserve">Open Item </v>
      </c>
      <c r="C133" s="143"/>
      <c r="D133" s="104">
        <f>SUM('SCHEDULE OF VALUE WORKSHEET'!E103)</f>
        <v>0</v>
      </c>
      <c r="E133" s="104">
        <f>SUM('Draw #18'!E133:F133)</f>
        <v>0</v>
      </c>
      <c r="F133" s="105">
        <v>0</v>
      </c>
      <c r="G133" s="104">
        <f>SUM('Draw #18'!G133)+F133</f>
        <v>0</v>
      </c>
      <c r="H133" s="109">
        <f t="shared" si="2"/>
        <v>0</v>
      </c>
      <c r="I133" s="110">
        <v>0</v>
      </c>
      <c r="J133" s="109">
        <f>SUM(I133+'Draw #18'!J133)</f>
        <v>0</v>
      </c>
      <c r="K133" s="101" t="str">
        <f t="shared" si="3"/>
        <v/>
      </c>
      <c r="L133" s="9"/>
      <c r="M133" s="9"/>
    </row>
    <row r="134" spans="1:13" ht="14.1" customHeight="1">
      <c r="A134" s="4">
        <f>'SCHEDULE OF VALUE WORKSHEET'!A104</f>
        <v>99</v>
      </c>
      <c r="B134" s="142" t="str">
        <f>'SCHEDULE OF VALUE WORKSHEET'!B104</f>
        <v xml:space="preserve">Open Item </v>
      </c>
      <c r="C134" s="143"/>
      <c r="D134" s="104">
        <f>SUM('SCHEDULE OF VALUE WORKSHEET'!E104)</f>
        <v>0</v>
      </c>
      <c r="E134" s="104">
        <f>SUM('Draw #18'!E134:F134)</f>
        <v>0</v>
      </c>
      <c r="F134" s="105">
        <v>0</v>
      </c>
      <c r="G134" s="104">
        <f>SUM('Draw #18'!G134)+F134</f>
        <v>0</v>
      </c>
      <c r="H134" s="109">
        <f t="shared" si="2"/>
        <v>0</v>
      </c>
      <c r="I134" s="110">
        <v>0</v>
      </c>
      <c r="J134" s="109">
        <f>SUM(I134+'Draw #18'!J134)</f>
        <v>0</v>
      </c>
      <c r="K134" s="101" t="str">
        <f t="shared" si="3"/>
        <v/>
      </c>
      <c r="L134" s="9"/>
      <c r="M134" s="9"/>
    </row>
    <row r="135" spans="1:13" ht="14.1" customHeight="1">
      <c r="A135" s="4" t="e">
        <f>'SCHEDULE OF VALUE WORKSHEET'!#REF!</f>
        <v>#REF!</v>
      </c>
      <c r="B135" s="142" t="e">
        <f>'SCHEDULE OF VALUE WORKSHEET'!#REF!</f>
        <v>#REF!</v>
      </c>
      <c r="C135" s="143"/>
      <c r="D135" s="104" t="e">
        <f>SUM('SCHEDULE OF VALUE WORKSHEET'!#REF!)</f>
        <v>#REF!</v>
      </c>
      <c r="E135" s="104">
        <f>SUM('Draw #18'!E135:F135)</f>
        <v>0</v>
      </c>
      <c r="F135" s="105">
        <v>0</v>
      </c>
      <c r="G135" s="104" t="e">
        <f>SUM('Draw #18'!G135)+F135</f>
        <v>#REF!</v>
      </c>
      <c r="H135" s="109" t="e">
        <f t="shared" si="2"/>
        <v>#REF!</v>
      </c>
      <c r="I135" s="110">
        <v>0</v>
      </c>
      <c r="J135" s="109">
        <f>SUM(I135+'Draw #18'!J135)</f>
        <v>0</v>
      </c>
      <c r="K135" s="101" t="str">
        <f t="shared" si="3"/>
        <v/>
      </c>
      <c r="L135" s="9"/>
      <c r="M135" s="9"/>
    </row>
    <row r="136" spans="1:13" ht="14.1" customHeight="1">
      <c r="A136" s="165"/>
      <c r="B136" s="166"/>
      <c r="C136" s="166"/>
      <c r="D136" s="166"/>
      <c r="E136" s="166"/>
      <c r="F136" s="166"/>
      <c r="G136" s="166"/>
      <c r="H136" s="166"/>
      <c r="I136" s="166"/>
      <c r="J136" s="166"/>
      <c r="K136" s="167"/>
      <c r="L136" s="10"/>
      <c r="M136" s="10"/>
    </row>
    <row r="137" spans="1:13" ht="18.75" customHeight="1">
      <c r="A137" s="7"/>
      <c r="B137" s="168" t="s">
        <v>2</v>
      </c>
      <c r="C137" s="168"/>
      <c r="D137" s="25" t="e">
        <f t="shared" ref="D137:J137" si="4">SUM(D10:D135)</f>
        <v>#REF!</v>
      </c>
      <c r="E137" s="25">
        <f t="shared" si="4"/>
        <v>0</v>
      </c>
      <c r="F137" s="25">
        <f t="shared" si="4"/>
        <v>0</v>
      </c>
      <c r="G137" s="25" t="e">
        <f t="shared" si="4"/>
        <v>#REF!</v>
      </c>
      <c r="H137" s="25" t="e">
        <f t="shared" si="4"/>
        <v>#REF!</v>
      </c>
      <c r="I137" s="25">
        <f t="shared" si="4"/>
        <v>0</v>
      </c>
      <c r="J137" s="25">
        <f t="shared" si="4"/>
        <v>0</v>
      </c>
      <c r="K137" s="17"/>
      <c r="L137" s="11"/>
      <c r="M137" s="11"/>
    </row>
    <row r="138" spans="1:13" ht="14.1" customHeight="1">
      <c r="A138" s="2"/>
      <c r="B138" s="2"/>
      <c r="C138" s="2"/>
      <c r="D138" s="2"/>
      <c r="E138" s="2"/>
      <c r="F138" s="2"/>
      <c r="G138" s="2"/>
    </row>
    <row r="139" spans="1:13" ht="14.1" customHeight="1">
      <c r="G139" s="2"/>
      <c r="H139" s="140"/>
      <c r="I139" s="140"/>
      <c r="J139" s="140"/>
    </row>
    <row r="140" spans="1:13" ht="14.1" customHeight="1">
      <c r="G140" s="2"/>
    </row>
    <row r="141" spans="1:13" ht="14.1" customHeight="1">
      <c r="G141" s="2"/>
      <c r="H141" s="8"/>
    </row>
    <row r="142" spans="1:13" ht="14.1" customHeight="1">
      <c r="G142" s="2"/>
      <c r="H142" s="8"/>
    </row>
    <row r="143" spans="1:13" ht="14.1" customHeight="1">
      <c r="G143" s="2"/>
    </row>
    <row r="144" spans="1:13" ht="14.1" customHeight="1">
      <c r="G144" s="2"/>
    </row>
    <row r="145" spans="7:7" ht="14.1" customHeight="1">
      <c r="G145" s="2"/>
    </row>
    <row r="146" spans="7:7" ht="14.1" customHeight="1">
      <c r="G146" s="2"/>
    </row>
    <row r="147" spans="7:7" ht="14.1" customHeight="1">
      <c r="G147" s="2"/>
    </row>
    <row r="148" spans="7:7" ht="14.1" customHeight="1">
      <c r="G148" s="3"/>
    </row>
  </sheetData>
  <sheetProtection algorithmName="SHA-512" hashValue="2541Moj0OQQeSCJA574w+UBNwirc2/yEEXO8kQQksjhbTtTLaWwCjZT92TUTj8F3C+rtzsDLbJ6ikzl0p8LEcQ==" saltValue="KXSBrNI4UFeXjZ84bC/wMw==" spinCount="100000" sheet="1" selectLockedCells="1"/>
  <mergeCells count="136">
    <mergeCell ref="A1:K2"/>
    <mergeCell ref="B47:C47"/>
    <mergeCell ref="B48:C48"/>
    <mergeCell ref="B49:C49"/>
    <mergeCell ref="B50:C50"/>
    <mergeCell ref="B8:C9"/>
    <mergeCell ref="D8:D9"/>
    <mergeCell ref="G8:G9"/>
    <mergeCell ref="J8:K8"/>
    <mergeCell ref="J9:K9"/>
    <mergeCell ref="F8:F9"/>
    <mergeCell ref="B10:C10"/>
    <mergeCell ref="B11:C11"/>
    <mergeCell ref="B12:C12"/>
    <mergeCell ref="B13:C13"/>
    <mergeCell ref="B26:C26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4:C34"/>
    <mergeCell ref="B35:C35"/>
    <mergeCell ref="B32:C32"/>
    <mergeCell ref="B33:C33"/>
    <mergeCell ref="B27:C27"/>
    <mergeCell ref="B36:C36"/>
    <mergeCell ref="B37:C37"/>
    <mergeCell ref="B46:C46"/>
    <mergeCell ref="A136:K136"/>
    <mergeCell ref="B38:C38"/>
    <mergeCell ref="B39:C39"/>
    <mergeCell ref="B51:C51"/>
    <mergeCell ref="B52:C52"/>
    <mergeCell ref="B53:C53"/>
    <mergeCell ref="B54:C54"/>
    <mergeCell ref="B130:C130"/>
    <mergeCell ref="B119:C119"/>
    <mergeCell ref="B120:C120"/>
    <mergeCell ref="B121:C121"/>
    <mergeCell ref="B122:C122"/>
    <mergeCell ref="B123:C123"/>
    <mergeCell ref="B124:C124"/>
    <mergeCell ref="B131:C131"/>
    <mergeCell ref="B132:C132"/>
    <mergeCell ref="B133:C133"/>
    <mergeCell ref="B134:C134"/>
    <mergeCell ref="B135:C135"/>
    <mergeCell ref="B125:C125"/>
    <mergeCell ref="B126:C126"/>
    <mergeCell ref="B137:C137"/>
    <mergeCell ref="H139:J139"/>
    <mergeCell ref="B40:C40"/>
    <mergeCell ref="B41:C41"/>
    <mergeCell ref="B42:C42"/>
    <mergeCell ref="B43:C43"/>
    <mergeCell ref="B44:C44"/>
    <mergeCell ref="B45:C45"/>
    <mergeCell ref="B55:C55"/>
    <mergeCell ref="B56:C56"/>
    <mergeCell ref="B127:C127"/>
    <mergeCell ref="B128:C128"/>
    <mergeCell ref="B129:C129"/>
    <mergeCell ref="B63:C63"/>
    <mergeCell ref="B64:C64"/>
    <mergeCell ref="B65:C65"/>
    <mergeCell ref="B66:C66"/>
    <mergeCell ref="B67:C67"/>
    <mergeCell ref="B68:C68"/>
    <mergeCell ref="B57:C57"/>
    <mergeCell ref="B58:C58"/>
    <mergeCell ref="B59:C59"/>
    <mergeCell ref="B60:C60"/>
    <mergeCell ref="B61:C61"/>
    <mergeCell ref="B62:C62"/>
    <mergeCell ref="B75:C75"/>
    <mergeCell ref="B76:C76"/>
    <mergeCell ref="B77:C77"/>
    <mergeCell ref="B78:C78"/>
    <mergeCell ref="B79:C79"/>
    <mergeCell ref="B80:C80"/>
    <mergeCell ref="B69:C69"/>
    <mergeCell ref="B70:C70"/>
    <mergeCell ref="B71:C71"/>
    <mergeCell ref="B72:C72"/>
    <mergeCell ref="B73:C73"/>
    <mergeCell ref="B74:C74"/>
    <mergeCell ref="B87:C87"/>
    <mergeCell ref="B88:C88"/>
    <mergeCell ref="B89:C89"/>
    <mergeCell ref="B90:C90"/>
    <mergeCell ref="B91:C91"/>
    <mergeCell ref="B92:C92"/>
    <mergeCell ref="B81:C81"/>
    <mergeCell ref="B82:C82"/>
    <mergeCell ref="B83:C83"/>
    <mergeCell ref="B84:C84"/>
    <mergeCell ref="B85:C85"/>
    <mergeCell ref="B86:C86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7:C117"/>
    <mergeCell ref="B118:C118"/>
    <mergeCell ref="B111:C111"/>
    <mergeCell ref="B112:C112"/>
    <mergeCell ref="B113:C113"/>
    <mergeCell ref="B114:C114"/>
    <mergeCell ref="B115:C115"/>
    <mergeCell ref="B116:C116"/>
    <mergeCell ref="B105:C105"/>
    <mergeCell ref="B106:C106"/>
    <mergeCell ref="B107:C107"/>
    <mergeCell ref="B108:C108"/>
    <mergeCell ref="B109:C109"/>
    <mergeCell ref="B110:C110"/>
  </mergeCells>
  <conditionalFormatting sqref="B10:K135">
    <cfRule type="expression" dxfId="7" priority="3" stopIfTrue="1">
      <formula>$I10&gt;0</formula>
    </cfRule>
    <cfRule type="expression" dxfId="6" priority="4" stopIfTrue="1">
      <formula>$K10=100%</formula>
    </cfRule>
  </conditionalFormatting>
  <conditionalFormatting sqref="D10:K135">
    <cfRule type="expression" dxfId="5" priority="1" stopIfTrue="1">
      <formula>$K10=""</formula>
    </cfRule>
    <cfRule type="expression" dxfId="4" priority="2" stopIfTrue="1">
      <formula>$K10&gt;100%</formula>
    </cfRule>
  </conditionalFormatting>
  <pageMargins left="0.7" right="0.7" top="0.75" bottom="0.75" header="0.3" footer="0.3"/>
  <pageSetup scale="78" orientation="portrait" verticalDpi="1200" r:id="rId1"/>
  <colBreaks count="1" manualBreakCount="1">
    <brk id="11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48"/>
  <sheetViews>
    <sheetView showGridLines="0" zoomScale="90" zoomScaleNormal="90" workbookViewId="0">
      <selection activeCell="F21" sqref="F21"/>
    </sheetView>
  </sheetViews>
  <sheetFormatPr defaultColWidth="6.59765625" defaultRowHeight="15.75"/>
  <cols>
    <col min="1" max="1" width="4.8984375" style="1" customWidth="1"/>
    <col min="2" max="2" width="5.69921875" style="1" customWidth="1"/>
    <col min="3" max="3" width="15.19921875" style="1" customWidth="1"/>
    <col min="4" max="5" width="10.59765625" style="1" customWidth="1"/>
    <col min="6" max="9" width="10.69921875" style="1" customWidth="1"/>
    <col min="10" max="10" width="10.59765625" style="1" customWidth="1"/>
    <col min="11" max="11" width="5.09765625" style="18" customWidth="1"/>
    <col min="12" max="16384" width="6.59765625" style="1"/>
  </cols>
  <sheetData>
    <row r="1" spans="1:11">
      <c r="A1" s="171" t="s">
        <v>18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</row>
    <row r="2" spans="1:11">
      <c r="A2" s="174"/>
      <c r="B2" s="153"/>
      <c r="C2" s="153"/>
      <c r="D2" s="153"/>
      <c r="E2" s="153"/>
      <c r="F2" s="153"/>
      <c r="G2" s="153"/>
      <c r="H2" s="153"/>
      <c r="I2" s="153"/>
      <c r="J2" s="153"/>
      <c r="K2" s="175"/>
    </row>
    <row r="3" spans="1:11">
      <c r="A3" s="74"/>
      <c r="B3" s="13" t="s">
        <v>7</v>
      </c>
      <c r="C3" s="35" t="str">
        <f>'SCHEDULE OF VALUE WORKSHEET'!$B$3</f>
        <v>Angeleno Investments</v>
      </c>
      <c r="F3" s="6"/>
      <c r="G3" s="28"/>
      <c r="H3" s="75"/>
      <c r="I3" s="79" t="s">
        <v>5</v>
      </c>
      <c r="J3" s="79"/>
      <c r="K3" s="80" t="e">
        <f>SUM(J3)/J7</f>
        <v>#REF!</v>
      </c>
    </row>
    <row r="4" spans="1:11" ht="16.350000000000001" customHeight="1">
      <c r="A4" s="74"/>
      <c r="B4" s="34" t="s">
        <v>0</v>
      </c>
      <c r="C4" s="36">
        <f ca="1">TODAY()</f>
        <v>45978</v>
      </c>
      <c r="D4" s="36"/>
      <c r="E4" s="36"/>
      <c r="F4" s="15"/>
      <c r="G4" s="3"/>
      <c r="H4" s="75"/>
      <c r="I4" s="79"/>
      <c r="J4" s="79"/>
      <c r="K4" s="80"/>
    </row>
    <row r="5" spans="1:11">
      <c r="A5" s="74"/>
      <c r="B5" s="34" t="s">
        <v>6</v>
      </c>
      <c r="C5" s="37" t="str">
        <f>'SCHEDULE OF VALUE WORKSHEET'!B5</f>
        <v>10910 Huston Street</v>
      </c>
      <c r="F5" s="56"/>
      <c r="G5" s="57"/>
      <c r="H5" s="75"/>
      <c r="I5" s="41"/>
      <c r="J5" s="38">
        <f>SUM(J137)</f>
        <v>0</v>
      </c>
      <c r="K5" s="80"/>
    </row>
    <row r="6" spans="1:11">
      <c r="A6" s="74"/>
      <c r="B6" s="13" t="s">
        <v>20</v>
      </c>
      <c r="C6" s="48">
        <f>SUM(F137)</f>
        <v>0</v>
      </c>
      <c r="D6" s="6"/>
      <c r="E6" s="6"/>
      <c r="F6" s="6"/>
      <c r="G6" s="57"/>
      <c r="H6" s="75"/>
      <c r="I6" s="41" t="s">
        <v>13</v>
      </c>
      <c r="J6" s="38" t="e">
        <f>SUM(H137)</f>
        <v>#REF!</v>
      </c>
      <c r="K6" s="80"/>
    </row>
    <row r="7" spans="1:11">
      <c r="A7" s="78"/>
      <c r="G7" s="28"/>
      <c r="H7" s="20"/>
      <c r="I7" s="34" t="s">
        <v>15</v>
      </c>
      <c r="J7" s="29" t="e">
        <f>SUM(G137)</f>
        <v>#REF!</v>
      </c>
      <c r="K7" s="80"/>
    </row>
    <row r="8" spans="1:11">
      <c r="A8" s="19"/>
      <c r="B8" s="169" t="s">
        <v>1</v>
      </c>
      <c r="C8" s="170"/>
      <c r="D8" s="177" t="s">
        <v>8</v>
      </c>
      <c r="E8" s="102" t="s">
        <v>24</v>
      </c>
      <c r="F8" s="176" t="s">
        <v>26</v>
      </c>
      <c r="G8" s="177" t="s">
        <v>9</v>
      </c>
      <c r="H8" s="30" t="s">
        <v>10</v>
      </c>
      <c r="I8" s="31" t="s">
        <v>12</v>
      </c>
      <c r="J8" s="178" t="s">
        <v>3</v>
      </c>
      <c r="K8" s="179"/>
    </row>
    <row r="9" spans="1:11" ht="14.1" customHeight="1">
      <c r="A9" s="19"/>
      <c r="B9" s="146"/>
      <c r="C9" s="147"/>
      <c r="D9" s="162"/>
      <c r="E9" s="103" t="s">
        <v>25</v>
      </c>
      <c r="F9" s="164"/>
      <c r="G9" s="162"/>
      <c r="H9" s="32" t="s">
        <v>22</v>
      </c>
      <c r="I9" s="33">
        <v>20</v>
      </c>
      <c r="J9" s="180" t="s">
        <v>4</v>
      </c>
      <c r="K9" s="181"/>
    </row>
    <row r="10" spans="1:11" ht="14.1" customHeight="1">
      <c r="A10" s="4">
        <f>'SCHEDULE OF VALUE WORKSHEET'!A7</f>
        <v>1</v>
      </c>
      <c r="B10" s="142" t="str">
        <f>'SCHEDULE OF VALUE WORKSHEET'!B7</f>
        <v>SOFT COSTS</v>
      </c>
      <c r="C10" s="143"/>
      <c r="D10" s="104">
        <f>SUM('SCHEDULE OF VALUE WORKSHEET'!E7)</f>
        <v>0</v>
      </c>
      <c r="E10" s="104">
        <f>SUM('Draw #19'!E10:F10)</f>
        <v>0</v>
      </c>
      <c r="F10" s="105">
        <v>0</v>
      </c>
      <c r="G10" s="104">
        <f>SUM('Draw #19'!G10)+F10</f>
        <v>0</v>
      </c>
      <c r="H10" s="109">
        <f>SUM(G10-J10)</f>
        <v>0</v>
      </c>
      <c r="I10" s="110">
        <v>0</v>
      </c>
      <c r="J10" s="109">
        <f>SUM(I10+'Draw #19'!J10)</f>
        <v>0</v>
      </c>
      <c r="K10" s="101" t="str">
        <f>IF(J10=0,"",J10/G10)</f>
        <v/>
      </c>
    </row>
    <row r="11" spans="1:11" ht="14.1" customHeight="1">
      <c r="A11" s="4">
        <f>'SCHEDULE OF VALUE WORKSHEET'!A8</f>
        <v>2</v>
      </c>
      <c r="B11" s="142" t="str">
        <f>'SCHEDULE OF VALUE WORKSHEET'!B8</f>
        <v>Site Security</v>
      </c>
      <c r="C11" s="143"/>
      <c r="D11" s="104">
        <f>SUM('SCHEDULE OF VALUE WORKSHEET'!E8)</f>
        <v>10580.63</v>
      </c>
      <c r="E11" s="104">
        <f>SUM('Draw #19'!E11:F11)</f>
        <v>0</v>
      </c>
      <c r="F11" s="105">
        <v>0</v>
      </c>
      <c r="G11" s="104">
        <f>SUM('Draw #19'!G11)+F11</f>
        <v>10580.63</v>
      </c>
      <c r="H11" s="109">
        <f t="shared" ref="H11:H74" si="0">SUM(G11-J11)</f>
        <v>10580.63</v>
      </c>
      <c r="I11" s="110">
        <v>0</v>
      </c>
      <c r="J11" s="109">
        <f>SUM(I11+'Draw #19'!J11)</f>
        <v>0</v>
      </c>
      <c r="K11" s="101" t="str">
        <f t="shared" ref="K11:K74" si="1">IF(J11=0,"",J11/G11)</f>
        <v/>
      </c>
    </row>
    <row r="12" spans="1:11" ht="14.1" customHeight="1">
      <c r="A12" s="4">
        <f>'SCHEDULE OF VALUE WORKSHEET'!A9</f>
        <v>3</v>
      </c>
      <c r="B12" s="142" t="str">
        <f>'SCHEDULE OF VALUE WORKSHEET'!B9</f>
        <v>Soils Inspection</v>
      </c>
      <c r="C12" s="143"/>
      <c r="D12" s="104">
        <f>SUM('SCHEDULE OF VALUE WORKSHEET'!E9)</f>
        <v>0</v>
      </c>
      <c r="E12" s="104">
        <f>SUM('Draw #19'!E12:F12)</f>
        <v>0</v>
      </c>
      <c r="F12" s="105">
        <v>0</v>
      </c>
      <c r="G12" s="104">
        <f>SUM('Draw #19'!G12)+F12</f>
        <v>0</v>
      </c>
      <c r="H12" s="109">
        <f t="shared" si="0"/>
        <v>0</v>
      </c>
      <c r="I12" s="110">
        <v>0</v>
      </c>
      <c r="J12" s="109">
        <f>SUM(I12+'Draw #19'!J12)</f>
        <v>0</v>
      </c>
      <c r="K12" s="101" t="str">
        <f t="shared" si="1"/>
        <v/>
      </c>
    </row>
    <row r="13" spans="1:11" ht="14.1" customHeight="1">
      <c r="A13" s="4">
        <f>'SCHEDULE OF VALUE WORKSHEET'!A10</f>
        <v>4</v>
      </c>
      <c r="B13" s="142" t="str">
        <f>'SCHEDULE OF VALUE WORKSHEET'!B10</f>
        <v>Offsites (Transformer)</v>
      </c>
      <c r="C13" s="143"/>
      <c r="D13" s="104">
        <f>SUM('SCHEDULE OF VALUE WORKSHEET'!E10)</f>
        <v>20000</v>
      </c>
      <c r="E13" s="104">
        <f>SUM('Draw #19'!E13:F13)</f>
        <v>0</v>
      </c>
      <c r="F13" s="105">
        <v>0</v>
      </c>
      <c r="G13" s="104">
        <f>SUM('Draw #19'!G13)+F13</f>
        <v>20000</v>
      </c>
      <c r="H13" s="109">
        <f t="shared" si="0"/>
        <v>20000</v>
      </c>
      <c r="I13" s="110">
        <v>0</v>
      </c>
      <c r="J13" s="109">
        <f>SUM(I13+'Draw #19'!J13)</f>
        <v>0</v>
      </c>
      <c r="K13" s="101" t="str">
        <f t="shared" si="1"/>
        <v/>
      </c>
    </row>
    <row r="14" spans="1:11" ht="14.1" customHeight="1">
      <c r="A14" s="4">
        <f>'SCHEDULE OF VALUE WORKSHEET'!A11</f>
        <v>5</v>
      </c>
      <c r="B14" s="142" t="str">
        <f>'SCHEDULE OF VALUE WORKSHEET'!B11</f>
        <v>Plan Check Fees</v>
      </c>
      <c r="C14" s="143"/>
      <c r="D14" s="104">
        <f>SUM('SCHEDULE OF VALUE WORKSHEET'!E11)</f>
        <v>0</v>
      </c>
      <c r="E14" s="104">
        <f>SUM('Draw #19'!E14:F14)</f>
        <v>0</v>
      </c>
      <c r="F14" s="105">
        <v>0</v>
      </c>
      <c r="G14" s="104">
        <f>SUM('Draw #19'!G14)+F14</f>
        <v>0</v>
      </c>
      <c r="H14" s="109">
        <f t="shared" si="0"/>
        <v>0</v>
      </c>
      <c r="I14" s="110">
        <v>0</v>
      </c>
      <c r="J14" s="109">
        <f>SUM(I14+'Draw #19'!J14)</f>
        <v>0</v>
      </c>
      <c r="K14" s="101" t="str">
        <f t="shared" si="1"/>
        <v/>
      </c>
    </row>
    <row r="15" spans="1:11" ht="14.1" customHeight="1">
      <c r="A15" s="4">
        <f>'SCHEDULE OF VALUE WORKSHEET'!A12</f>
        <v>6</v>
      </c>
      <c r="B15" s="142" t="str">
        <f>'SCHEDULE OF VALUE WORKSHEET'!B12</f>
        <v>Permits</v>
      </c>
      <c r="C15" s="143"/>
      <c r="D15" s="104">
        <f>SUM('SCHEDULE OF VALUE WORKSHEET'!E12)</f>
        <v>0</v>
      </c>
      <c r="E15" s="104">
        <f>SUM('Draw #19'!E15:F15)</f>
        <v>0</v>
      </c>
      <c r="F15" s="105">
        <v>0</v>
      </c>
      <c r="G15" s="104">
        <f>SUM('Draw #19'!G15)+F15</f>
        <v>0</v>
      </c>
      <c r="H15" s="109">
        <f t="shared" si="0"/>
        <v>0</v>
      </c>
      <c r="I15" s="110">
        <v>0</v>
      </c>
      <c r="J15" s="109">
        <f>SUM(I15+'Draw #19'!J15)</f>
        <v>0</v>
      </c>
      <c r="K15" s="101" t="str">
        <f t="shared" si="1"/>
        <v/>
      </c>
    </row>
    <row r="16" spans="1:11" ht="14.1" customHeight="1">
      <c r="A16" s="4">
        <f>'SCHEDULE OF VALUE WORKSHEET'!A13</f>
        <v>7</v>
      </c>
      <c r="B16" s="142" t="str">
        <f>'SCHEDULE OF VALUE WORKSHEET'!B13</f>
        <v>Survey</v>
      </c>
      <c r="C16" s="143"/>
      <c r="D16" s="104">
        <f>SUM('SCHEDULE OF VALUE WORKSHEET'!E13)</f>
        <v>0</v>
      </c>
      <c r="E16" s="104">
        <f>SUM('Draw #19'!E16:F16)</f>
        <v>0</v>
      </c>
      <c r="F16" s="105">
        <v>0</v>
      </c>
      <c r="G16" s="104">
        <f>SUM('Draw #19'!G16)+F16</f>
        <v>0</v>
      </c>
      <c r="H16" s="109">
        <f t="shared" si="0"/>
        <v>0</v>
      </c>
      <c r="I16" s="110">
        <v>0</v>
      </c>
      <c r="J16" s="109">
        <f>SUM(I16+'Draw #19'!J16)</f>
        <v>0</v>
      </c>
      <c r="K16" s="101" t="str">
        <f t="shared" si="1"/>
        <v/>
      </c>
    </row>
    <row r="17" spans="1:11" ht="14.1" customHeight="1">
      <c r="A17" s="4">
        <f>'SCHEDULE OF VALUE WORKSHEET'!A14</f>
        <v>8</v>
      </c>
      <c r="B17" s="142" t="str">
        <f>'SCHEDULE OF VALUE WORKSHEET'!B14</f>
        <v>Soils Engineer</v>
      </c>
      <c r="C17" s="143"/>
      <c r="D17" s="104">
        <f>SUM('SCHEDULE OF VALUE WORKSHEET'!E14)</f>
        <v>0</v>
      </c>
      <c r="E17" s="104">
        <f>SUM('Draw #19'!E17:F17)</f>
        <v>0</v>
      </c>
      <c r="F17" s="105">
        <v>0</v>
      </c>
      <c r="G17" s="104">
        <f>SUM('Draw #19'!G17)+F17</f>
        <v>0</v>
      </c>
      <c r="H17" s="109">
        <f t="shared" si="0"/>
        <v>0</v>
      </c>
      <c r="I17" s="110">
        <v>0</v>
      </c>
      <c r="J17" s="109">
        <f>SUM(I17+'Draw #19'!J17)</f>
        <v>0</v>
      </c>
      <c r="K17" s="101" t="str">
        <f t="shared" si="1"/>
        <v/>
      </c>
    </row>
    <row r="18" spans="1:11" ht="14.1" customHeight="1">
      <c r="A18" s="4">
        <f>'SCHEDULE OF VALUE WORKSHEET'!A15</f>
        <v>9</v>
      </c>
      <c r="B18" s="142" t="str">
        <f>'SCHEDULE OF VALUE WORKSHEET'!B15</f>
        <v>Soils Permit + T24</v>
      </c>
      <c r="C18" s="143"/>
      <c r="D18" s="104">
        <f>SUM('SCHEDULE OF VALUE WORKSHEET'!E15)</f>
        <v>2500</v>
      </c>
      <c r="E18" s="104">
        <f>SUM('Draw #19'!E18:F18)</f>
        <v>0</v>
      </c>
      <c r="F18" s="105">
        <v>0</v>
      </c>
      <c r="G18" s="104">
        <f>SUM('Draw #19'!G18)+F18</f>
        <v>2500</v>
      </c>
      <c r="H18" s="109">
        <f t="shared" si="0"/>
        <v>2500</v>
      </c>
      <c r="I18" s="110">
        <v>0</v>
      </c>
      <c r="J18" s="109">
        <f>SUM(I18+'Draw #19'!J18)</f>
        <v>0</v>
      </c>
      <c r="K18" s="101" t="str">
        <f t="shared" si="1"/>
        <v/>
      </c>
    </row>
    <row r="19" spans="1:11" ht="14.1" customHeight="1">
      <c r="A19" s="4">
        <f>'SCHEDULE OF VALUE WORKSHEET'!A16</f>
        <v>10</v>
      </c>
      <c r="B19" s="142" t="str">
        <f>'SCHEDULE OF VALUE WORKSHEET'!B16</f>
        <v>Special Inspections - Deputy</v>
      </c>
      <c r="C19" s="143"/>
      <c r="D19" s="104">
        <f>SUM('SCHEDULE OF VALUE WORKSHEET'!E16)</f>
        <v>15000</v>
      </c>
      <c r="E19" s="104">
        <f>SUM('Draw #19'!E19:F19)</f>
        <v>0</v>
      </c>
      <c r="F19" s="105">
        <v>0</v>
      </c>
      <c r="G19" s="104">
        <f>SUM('Draw #19'!G19)+F19</f>
        <v>15000</v>
      </c>
      <c r="H19" s="109">
        <f t="shared" si="0"/>
        <v>15000</v>
      </c>
      <c r="I19" s="110">
        <v>0</v>
      </c>
      <c r="J19" s="109">
        <f>SUM(I19+'Draw #19'!J19)</f>
        <v>0</v>
      </c>
      <c r="K19" s="101" t="str">
        <f t="shared" si="1"/>
        <v/>
      </c>
    </row>
    <row r="20" spans="1:11" ht="14.1" customHeight="1">
      <c r="A20" s="4">
        <f>'SCHEDULE OF VALUE WORKSHEET'!A17</f>
        <v>11</v>
      </c>
      <c r="B20" s="142" t="str">
        <f>'SCHEDULE OF VALUE WORKSHEET'!B17</f>
        <v>Architect</v>
      </c>
      <c r="C20" s="143"/>
      <c r="D20" s="104">
        <f>SUM('SCHEDULE OF VALUE WORKSHEET'!E17)</f>
        <v>0</v>
      </c>
      <c r="E20" s="104">
        <f>SUM('Draw #19'!E20:F20)</f>
        <v>0</v>
      </c>
      <c r="F20" s="105">
        <v>0</v>
      </c>
      <c r="G20" s="104">
        <f>SUM('Draw #19'!G20)+F20</f>
        <v>0</v>
      </c>
      <c r="H20" s="109">
        <f t="shared" si="0"/>
        <v>0</v>
      </c>
      <c r="I20" s="110">
        <v>0</v>
      </c>
      <c r="J20" s="109">
        <f>SUM(I20+'Draw #19'!J20)</f>
        <v>0</v>
      </c>
      <c r="K20" s="101" t="str">
        <f t="shared" si="1"/>
        <v/>
      </c>
    </row>
    <row r="21" spans="1:11" ht="14.1" customHeight="1">
      <c r="A21" s="4">
        <f>'SCHEDULE OF VALUE WORKSHEET'!A18</f>
        <v>12</v>
      </c>
      <c r="B21" s="142" t="str">
        <f>'SCHEDULE OF VALUE WORKSHEET'!B18</f>
        <v>Structural Engineer</v>
      </c>
      <c r="C21" s="143"/>
      <c r="D21" s="104">
        <f>SUM('SCHEDULE OF VALUE WORKSHEET'!E18)</f>
        <v>0</v>
      </c>
      <c r="E21" s="104">
        <f>SUM('Draw #19'!E21:F21)</f>
        <v>0</v>
      </c>
      <c r="F21" s="105">
        <v>0</v>
      </c>
      <c r="G21" s="104">
        <f>SUM('Draw #19'!G21)+F21</f>
        <v>0</v>
      </c>
      <c r="H21" s="109">
        <f t="shared" si="0"/>
        <v>0</v>
      </c>
      <c r="I21" s="110">
        <v>0</v>
      </c>
      <c r="J21" s="109">
        <f>SUM(I21+'Draw #19'!J21)</f>
        <v>0</v>
      </c>
      <c r="K21" s="101" t="str">
        <f t="shared" si="1"/>
        <v/>
      </c>
    </row>
    <row r="22" spans="1:11" ht="14.1" customHeight="1">
      <c r="A22" s="4">
        <f>'SCHEDULE OF VALUE WORKSHEET'!A19</f>
        <v>13</v>
      </c>
      <c r="B22" s="142" t="str">
        <f>'SCHEDULE OF VALUE WORKSHEET'!B19</f>
        <v>Structural Observation</v>
      </c>
      <c r="C22" s="143"/>
      <c r="D22" s="104">
        <f>SUM('SCHEDULE OF VALUE WORKSHEET'!E19)</f>
        <v>8000</v>
      </c>
      <c r="E22" s="104">
        <f>SUM('Draw #19'!E22:F22)</f>
        <v>0</v>
      </c>
      <c r="F22" s="105">
        <v>0</v>
      </c>
      <c r="G22" s="104">
        <f>SUM('Draw #19'!G22)+F22</f>
        <v>8000</v>
      </c>
      <c r="H22" s="109">
        <f t="shared" si="0"/>
        <v>8000</v>
      </c>
      <c r="I22" s="110">
        <v>0</v>
      </c>
      <c r="J22" s="109">
        <f>SUM(I22+'Draw #19'!J22)</f>
        <v>0</v>
      </c>
      <c r="K22" s="101" t="str">
        <f t="shared" si="1"/>
        <v/>
      </c>
    </row>
    <row r="23" spans="1:11" ht="14.1" customHeight="1">
      <c r="A23" s="4">
        <f>'SCHEDULE OF VALUE WORKSHEET'!A20</f>
        <v>14</v>
      </c>
      <c r="B23" s="142" t="str">
        <f>'SCHEDULE OF VALUE WORKSHEET'!B20</f>
        <v>Civil Engineering</v>
      </c>
      <c r="C23" s="143"/>
      <c r="D23" s="104">
        <f>SUM('SCHEDULE OF VALUE WORKSHEET'!E20)</f>
        <v>0</v>
      </c>
      <c r="E23" s="104">
        <f>SUM('Draw #19'!E23:F23)</f>
        <v>0</v>
      </c>
      <c r="F23" s="105">
        <v>0</v>
      </c>
      <c r="G23" s="104">
        <f>SUM('Draw #19'!G23)+F23</f>
        <v>0</v>
      </c>
      <c r="H23" s="109">
        <f t="shared" si="0"/>
        <v>0</v>
      </c>
      <c r="I23" s="110">
        <v>0</v>
      </c>
      <c r="J23" s="109">
        <f>SUM(I23+'Draw #19'!J23)</f>
        <v>0</v>
      </c>
      <c r="K23" s="101" t="str">
        <f t="shared" si="1"/>
        <v/>
      </c>
    </row>
    <row r="24" spans="1:11" ht="14.1" customHeight="1">
      <c r="A24" s="4">
        <f>'SCHEDULE OF VALUE WORKSHEET'!A21</f>
        <v>15</v>
      </c>
      <c r="B24" s="142" t="str">
        <f>'SCHEDULE OF VALUE WORKSHEET'!B21</f>
        <v>Grading Permit</v>
      </c>
      <c r="C24" s="143"/>
      <c r="D24" s="104">
        <f>SUM('SCHEDULE OF VALUE WORKSHEET'!E21)</f>
        <v>0</v>
      </c>
      <c r="E24" s="104">
        <f>SUM('Draw #19'!E24:F24)</f>
        <v>0</v>
      </c>
      <c r="F24" s="105">
        <v>0</v>
      </c>
      <c r="G24" s="104">
        <f>SUM('Draw #19'!G24)+F24</f>
        <v>0</v>
      </c>
      <c r="H24" s="109">
        <f t="shared" si="0"/>
        <v>0</v>
      </c>
      <c r="I24" s="110">
        <v>0</v>
      </c>
      <c r="J24" s="109">
        <f>SUM(I24+'Draw #19'!J24)</f>
        <v>0</v>
      </c>
      <c r="K24" s="101" t="str">
        <f t="shared" si="1"/>
        <v/>
      </c>
    </row>
    <row r="25" spans="1:11" ht="14.1" customHeight="1">
      <c r="A25" s="4">
        <f>'SCHEDULE OF VALUE WORKSHEET'!A22</f>
        <v>16</v>
      </c>
      <c r="B25" s="142" t="str">
        <f>'SCHEDULE OF VALUE WORKSHEET'!B22</f>
        <v>Landscape Architect/Designer</v>
      </c>
      <c r="C25" s="143"/>
      <c r="D25" s="104">
        <f>SUM('SCHEDULE OF VALUE WORKSHEET'!E22)</f>
        <v>0</v>
      </c>
      <c r="E25" s="104">
        <f>SUM('Draw #19'!E25:F25)</f>
        <v>0</v>
      </c>
      <c r="F25" s="105">
        <v>0</v>
      </c>
      <c r="G25" s="104">
        <f>SUM('Draw #19'!G25)+F25</f>
        <v>0</v>
      </c>
      <c r="H25" s="109">
        <f t="shared" si="0"/>
        <v>0</v>
      </c>
      <c r="I25" s="110">
        <v>0</v>
      </c>
      <c r="J25" s="109">
        <f>SUM(I25+'Draw #19'!J25)</f>
        <v>0</v>
      </c>
      <c r="K25" s="101" t="str">
        <f t="shared" si="1"/>
        <v/>
      </c>
    </row>
    <row r="26" spans="1:11" ht="14.1" customHeight="1">
      <c r="A26" s="4">
        <f>'SCHEDULE OF VALUE WORKSHEET'!A23</f>
        <v>17</v>
      </c>
      <c r="B26" s="142" t="str">
        <f>'SCHEDULE OF VALUE WORKSHEET'!B23</f>
        <v>Driveway Apron Permit</v>
      </c>
      <c r="C26" s="143"/>
      <c r="D26" s="104">
        <f>SUM('SCHEDULE OF VALUE WORKSHEET'!E23)</f>
        <v>2500</v>
      </c>
      <c r="E26" s="104">
        <f>SUM('Draw #19'!E26:F26)</f>
        <v>0</v>
      </c>
      <c r="F26" s="105">
        <v>0</v>
      </c>
      <c r="G26" s="104">
        <f>SUM('Draw #19'!G26)+F26</f>
        <v>2500</v>
      </c>
      <c r="H26" s="109">
        <f t="shared" si="0"/>
        <v>2500</v>
      </c>
      <c r="I26" s="110">
        <v>0</v>
      </c>
      <c r="J26" s="109">
        <f>SUM(I26+'Draw #19'!J26)</f>
        <v>0</v>
      </c>
      <c r="K26" s="101" t="str">
        <f t="shared" si="1"/>
        <v/>
      </c>
    </row>
    <row r="27" spans="1:11" ht="14.1" customHeight="1">
      <c r="A27" s="4">
        <f>'SCHEDULE OF VALUE WORKSHEET'!A24</f>
        <v>18</v>
      </c>
      <c r="B27" s="142" t="str">
        <f>'SCHEDULE OF VALUE WORKSHEET'!B24</f>
        <v>Punch List - Misc.</v>
      </c>
      <c r="C27" s="143"/>
      <c r="D27" s="104">
        <f>SUM('SCHEDULE OF VALUE WORKSHEET'!E24)</f>
        <v>21962.77</v>
      </c>
      <c r="E27" s="104">
        <f>SUM('Draw #19'!E27:F27)</f>
        <v>0</v>
      </c>
      <c r="F27" s="105">
        <v>0</v>
      </c>
      <c r="G27" s="104">
        <f>SUM('Draw #19'!G27)+F27</f>
        <v>21962.77</v>
      </c>
      <c r="H27" s="109">
        <f t="shared" si="0"/>
        <v>21962.77</v>
      </c>
      <c r="I27" s="110">
        <v>0</v>
      </c>
      <c r="J27" s="109">
        <f>SUM(I27+'Draw #19'!J27)</f>
        <v>0</v>
      </c>
      <c r="K27" s="101" t="str">
        <f t="shared" si="1"/>
        <v/>
      </c>
    </row>
    <row r="28" spans="1:11" ht="14.1" customHeight="1">
      <c r="A28" s="4">
        <f>'SCHEDULE OF VALUE WORKSHEET'!A25</f>
        <v>19</v>
      </c>
      <c r="B28" s="142" t="str">
        <f>'SCHEDULE OF VALUE WORKSHEET'!B25</f>
        <v>EBM, Low Voltage, Landscape, Waterproofing CA</v>
      </c>
      <c r="C28" s="143"/>
      <c r="D28" s="104">
        <f>SUM('SCHEDULE OF VALUE WORKSHEET'!E25)</f>
        <v>0</v>
      </c>
      <c r="E28" s="104">
        <f>SUM('Draw #19'!E28:F28)</f>
        <v>0</v>
      </c>
      <c r="F28" s="105">
        <v>0</v>
      </c>
      <c r="G28" s="104">
        <f>SUM('Draw #19'!G28)+F28</f>
        <v>0</v>
      </c>
      <c r="H28" s="109">
        <f t="shared" si="0"/>
        <v>0</v>
      </c>
      <c r="I28" s="110">
        <v>0</v>
      </c>
      <c r="J28" s="109">
        <f>SUM(I28+'Draw #19'!J28)</f>
        <v>0</v>
      </c>
      <c r="K28" s="101" t="str">
        <f t="shared" si="1"/>
        <v/>
      </c>
    </row>
    <row r="29" spans="1:11" ht="14.1" customHeight="1">
      <c r="A29" s="4">
        <f>'SCHEDULE OF VALUE WORKSHEET'!A26</f>
        <v>20</v>
      </c>
      <c r="B29" s="142" t="str">
        <f>'SCHEDULE OF VALUE WORKSHEET'!B26</f>
        <v>Project Accounting/Tax Filing</v>
      </c>
      <c r="C29" s="143"/>
      <c r="D29" s="104">
        <f>SUM('SCHEDULE OF VALUE WORKSHEET'!E26)</f>
        <v>12994.01</v>
      </c>
      <c r="E29" s="104">
        <f>SUM('Draw #19'!E29:F29)</f>
        <v>0</v>
      </c>
      <c r="F29" s="105">
        <v>0</v>
      </c>
      <c r="G29" s="104">
        <f>SUM('Draw #19'!G29)+F29</f>
        <v>12994.01</v>
      </c>
      <c r="H29" s="109">
        <f t="shared" si="0"/>
        <v>12994.01</v>
      </c>
      <c r="I29" s="110">
        <v>0</v>
      </c>
      <c r="J29" s="109">
        <f>SUM(I29+'Draw #19'!J29)</f>
        <v>0</v>
      </c>
      <c r="K29" s="101" t="str">
        <f t="shared" si="1"/>
        <v/>
      </c>
    </row>
    <row r="30" spans="1:11" ht="14.1" customHeight="1">
      <c r="A30" s="4">
        <f>'SCHEDULE OF VALUE WORKSHEET'!A27</f>
        <v>21</v>
      </c>
      <c r="B30" s="142" t="str">
        <f>'SCHEDULE OF VALUE WORKSHEET'!B27</f>
        <v>Legal &amp; Professional Fees</v>
      </c>
      <c r="C30" s="143"/>
      <c r="D30" s="104">
        <f>SUM('SCHEDULE OF VALUE WORKSHEET'!E27)</f>
        <v>873.38999999999942</v>
      </c>
      <c r="E30" s="104">
        <f>SUM('Draw #19'!E30:F30)</f>
        <v>0</v>
      </c>
      <c r="F30" s="105">
        <v>0</v>
      </c>
      <c r="G30" s="104">
        <f>SUM('Draw #19'!G30)+F30</f>
        <v>873.38999999999942</v>
      </c>
      <c r="H30" s="109">
        <f t="shared" si="0"/>
        <v>873.38999999999942</v>
      </c>
      <c r="I30" s="110">
        <v>0</v>
      </c>
      <c r="J30" s="109">
        <f>SUM(I30+'Draw #19'!J30)</f>
        <v>0</v>
      </c>
      <c r="K30" s="101" t="str">
        <f t="shared" si="1"/>
        <v/>
      </c>
    </row>
    <row r="31" spans="1:11" ht="14.1" customHeight="1">
      <c r="A31" s="4">
        <f>'SCHEDULE OF VALUE WORKSHEET'!A28</f>
        <v>22</v>
      </c>
      <c r="B31" s="142" t="str">
        <f>'SCHEDULE OF VALUE WORKSHEET'!B28</f>
        <v>Sewer CCTV and inspection</v>
      </c>
      <c r="C31" s="143"/>
      <c r="D31" s="104">
        <f>SUM('SCHEDULE OF VALUE WORKSHEET'!E28)</f>
        <v>0</v>
      </c>
      <c r="E31" s="104">
        <f>SUM('Draw #19'!E31:F31)</f>
        <v>0</v>
      </c>
      <c r="F31" s="105">
        <v>0</v>
      </c>
      <c r="G31" s="104">
        <f>SUM('Draw #19'!G31)+F31</f>
        <v>0</v>
      </c>
      <c r="H31" s="109">
        <f t="shared" si="0"/>
        <v>0</v>
      </c>
      <c r="I31" s="110">
        <v>0</v>
      </c>
      <c r="J31" s="109">
        <f>SUM(I31+'Draw #19'!J31)</f>
        <v>0</v>
      </c>
      <c r="K31" s="101" t="str">
        <f t="shared" si="1"/>
        <v/>
      </c>
    </row>
    <row r="32" spans="1:11" ht="14.1" customHeight="1">
      <c r="A32" s="4">
        <f>'SCHEDULE OF VALUE WORKSHEET'!A29</f>
        <v>23</v>
      </c>
      <c r="B32" s="142" t="str">
        <f>'SCHEDULE OF VALUE WORKSHEET'!B29</f>
        <v>Environmental Phase I</v>
      </c>
      <c r="C32" s="143"/>
      <c r="D32" s="104">
        <f>SUM('SCHEDULE OF VALUE WORKSHEET'!E29)</f>
        <v>0</v>
      </c>
      <c r="E32" s="104">
        <f>SUM('Draw #19'!E32:F32)</f>
        <v>0</v>
      </c>
      <c r="F32" s="105">
        <v>0</v>
      </c>
      <c r="G32" s="104">
        <f>SUM('Draw #19'!G32)+F32</f>
        <v>0</v>
      </c>
      <c r="H32" s="109">
        <f t="shared" si="0"/>
        <v>0</v>
      </c>
      <c r="I32" s="110">
        <v>0</v>
      </c>
      <c r="J32" s="109">
        <f>SUM(I32+'Draw #19'!J32)</f>
        <v>0</v>
      </c>
      <c r="K32" s="101" t="str">
        <f t="shared" si="1"/>
        <v/>
      </c>
    </row>
    <row r="33" spans="1:11" ht="14.1" customHeight="1">
      <c r="A33" s="4">
        <f>'SCHEDULE OF VALUE WORKSHEET'!A30</f>
        <v>24</v>
      </c>
      <c r="B33" s="142" t="str">
        <f>'SCHEDULE OF VALUE WORKSHEET'!B30</f>
        <v>Dry Utility Consultant</v>
      </c>
      <c r="C33" s="143"/>
      <c r="D33" s="104">
        <f>SUM('SCHEDULE OF VALUE WORKSHEET'!E30)</f>
        <v>0</v>
      </c>
      <c r="E33" s="104">
        <f>SUM('Draw #19'!E33:F33)</f>
        <v>0</v>
      </c>
      <c r="F33" s="105">
        <v>0</v>
      </c>
      <c r="G33" s="104">
        <f>SUM('Draw #19'!G33)+F33</f>
        <v>0</v>
      </c>
      <c r="H33" s="109">
        <f t="shared" si="0"/>
        <v>0</v>
      </c>
      <c r="I33" s="110">
        <v>0</v>
      </c>
      <c r="J33" s="109">
        <f>SUM(I33+'Draw #19'!J33)</f>
        <v>0</v>
      </c>
      <c r="K33" s="101" t="str">
        <f t="shared" si="1"/>
        <v/>
      </c>
    </row>
    <row r="34" spans="1:11" ht="14.1" customHeight="1">
      <c r="A34" s="4">
        <f>'SCHEDULE OF VALUE WORKSHEET'!A31</f>
        <v>25</v>
      </c>
      <c r="B34" s="142" t="str">
        <f>'SCHEDULE OF VALUE WORKSHEET'!B31</f>
        <v>Dry Utility Survey</v>
      </c>
      <c r="C34" s="143"/>
      <c r="D34" s="104">
        <f>SUM('SCHEDULE OF VALUE WORKSHEET'!E31)</f>
        <v>5000</v>
      </c>
      <c r="E34" s="104">
        <f>SUM('Draw #19'!E34:F34)</f>
        <v>0</v>
      </c>
      <c r="F34" s="105">
        <v>0</v>
      </c>
      <c r="G34" s="104">
        <f>SUM('Draw #19'!G34)+F34</f>
        <v>5000</v>
      </c>
      <c r="H34" s="109">
        <f t="shared" si="0"/>
        <v>5000</v>
      </c>
      <c r="I34" s="110">
        <v>0</v>
      </c>
      <c r="J34" s="109">
        <f>SUM(I34+'Draw #19'!J34)</f>
        <v>0</v>
      </c>
      <c r="K34" s="101" t="str">
        <f t="shared" si="1"/>
        <v/>
      </c>
    </row>
    <row r="35" spans="1:11" ht="14.1" customHeight="1">
      <c r="A35" s="4">
        <f>'SCHEDULE OF VALUE WORKSHEET'!A32</f>
        <v>26</v>
      </c>
      <c r="B35" s="142" t="str">
        <f>'SCHEDULE OF VALUE WORKSHEET'!B32</f>
        <v>MEP</v>
      </c>
      <c r="C35" s="143"/>
      <c r="D35" s="104">
        <f>SUM('SCHEDULE OF VALUE WORKSHEET'!E32)</f>
        <v>0</v>
      </c>
      <c r="E35" s="104">
        <f>SUM('Draw #19'!E35:F35)</f>
        <v>0</v>
      </c>
      <c r="F35" s="105">
        <v>0</v>
      </c>
      <c r="G35" s="104">
        <f>SUM('Draw #19'!G35)+F35</f>
        <v>0</v>
      </c>
      <c r="H35" s="109">
        <f t="shared" si="0"/>
        <v>0</v>
      </c>
      <c r="I35" s="110">
        <v>0</v>
      </c>
      <c r="J35" s="109">
        <f>SUM(I35+'Draw #19'!J35)</f>
        <v>0</v>
      </c>
      <c r="K35" s="101" t="str">
        <f t="shared" si="1"/>
        <v/>
      </c>
    </row>
    <row r="36" spans="1:11" ht="14.1" customHeight="1">
      <c r="A36" s="4">
        <f>'SCHEDULE OF VALUE WORKSHEET'!A33</f>
        <v>27</v>
      </c>
      <c r="B36" s="142" t="str">
        <f>'SCHEDULE OF VALUE WORKSHEET'!B33</f>
        <v>Civil Construction Administration</v>
      </c>
      <c r="C36" s="143"/>
      <c r="D36" s="104">
        <f>SUM('SCHEDULE OF VALUE WORKSHEET'!E33)</f>
        <v>5000</v>
      </c>
      <c r="E36" s="104">
        <f>SUM('Draw #19'!E36:F36)</f>
        <v>0</v>
      </c>
      <c r="F36" s="105">
        <v>0</v>
      </c>
      <c r="G36" s="104">
        <f>SUM('Draw #19'!G36)+F36</f>
        <v>5000</v>
      </c>
      <c r="H36" s="109">
        <f t="shared" si="0"/>
        <v>5000</v>
      </c>
      <c r="I36" s="110">
        <v>0</v>
      </c>
      <c r="J36" s="109">
        <f>SUM(I36+'Draw #19'!J36)</f>
        <v>0</v>
      </c>
      <c r="K36" s="101" t="str">
        <f t="shared" si="1"/>
        <v/>
      </c>
    </row>
    <row r="37" spans="1:11" ht="14.1" customHeight="1">
      <c r="A37" s="4">
        <f>'SCHEDULE OF VALUE WORKSHEET'!A34</f>
        <v>28</v>
      </c>
      <c r="B37" s="142" t="str">
        <f>'SCHEDULE OF VALUE WORKSHEET'!B34</f>
        <v>Permit Clearances &amp; Agency Reviews</v>
      </c>
      <c r="C37" s="143"/>
      <c r="D37" s="104">
        <f>SUM('SCHEDULE OF VALUE WORKSHEET'!E34)</f>
        <v>0</v>
      </c>
      <c r="E37" s="104">
        <f>SUM('Draw #19'!E37:F37)</f>
        <v>0</v>
      </c>
      <c r="F37" s="105">
        <v>0</v>
      </c>
      <c r="G37" s="104">
        <f>SUM('Draw #19'!G37)+F37</f>
        <v>0</v>
      </c>
      <c r="H37" s="109">
        <f t="shared" si="0"/>
        <v>0</v>
      </c>
      <c r="I37" s="110">
        <v>0</v>
      </c>
      <c r="J37" s="109">
        <f>SUM(I37+'Draw #19'!J37)</f>
        <v>0</v>
      </c>
      <c r="K37" s="101" t="str">
        <f t="shared" si="1"/>
        <v/>
      </c>
    </row>
    <row r="38" spans="1:11" ht="14.1" customHeight="1">
      <c r="A38" s="4">
        <f>'SCHEDULE OF VALUE WORKSHEET'!A35</f>
        <v>29</v>
      </c>
      <c r="B38" s="142" t="str">
        <f>'SCHEDULE OF VALUE WORKSHEET'!B35</f>
        <v>Demo Permit Fees</v>
      </c>
      <c r="C38" s="143"/>
      <c r="D38" s="104">
        <f>SUM('SCHEDULE OF VALUE WORKSHEET'!E35)</f>
        <v>500</v>
      </c>
      <c r="E38" s="104">
        <f>SUM('Draw #19'!E38:F38)</f>
        <v>0</v>
      </c>
      <c r="F38" s="105">
        <v>0</v>
      </c>
      <c r="G38" s="104">
        <f>SUM('Draw #19'!G38)+F38</f>
        <v>500</v>
      </c>
      <c r="H38" s="109">
        <f t="shared" si="0"/>
        <v>500</v>
      </c>
      <c r="I38" s="110">
        <v>0</v>
      </c>
      <c r="J38" s="109">
        <f>SUM(I38+'Draw #19'!J38)</f>
        <v>0</v>
      </c>
      <c r="K38" s="101" t="str">
        <f t="shared" si="1"/>
        <v/>
      </c>
    </row>
    <row r="39" spans="1:11" ht="14.1" customHeight="1">
      <c r="A39" s="4">
        <f>'SCHEDULE OF VALUE WORKSHEET'!A36</f>
        <v>30</v>
      </c>
      <c r="B39" s="142" t="str">
        <f>'SCHEDULE OF VALUE WORKSHEET'!B36</f>
        <v>MEP Fees</v>
      </c>
      <c r="C39" s="143"/>
      <c r="D39" s="104">
        <f>SUM('SCHEDULE OF VALUE WORKSHEET'!E36)</f>
        <v>0</v>
      </c>
      <c r="E39" s="104">
        <f>SUM('Draw #19'!E39:F39)</f>
        <v>0</v>
      </c>
      <c r="F39" s="105">
        <v>0</v>
      </c>
      <c r="G39" s="104">
        <f>SUM('Draw #19'!G39)+F39</f>
        <v>0</v>
      </c>
      <c r="H39" s="109">
        <f t="shared" si="0"/>
        <v>0</v>
      </c>
      <c r="I39" s="110">
        <v>0</v>
      </c>
      <c r="J39" s="109">
        <f>SUM(I39+'Draw #19'!J39)</f>
        <v>0</v>
      </c>
      <c r="K39" s="101" t="str">
        <f t="shared" si="1"/>
        <v/>
      </c>
    </row>
    <row r="40" spans="1:11" ht="14.1" customHeight="1">
      <c r="A40" s="4">
        <f>'SCHEDULE OF VALUE WORKSHEET'!A37</f>
        <v>31</v>
      </c>
      <c r="B40" s="142" t="str">
        <f>'SCHEDULE OF VALUE WORKSHEET'!B37</f>
        <v>Agency Signoffs</v>
      </c>
      <c r="C40" s="143"/>
      <c r="D40" s="104">
        <f>SUM('SCHEDULE OF VALUE WORKSHEET'!E37)</f>
        <v>0</v>
      </c>
      <c r="E40" s="104">
        <f>SUM('Draw #19'!E40:F40)</f>
        <v>0</v>
      </c>
      <c r="F40" s="105">
        <v>0</v>
      </c>
      <c r="G40" s="104">
        <f>SUM('Draw #19'!G40)+F40</f>
        <v>0</v>
      </c>
      <c r="H40" s="109">
        <f t="shared" si="0"/>
        <v>0</v>
      </c>
      <c r="I40" s="110">
        <v>0</v>
      </c>
      <c r="J40" s="109">
        <f>SUM(I40+'Draw #19'!J40)</f>
        <v>0</v>
      </c>
      <c r="K40" s="101" t="str">
        <f t="shared" si="1"/>
        <v/>
      </c>
    </row>
    <row r="41" spans="1:11" ht="14.1" customHeight="1">
      <c r="A41" s="4">
        <f>'SCHEDULE OF VALUE WORKSHEET'!A38</f>
        <v>32</v>
      </c>
      <c r="B41" s="142" t="str">
        <f>'SCHEDULE OF VALUE WORKSHEET'!B38</f>
        <v>Specifications Writer Consultant</v>
      </c>
      <c r="C41" s="143"/>
      <c r="D41" s="104">
        <f>SUM('SCHEDULE OF VALUE WORKSHEET'!E38)</f>
        <v>2000</v>
      </c>
      <c r="E41" s="104">
        <f>SUM('Draw #19'!E41:F41)</f>
        <v>0</v>
      </c>
      <c r="F41" s="105">
        <v>0</v>
      </c>
      <c r="G41" s="104">
        <f>SUM('Draw #19'!G41)+F41</f>
        <v>2000</v>
      </c>
      <c r="H41" s="109">
        <f t="shared" si="0"/>
        <v>2000</v>
      </c>
      <c r="I41" s="110">
        <v>0</v>
      </c>
      <c r="J41" s="109">
        <f>SUM(I41+'Draw #19'!J41)</f>
        <v>0</v>
      </c>
      <c r="K41" s="101" t="str">
        <f t="shared" si="1"/>
        <v/>
      </c>
    </row>
    <row r="42" spans="1:11" ht="14.1" customHeight="1">
      <c r="A42" s="4">
        <f>'SCHEDULE OF VALUE WORKSHEET'!A39</f>
        <v>33</v>
      </c>
      <c r="B42" s="142" t="str">
        <f>'SCHEDULE OF VALUE WORKSHEET'!B39</f>
        <v>Construction Consultant</v>
      </c>
      <c r="C42" s="143"/>
      <c r="D42" s="104">
        <f>SUM('SCHEDULE OF VALUE WORKSHEET'!E39)</f>
        <v>0</v>
      </c>
      <c r="E42" s="104">
        <f>SUM('Draw #19'!E42:F42)</f>
        <v>0</v>
      </c>
      <c r="F42" s="105">
        <v>0</v>
      </c>
      <c r="G42" s="104">
        <f>SUM('Draw #19'!G42)+F42</f>
        <v>0</v>
      </c>
      <c r="H42" s="109">
        <f t="shared" si="0"/>
        <v>0</v>
      </c>
      <c r="I42" s="110">
        <v>0</v>
      </c>
      <c r="J42" s="109">
        <f>SUM(I42+'Draw #19'!J42)</f>
        <v>0</v>
      </c>
      <c r="K42" s="101" t="str">
        <f t="shared" si="1"/>
        <v/>
      </c>
    </row>
    <row r="43" spans="1:11" ht="14.1" customHeight="1">
      <c r="A43" s="4">
        <f>'SCHEDULE OF VALUE WORKSHEET'!A40</f>
        <v>34</v>
      </c>
      <c r="B43" s="142" t="str">
        <f>'SCHEDULE OF VALUE WORKSHEET'!B40</f>
        <v>Low Voltage Consultant</v>
      </c>
      <c r="C43" s="143"/>
      <c r="D43" s="104">
        <f>SUM('SCHEDULE OF VALUE WORKSHEET'!E40)</f>
        <v>15524</v>
      </c>
      <c r="E43" s="104">
        <f>SUM('Draw #19'!E43:F43)</f>
        <v>0</v>
      </c>
      <c r="F43" s="105">
        <v>0</v>
      </c>
      <c r="G43" s="104">
        <f>SUM('Draw #19'!G43)+F43</f>
        <v>15524</v>
      </c>
      <c r="H43" s="109">
        <f t="shared" si="0"/>
        <v>15524</v>
      </c>
      <c r="I43" s="110">
        <v>0</v>
      </c>
      <c r="J43" s="109">
        <f>SUM(I43+'Draw #19'!J43)</f>
        <v>0</v>
      </c>
      <c r="K43" s="101" t="str">
        <f t="shared" si="1"/>
        <v/>
      </c>
    </row>
    <row r="44" spans="1:11" ht="14.1" customHeight="1">
      <c r="A44" s="4">
        <f>'SCHEDULE OF VALUE WORKSHEET'!A41</f>
        <v>35</v>
      </c>
      <c r="B44" s="142" t="str">
        <f>'SCHEDULE OF VALUE WORKSHEET'!B41</f>
        <v>Photovoltaic Consultant</v>
      </c>
      <c r="C44" s="143"/>
      <c r="D44" s="104">
        <f>SUM('SCHEDULE OF VALUE WORKSHEET'!E41)</f>
        <v>5000</v>
      </c>
      <c r="E44" s="104">
        <f>SUM('Draw #19'!E44:F44)</f>
        <v>0</v>
      </c>
      <c r="F44" s="105">
        <v>0</v>
      </c>
      <c r="G44" s="104">
        <f>SUM('Draw #19'!G44)+F44</f>
        <v>5000</v>
      </c>
      <c r="H44" s="109">
        <f t="shared" si="0"/>
        <v>5000</v>
      </c>
      <c r="I44" s="110">
        <v>0</v>
      </c>
      <c r="J44" s="109">
        <f>SUM(I44+'Draw #19'!J44)</f>
        <v>0</v>
      </c>
      <c r="K44" s="101" t="str">
        <f t="shared" si="1"/>
        <v/>
      </c>
    </row>
    <row r="45" spans="1:11" ht="14.1" customHeight="1">
      <c r="A45" s="4">
        <f>'SCHEDULE OF VALUE WORKSHEET'!A42</f>
        <v>36</v>
      </c>
      <c r="B45" s="142" t="str">
        <f>'SCHEDULE OF VALUE WORKSHEET'!B42</f>
        <v>Construction Management / Observation (OO)</v>
      </c>
      <c r="C45" s="143"/>
      <c r="D45" s="104">
        <f>SUM('SCHEDULE OF VALUE WORKSHEET'!E42)</f>
        <v>49427.9</v>
      </c>
      <c r="E45" s="104">
        <f>SUM('Draw #19'!E45:F45)</f>
        <v>0</v>
      </c>
      <c r="F45" s="105">
        <v>0</v>
      </c>
      <c r="G45" s="104">
        <f>SUM('Draw #19'!G45)+F45</f>
        <v>49427.9</v>
      </c>
      <c r="H45" s="109">
        <f t="shared" si="0"/>
        <v>49427.9</v>
      </c>
      <c r="I45" s="110">
        <v>0</v>
      </c>
      <c r="J45" s="109">
        <f>SUM(I45+'Draw #19'!J45)</f>
        <v>0</v>
      </c>
      <c r="K45" s="101" t="str">
        <f t="shared" si="1"/>
        <v/>
      </c>
    </row>
    <row r="46" spans="1:11" ht="14.1" customHeight="1">
      <c r="A46" s="4" t="e">
        <f>'SCHEDULE OF VALUE WORKSHEET'!#REF!</f>
        <v>#REF!</v>
      </c>
      <c r="B46" s="142" t="e">
        <f>'SCHEDULE OF VALUE WORKSHEET'!#REF!</f>
        <v>#REF!</v>
      </c>
      <c r="C46" s="143"/>
      <c r="D46" s="104" t="e">
        <f>SUM('SCHEDULE OF VALUE WORKSHEET'!#REF!)</f>
        <v>#REF!</v>
      </c>
      <c r="E46" s="104">
        <f>SUM('Draw #19'!E46:F46)</f>
        <v>0</v>
      </c>
      <c r="F46" s="105">
        <v>0</v>
      </c>
      <c r="G46" s="104" t="e">
        <f>SUM('Draw #19'!G46)+F46</f>
        <v>#REF!</v>
      </c>
      <c r="H46" s="109" t="e">
        <f t="shared" si="0"/>
        <v>#REF!</v>
      </c>
      <c r="I46" s="110">
        <v>0</v>
      </c>
      <c r="J46" s="109">
        <f>SUM(I46+'Draw #19'!J46)</f>
        <v>0</v>
      </c>
      <c r="K46" s="101" t="str">
        <f t="shared" si="1"/>
        <v/>
      </c>
    </row>
    <row r="47" spans="1:11" ht="14.1" customHeight="1">
      <c r="A47" s="4">
        <f>'SCHEDULE OF VALUE WORKSHEET'!A43</f>
        <v>37</v>
      </c>
      <c r="B47" s="142" t="str">
        <f>'SCHEDULE OF VALUE WORKSHEET'!B43</f>
        <v>CMFA Startup Fee</v>
      </c>
      <c r="C47" s="143"/>
      <c r="D47" s="104">
        <f>SUM('SCHEDULE OF VALUE WORKSHEET'!E43)</f>
        <v>22800</v>
      </c>
      <c r="E47" s="104">
        <f>SUM('Draw #19'!E47:F47)</f>
        <v>0</v>
      </c>
      <c r="F47" s="105">
        <v>0</v>
      </c>
      <c r="G47" s="104">
        <f>SUM('Draw #19'!G47)+F47</f>
        <v>22800</v>
      </c>
      <c r="H47" s="109">
        <f t="shared" si="0"/>
        <v>22800</v>
      </c>
      <c r="I47" s="110">
        <v>0</v>
      </c>
      <c r="J47" s="109">
        <f>SUM(I47+'Draw #19'!J47)</f>
        <v>0</v>
      </c>
      <c r="K47" s="101" t="str">
        <f t="shared" si="1"/>
        <v/>
      </c>
    </row>
    <row r="48" spans="1:11" ht="14.1" customHeight="1">
      <c r="A48" s="4">
        <f>'SCHEDULE OF VALUE WORKSHEET'!A44</f>
        <v>38</v>
      </c>
      <c r="B48" s="142" t="str">
        <f>'SCHEDULE OF VALUE WORKSHEET'!B44</f>
        <v>Non-Profit Start Up Fee</v>
      </c>
      <c r="C48" s="143"/>
      <c r="D48" s="104">
        <f>SUM('SCHEDULE OF VALUE WORKSHEET'!E44)</f>
        <v>25000</v>
      </c>
      <c r="E48" s="104">
        <f>SUM('Draw #19'!E48:F48)</f>
        <v>0</v>
      </c>
      <c r="F48" s="105">
        <v>0</v>
      </c>
      <c r="G48" s="104">
        <f>SUM('Draw #19'!G48)+F48</f>
        <v>25000</v>
      </c>
      <c r="H48" s="109">
        <f t="shared" si="0"/>
        <v>25000</v>
      </c>
      <c r="I48" s="110">
        <v>0</v>
      </c>
      <c r="J48" s="109">
        <f>SUM(I48+'Draw #19'!J48)</f>
        <v>0</v>
      </c>
      <c r="K48" s="101" t="str">
        <f t="shared" si="1"/>
        <v/>
      </c>
    </row>
    <row r="49" spans="1:11" ht="14.1" customHeight="1">
      <c r="A49" s="4">
        <f>'SCHEDULE OF VALUE WORKSHEET'!A45</f>
        <v>39</v>
      </c>
      <c r="B49" s="142" t="str">
        <f>'SCHEDULE OF VALUE WORKSHEET'!B45</f>
        <v>CMFA Construction Fee</v>
      </c>
      <c r="C49" s="143"/>
      <c r="D49" s="104">
        <f>SUM('SCHEDULE OF VALUE WORKSHEET'!E45)</f>
        <v>12000</v>
      </c>
      <c r="E49" s="104">
        <f>SUM('Draw #19'!E49:F49)</f>
        <v>0</v>
      </c>
      <c r="F49" s="105">
        <v>0</v>
      </c>
      <c r="G49" s="104">
        <f>SUM('Draw #19'!G49)+F49</f>
        <v>12000</v>
      </c>
      <c r="H49" s="109">
        <f t="shared" si="0"/>
        <v>12000</v>
      </c>
      <c r="I49" s="110">
        <v>0</v>
      </c>
      <c r="J49" s="109">
        <f>SUM(I49+'Draw #19'!J49)</f>
        <v>0</v>
      </c>
      <c r="K49" s="101" t="str">
        <f t="shared" si="1"/>
        <v/>
      </c>
    </row>
    <row r="50" spans="1:11" ht="14.1" customHeight="1">
      <c r="A50" s="4">
        <f>'SCHEDULE OF VALUE WORKSHEET'!A46</f>
        <v>40</v>
      </c>
      <c r="B50" s="142" t="str">
        <f>'SCHEDULE OF VALUE WORKSHEET'!B46</f>
        <v>Non-Profit Construction Fee</v>
      </c>
      <c r="C50" s="143"/>
      <c r="D50" s="104">
        <f>SUM('SCHEDULE OF VALUE WORKSHEET'!E46)</f>
        <v>10000</v>
      </c>
      <c r="E50" s="104">
        <f>SUM('Draw #19'!E50:F50)</f>
        <v>0</v>
      </c>
      <c r="F50" s="105">
        <v>0</v>
      </c>
      <c r="G50" s="104">
        <f>SUM('Draw #19'!G50)+F50</f>
        <v>10000</v>
      </c>
      <c r="H50" s="109">
        <f t="shared" si="0"/>
        <v>10000</v>
      </c>
      <c r="I50" s="110">
        <v>0</v>
      </c>
      <c r="J50" s="109">
        <f>SUM(I50+'Draw #19'!J50)</f>
        <v>0</v>
      </c>
      <c r="K50" s="101" t="str">
        <f t="shared" si="1"/>
        <v/>
      </c>
    </row>
    <row r="51" spans="1:11" ht="14.1" customHeight="1">
      <c r="A51" s="4">
        <f>'SCHEDULE OF VALUE WORKSHEET'!A47</f>
        <v>41</v>
      </c>
      <c r="B51" s="142" t="str">
        <f>'SCHEDULE OF VALUE WORKSHEET'!B47</f>
        <v>WTE Legal Costs for CMFA &amp; Non-Profit Partner</v>
      </c>
      <c r="C51" s="143"/>
      <c r="D51" s="104">
        <f>SUM('SCHEDULE OF VALUE WORKSHEET'!E47)</f>
        <v>20000</v>
      </c>
      <c r="E51" s="104">
        <f>SUM('Draw #19'!E51:F51)</f>
        <v>0</v>
      </c>
      <c r="F51" s="105">
        <v>0</v>
      </c>
      <c r="G51" s="104">
        <f>SUM('Draw #19'!G51)+F51</f>
        <v>20000</v>
      </c>
      <c r="H51" s="109">
        <f t="shared" si="0"/>
        <v>20000</v>
      </c>
      <c r="I51" s="110">
        <v>0</v>
      </c>
      <c r="J51" s="109">
        <f>SUM(I51+'Draw #19'!J51)</f>
        <v>0</v>
      </c>
      <c r="K51" s="101" t="str">
        <f t="shared" si="1"/>
        <v/>
      </c>
    </row>
    <row r="52" spans="1:11" ht="14.1" customHeight="1">
      <c r="A52" s="4" t="e">
        <f>'SCHEDULE OF VALUE WORKSHEET'!#REF!</f>
        <v>#REF!</v>
      </c>
      <c r="B52" s="142" t="e">
        <f>'SCHEDULE OF VALUE WORKSHEET'!#REF!</f>
        <v>#REF!</v>
      </c>
      <c r="C52" s="143"/>
      <c r="D52" s="104" t="e">
        <f>SUM('SCHEDULE OF VALUE WORKSHEET'!#REF!)</f>
        <v>#REF!</v>
      </c>
      <c r="E52" s="104">
        <f>SUM('Draw #19'!E52:F52)</f>
        <v>0</v>
      </c>
      <c r="F52" s="105">
        <v>0</v>
      </c>
      <c r="G52" s="104" t="e">
        <f>SUM('Draw #19'!G52)+F52</f>
        <v>#REF!</v>
      </c>
      <c r="H52" s="109" t="e">
        <f t="shared" si="0"/>
        <v>#REF!</v>
      </c>
      <c r="I52" s="110">
        <v>0</v>
      </c>
      <c r="J52" s="109">
        <f>SUM(I52+'Draw #19'!J52)</f>
        <v>0</v>
      </c>
      <c r="K52" s="101" t="str">
        <f t="shared" si="1"/>
        <v/>
      </c>
    </row>
    <row r="53" spans="1:11" ht="14.1" customHeight="1">
      <c r="A53" s="4">
        <f>'SCHEDULE OF VALUE WORKSHEET'!A49</f>
        <v>43</v>
      </c>
      <c r="B53" s="142" t="str">
        <f>'SCHEDULE OF VALUE WORKSHEET'!B49</f>
        <v>GENERAL CONDITIONS</v>
      </c>
      <c r="C53" s="143"/>
      <c r="D53" s="104">
        <f>SUM('SCHEDULE OF VALUE WORKSHEET'!E49)</f>
        <v>362115.24</v>
      </c>
      <c r="E53" s="104">
        <f>SUM('Draw #19'!E53:F53)</f>
        <v>0</v>
      </c>
      <c r="F53" s="105">
        <v>0</v>
      </c>
      <c r="G53" s="104">
        <f>SUM('Draw #19'!G53)+F53</f>
        <v>362115.24</v>
      </c>
      <c r="H53" s="109">
        <f t="shared" si="0"/>
        <v>362115.24</v>
      </c>
      <c r="I53" s="110">
        <v>0</v>
      </c>
      <c r="J53" s="109">
        <f>SUM(I53+'Draw #19'!J53)</f>
        <v>0</v>
      </c>
      <c r="K53" s="101" t="str">
        <f t="shared" si="1"/>
        <v/>
      </c>
    </row>
    <row r="54" spans="1:11" ht="14.1" customHeight="1">
      <c r="A54" s="4">
        <f>'SCHEDULE OF VALUE WORKSHEET'!A50</f>
        <v>44</v>
      </c>
      <c r="B54" s="142" t="str">
        <f>'SCHEDULE OF VALUE WORKSHEET'!B50</f>
        <v>GENERAL REQUIREMENT</v>
      </c>
      <c r="C54" s="143"/>
      <c r="D54" s="104">
        <f>SUM('SCHEDULE OF VALUE WORKSHEET'!E50)</f>
        <v>124657.88</v>
      </c>
      <c r="E54" s="104">
        <f>SUM('Draw #19'!E54:F54)</f>
        <v>0</v>
      </c>
      <c r="F54" s="105">
        <v>0</v>
      </c>
      <c r="G54" s="104">
        <f>SUM('Draw #19'!G54)+F54</f>
        <v>124657.88</v>
      </c>
      <c r="H54" s="109">
        <f t="shared" si="0"/>
        <v>124657.88</v>
      </c>
      <c r="I54" s="110">
        <v>0</v>
      </c>
      <c r="J54" s="109">
        <f>SUM(I54+'Draw #19'!J54)</f>
        <v>0</v>
      </c>
      <c r="K54" s="101" t="str">
        <f t="shared" si="1"/>
        <v/>
      </c>
    </row>
    <row r="55" spans="1:11" ht="14.1" customHeight="1">
      <c r="A55" s="4">
        <f>'SCHEDULE OF VALUE WORKSHEET'!A51</f>
        <v>45</v>
      </c>
      <c r="B55" s="142" t="str">
        <f>'SCHEDULE OF VALUE WORKSHEET'!B51</f>
        <v>SITE WORK</v>
      </c>
      <c r="C55" s="143"/>
      <c r="D55" s="104">
        <f>SUM('SCHEDULE OF VALUE WORKSHEET'!E51)</f>
        <v>139049.51</v>
      </c>
      <c r="E55" s="104">
        <f>SUM('Draw #19'!E55:F55)</f>
        <v>0</v>
      </c>
      <c r="F55" s="105">
        <v>0</v>
      </c>
      <c r="G55" s="104">
        <f>SUM('Draw #19'!G55)+F55</f>
        <v>139049.51</v>
      </c>
      <c r="H55" s="109">
        <f t="shared" si="0"/>
        <v>139049.51</v>
      </c>
      <c r="I55" s="110">
        <v>0</v>
      </c>
      <c r="J55" s="109">
        <f>SUM(I55+'Draw #19'!J55)</f>
        <v>0</v>
      </c>
      <c r="K55" s="101" t="str">
        <f t="shared" si="1"/>
        <v/>
      </c>
    </row>
    <row r="56" spans="1:11" ht="14.1" customHeight="1">
      <c r="A56" s="4">
        <f>'SCHEDULE OF VALUE WORKSHEET'!A52</f>
        <v>46</v>
      </c>
      <c r="B56" s="142" t="str">
        <f>'SCHEDULE OF VALUE WORKSHEET'!B52</f>
        <v>CONCRETE</v>
      </c>
      <c r="C56" s="143"/>
      <c r="D56" s="104">
        <f>SUM('SCHEDULE OF VALUE WORKSHEET'!E52)</f>
        <v>253182</v>
      </c>
      <c r="E56" s="104">
        <f>SUM('Draw #19'!E56:F56)</f>
        <v>0</v>
      </c>
      <c r="F56" s="105">
        <v>0</v>
      </c>
      <c r="G56" s="104">
        <f>SUM('Draw #19'!G56)+F56</f>
        <v>253182</v>
      </c>
      <c r="H56" s="109">
        <f t="shared" si="0"/>
        <v>253182</v>
      </c>
      <c r="I56" s="110">
        <v>0</v>
      </c>
      <c r="J56" s="109">
        <f>SUM(I56+'Draw #19'!J56)</f>
        <v>0</v>
      </c>
      <c r="K56" s="101" t="str">
        <f t="shared" si="1"/>
        <v/>
      </c>
    </row>
    <row r="57" spans="1:11" ht="14.1" customHeight="1">
      <c r="A57" s="4">
        <f>'SCHEDULE OF VALUE WORKSHEET'!A53</f>
        <v>47</v>
      </c>
      <c r="B57" s="142" t="str">
        <f>'SCHEDULE OF VALUE WORKSHEET'!B53</f>
        <v>MASONRY</v>
      </c>
      <c r="C57" s="143"/>
      <c r="D57" s="104">
        <f>SUM('SCHEDULE OF VALUE WORKSHEET'!E53)</f>
        <v>3562.64</v>
      </c>
      <c r="E57" s="104">
        <f>SUM('Draw #19'!E57:F57)</f>
        <v>0</v>
      </c>
      <c r="F57" s="105">
        <v>0</v>
      </c>
      <c r="G57" s="104">
        <f>SUM('Draw #19'!G57)+F57</f>
        <v>3562.64</v>
      </c>
      <c r="H57" s="109">
        <f t="shared" si="0"/>
        <v>3562.64</v>
      </c>
      <c r="I57" s="110">
        <v>0</v>
      </c>
      <c r="J57" s="109">
        <f>SUM(I57+'Draw #19'!J57)</f>
        <v>0</v>
      </c>
      <c r="K57" s="101" t="str">
        <f t="shared" si="1"/>
        <v/>
      </c>
    </row>
    <row r="58" spans="1:11" ht="14.1" customHeight="1">
      <c r="A58" s="4">
        <f>'SCHEDULE OF VALUE WORKSHEET'!A54</f>
        <v>48</v>
      </c>
      <c r="B58" s="142" t="str">
        <f>'SCHEDULE OF VALUE WORKSHEET'!B54</f>
        <v>METALS</v>
      </c>
      <c r="C58" s="143"/>
      <c r="D58" s="104">
        <f>SUM('SCHEDULE OF VALUE WORKSHEET'!E54)</f>
        <v>324100</v>
      </c>
      <c r="E58" s="104">
        <f>SUM('Draw #19'!E58:F58)</f>
        <v>0</v>
      </c>
      <c r="F58" s="105">
        <v>0</v>
      </c>
      <c r="G58" s="104">
        <f>SUM('Draw #19'!G58)+F58</f>
        <v>324100</v>
      </c>
      <c r="H58" s="109">
        <f t="shared" si="0"/>
        <v>324100</v>
      </c>
      <c r="I58" s="110">
        <v>0</v>
      </c>
      <c r="J58" s="109">
        <f>SUM(I58+'Draw #19'!J58)</f>
        <v>0</v>
      </c>
      <c r="K58" s="101" t="str">
        <f t="shared" si="1"/>
        <v/>
      </c>
    </row>
    <row r="59" spans="1:11" ht="14.1" customHeight="1">
      <c r="A59" s="4">
        <f>'SCHEDULE OF VALUE WORKSHEET'!A55</f>
        <v>49</v>
      </c>
      <c r="B59" s="142" t="str">
        <f>'SCHEDULE OF VALUE WORKSHEET'!B55</f>
        <v>FRAMING</v>
      </c>
      <c r="C59" s="143"/>
      <c r="D59" s="104">
        <f>SUM('SCHEDULE OF VALUE WORKSHEET'!E55)</f>
        <v>818554</v>
      </c>
      <c r="E59" s="104">
        <f>SUM('Draw #19'!E59:F59)</f>
        <v>0</v>
      </c>
      <c r="F59" s="105">
        <v>0</v>
      </c>
      <c r="G59" s="104">
        <f>SUM('Draw #19'!G59)+F59</f>
        <v>818554</v>
      </c>
      <c r="H59" s="109">
        <f t="shared" si="0"/>
        <v>818554</v>
      </c>
      <c r="I59" s="110">
        <v>0</v>
      </c>
      <c r="J59" s="109">
        <f>SUM(I59+'Draw #19'!J59)</f>
        <v>0</v>
      </c>
      <c r="K59" s="101" t="str">
        <f t="shared" si="1"/>
        <v/>
      </c>
    </row>
    <row r="60" spans="1:11" ht="14.1" customHeight="1">
      <c r="A60" s="4">
        <f>'SCHEDULE OF VALUE WORKSHEET'!A56</f>
        <v>50</v>
      </c>
      <c r="B60" s="142" t="str">
        <f>'SCHEDULE OF VALUE WORKSHEET'!B56</f>
        <v>COUNTERTOPS</v>
      </c>
      <c r="C60" s="143"/>
      <c r="D60" s="104">
        <f>SUM('SCHEDULE OF VALUE WORKSHEET'!E56)</f>
        <v>56930</v>
      </c>
      <c r="E60" s="104">
        <f>SUM('Draw #19'!E60:F60)</f>
        <v>0</v>
      </c>
      <c r="F60" s="105">
        <v>0</v>
      </c>
      <c r="G60" s="104">
        <f>SUM('Draw #19'!G60)+F60</f>
        <v>56930</v>
      </c>
      <c r="H60" s="109">
        <f t="shared" si="0"/>
        <v>56930</v>
      </c>
      <c r="I60" s="110">
        <v>0</v>
      </c>
      <c r="J60" s="109">
        <f>SUM(I60+'Draw #19'!J60)</f>
        <v>0</v>
      </c>
      <c r="K60" s="101" t="str">
        <f t="shared" si="1"/>
        <v/>
      </c>
    </row>
    <row r="61" spans="1:11" ht="14.1" customHeight="1">
      <c r="A61" s="4">
        <f>'SCHEDULE OF VALUE WORKSHEET'!A57</f>
        <v>51</v>
      </c>
      <c r="B61" s="142" t="str">
        <f>'SCHEDULE OF VALUE WORKSHEET'!B57</f>
        <v>CABINETS</v>
      </c>
      <c r="C61" s="143"/>
      <c r="D61" s="104">
        <f>SUM('SCHEDULE OF VALUE WORKSHEET'!E57)</f>
        <v>56930</v>
      </c>
      <c r="E61" s="104">
        <f>SUM('Draw #19'!E61:F61)</f>
        <v>0</v>
      </c>
      <c r="F61" s="105">
        <v>0</v>
      </c>
      <c r="G61" s="104">
        <f>SUM('Draw #19'!G61)+F61</f>
        <v>56930</v>
      </c>
      <c r="H61" s="109">
        <f t="shared" si="0"/>
        <v>56930</v>
      </c>
      <c r="I61" s="110">
        <v>0</v>
      </c>
      <c r="J61" s="109">
        <f>SUM(I61+'Draw #19'!J61)</f>
        <v>0</v>
      </c>
      <c r="K61" s="101" t="str">
        <f t="shared" si="1"/>
        <v/>
      </c>
    </row>
    <row r="62" spans="1:11" ht="14.1" customHeight="1">
      <c r="A62" s="4">
        <f>'SCHEDULE OF VALUE WORKSHEET'!A58</f>
        <v>52</v>
      </c>
      <c r="B62" s="142" t="str">
        <f>'SCHEDULE OF VALUE WORKSHEET'!B58</f>
        <v>THERMAL MOISTURE PROTECTION</v>
      </c>
      <c r="C62" s="143"/>
      <c r="D62" s="104">
        <f>SUM('SCHEDULE OF VALUE WORKSHEET'!E58)</f>
        <v>173148</v>
      </c>
      <c r="E62" s="104">
        <f>SUM('Draw #19'!E62:F62)</f>
        <v>0</v>
      </c>
      <c r="F62" s="105">
        <v>0</v>
      </c>
      <c r="G62" s="104">
        <f>SUM('Draw #19'!G62)+F62</f>
        <v>173148</v>
      </c>
      <c r="H62" s="109">
        <f t="shared" si="0"/>
        <v>173148</v>
      </c>
      <c r="I62" s="110">
        <v>0</v>
      </c>
      <c r="J62" s="109">
        <f>SUM(I62+'Draw #19'!J62)</f>
        <v>0</v>
      </c>
      <c r="K62" s="101" t="str">
        <f t="shared" si="1"/>
        <v/>
      </c>
    </row>
    <row r="63" spans="1:11" ht="14.1" customHeight="1">
      <c r="A63" s="4">
        <f>'SCHEDULE OF VALUE WORKSHEET'!A59</f>
        <v>53</v>
      </c>
      <c r="B63" s="142" t="str">
        <f>'SCHEDULE OF VALUE WORKSHEET'!B59</f>
        <v>DOORS</v>
      </c>
      <c r="C63" s="143"/>
      <c r="D63" s="104">
        <f>SUM('SCHEDULE OF VALUE WORKSHEET'!E59)</f>
        <v>204087.33</v>
      </c>
      <c r="E63" s="104">
        <f>SUM('Draw #19'!E63:F63)</f>
        <v>0</v>
      </c>
      <c r="F63" s="105">
        <v>0</v>
      </c>
      <c r="G63" s="104">
        <f>SUM('Draw #19'!G63)+F63</f>
        <v>204087.33</v>
      </c>
      <c r="H63" s="109">
        <f t="shared" si="0"/>
        <v>204087.33</v>
      </c>
      <c r="I63" s="110">
        <v>0</v>
      </c>
      <c r="J63" s="109">
        <f>SUM(I63+'Draw #19'!J63)</f>
        <v>0</v>
      </c>
      <c r="K63" s="101" t="str">
        <f t="shared" si="1"/>
        <v/>
      </c>
    </row>
    <row r="64" spans="1:11" ht="14.1" customHeight="1">
      <c r="A64" s="4">
        <f>'SCHEDULE OF VALUE WORKSHEET'!A60</f>
        <v>54</v>
      </c>
      <c r="B64" s="142" t="str">
        <f>'SCHEDULE OF VALUE WORKSHEET'!B60</f>
        <v>WINDOWS</v>
      </c>
      <c r="C64" s="143"/>
      <c r="D64" s="104">
        <f>SUM('SCHEDULE OF VALUE WORKSHEET'!E60)</f>
        <v>106274.25</v>
      </c>
      <c r="E64" s="104">
        <f>SUM('Draw #19'!E64:F64)</f>
        <v>0</v>
      </c>
      <c r="F64" s="105">
        <v>0</v>
      </c>
      <c r="G64" s="104">
        <f>SUM('Draw #19'!G64)+F64</f>
        <v>106274.25</v>
      </c>
      <c r="H64" s="109">
        <f t="shared" si="0"/>
        <v>106274.25</v>
      </c>
      <c r="I64" s="110">
        <v>0</v>
      </c>
      <c r="J64" s="109">
        <f>SUM(I64+'Draw #19'!J64)</f>
        <v>0</v>
      </c>
      <c r="K64" s="101" t="str">
        <f t="shared" si="1"/>
        <v/>
      </c>
    </row>
    <row r="65" spans="1:11" ht="14.1" customHeight="1">
      <c r="A65" s="4">
        <f>'SCHEDULE OF VALUE WORKSHEET'!A61</f>
        <v>55</v>
      </c>
      <c r="B65" s="142" t="str">
        <f>'SCHEDULE OF VALUE WORKSHEET'!B61</f>
        <v>STUCCO</v>
      </c>
      <c r="C65" s="143"/>
      <c r="D65" s="104">
        <f>SUM('SCHEDULE OF VALUE WORKSHEET'!E61)</f>
        <v>208002</v>
      </c>
      <c r="E65" s="104">
        <f>SUM('Draw #19'!E65:F65)</f>
        <v>0</v>
      </c>
      <c r="F65" s="105">
        <v>0</v>
      </c>
      <c r="G65" s="104">
        <f>SUM('Draw #19'!G65)+F65</f>
        <v>208002</v>
      </c>
      <c r="H65" s="109">
        <f t="shared" si="0"/>
        <v>208002</v>
      </c>
      <c r="I65" s="110">
        <v>0</v>
      </c>
      <c r="J65" s="109">
        <f>SUM(I65+'Draw #19'!J65)</f>
        <v>0</v>
      </c>
      <c r="K65" s="101" t="str">
        <f t="shared" si="1"/>
        <v/>
      </c>
    </row>
    <row r="66" spans="1:11" ht="14.1" customHeight="1">
      <c r="A66" s="4">
        <f>'SCHEDULE OF VALUE WORKSHEET'!A62</f>
        <v>56</v>
      </c>
      <c r="B66" s="142" t="str">
        <f>'SCHEDULE OF VALUE WORKSHEET'!B62</f>
        <v>DRYWALL</v>
      </c>
      <c r="C66" s="143"/>
      <c r="D66" s="104">
        <f>SUM('SCHEDULE OF VALUE WORKSHEET'!E62)</f>
        <v>416355</v>
      </c>
      <c r="E66" s="104">
        <f>SUM('Draw #19'!E66:F66)</f>
        <v>0</v>
      </c>
      <c r="F66" s="105">
        <v>0</v>
      </c>
      <c r="G66" s="104">
        <f>SUM('Draw #19'!G66)+F66</f>
        <v>416355</v>
      </c>
      <c r="H66" s="109">
        <f t="shared" si="0"/>
        <v>416355</v>
      </c>
      <c r="I66" s="110">
        <v>0</v>
      </c>
      <c r="J66" s="109">
        <f>SUM(I66+'Draw #19'!J66)</f>
        <v>0</v>
      </c>
      <c r="K66" s="101" t="str">
        <f t="shared" si="1"/>
        <v/>
      </c>
    </row>
    <row r="67" spans="1:11" ht="14.1" customHeight="1">
      <c r="A67" s="4">
        <f>'SCHEDULE OF VALUE WORKSHEET'!A63</f>
        <v>57</v>
      </c>
      <c r="B67" s="142" t="str">
        <f>'SCHEDULE OF VALUE WORKSHEET'!B63</f>
        <v>PAINTING</v>
      </c>
      <c r="C67" s="143"/>
      <c r="D67" s="104">
        <f>SUM('SCHEDULE OF VALUE WORKSHEET'!E63)</f>
        <v>120700</v>
      </c>
      <c r="E67" s="104">
        <f>SUM('Draw #19'!E67:F67)</f>
        <v>0</v>
      </c>
      <c r="F67" s="105">
        <v>0</v>
      </c>
      <c r="G67" s="104">
        <f>SUM('Draw #19'!G67)+F67</f>
        <v>120700</v>
      </c>
      <c r="H67" s="109">
        <f t="shared" si="0"/>
        <v>120700</v>
      </c>
      <c r="I67" s="110">
        <v>0</v>
      </c>
      <c r="J67" s="109">
        <f>SUM(I67+'Draw #19'!J67)</f>
        <v>0</v>
      </c>
      <c r="K67" s="101" t="str">
        <f t="shared" si="1"/>
        <v/>
      </c>
    </row>
    <row r="68" spans="1:11" ht="14.1" customHeight="1">
      <c r="A68" s="4">
        <f>'SCHEDULE OF VALUE WORKSHEET'!A64</f>
        <v>58</v>
      </c>
      <c r="B68" s="142" t="str">
        <f>'SCHEDULE OF VALUE WORKSHEET'!B64</f>
        <v>FLOORING - common areas</v>
      </c>
      <c r="C68" s="143"/>
      <c r="D68" s="104">
        <f>SUM('SCHEDULE OF VALUE WORKSHEET'!E64)</f>
        <v>45150</v>
      </c>
      <c r="E68" s="104">
        <f>SUM('Draw #19'!E68:F68)</f>
        <v>0</v>
      </c>
      <c r="F68" s="105">
        <v>0</v>
      </c>
      <c r="G68" s="104">
        <f>SUM('Draw #19'!G68)+F68</f>
        <v>45150</v>
      </c>
      <c r="H68" s="109">
        <f t="shared" si="0"/>
        <v>45150</v>
      </c>
      <c r="I68" s="110">
        <v>0</v>
      </c>
      <c r="J68" s="109">
        <f>SUM(I68+'Draw #19'!J68)</f>
        <v>0</v>
      </c>
      <c r="K68" s="101" t="str">
        <f t="shared" si="1"/>
        <v/>
      </c>
    </row>
    <row r="69" spans="1:11" ht="14.1" customHeight="1">
      <c r="A69" s="4">
        <f>'SCHEDULE OF VALUE WORKSHEET'!A65</f>
        <v>59</v>
      </c>
      <c r="B69" s="142" t="str">
        <f>'SCHEDULE OF VALUE WORKSHEET'!B65</f>
        <v>FLOORING - Units with baseboards</v>
      </c>
      <c r="C69" s="143"/>
      <c r="D69" s="104">
        <f>SUM('SCHEDULE OF VALUE WORKSHEET'!E65)</f>
        <v>93335</v>
      </c>
      <c r="E69" s="104">
        <f>SUM('Draw #19'!E69:F69)</f>
        <v>0</v>
      </c>
      <c r="F69" s="105">
        <v>0</v>
      </c>
      <c r="G69" s="104">
        <f>SUM('Draw #19'!G69)+F69</f>
        <v>93335</v>
      </c>
      <c r="H69" s="109">
        <f t="shared" si="0"/>
        <v>93335</v>
      </c>
      <c r="I69" s="110">
        <v>0</v>
      </c>
      <c r="J69" s="109">
        <f>SUM(I69+'Draw #19'!J69)</f>
        <v>0</v>
      </c>
      <c r="K69" s="101" t="str">
        <f t="shared" si="1"/>
        <v/>
      </c>
    </row>
    <row r="70" spans="1:11" ht="14.1" customHeight="1">
      <c r="A70" s="4">
        <f>'SCHEDULE OF VALUE WORKSHEET'!A66</f>
        <v>60</v>
      </c>
      <c r="B70" s="142" t="str">
        <f>'SCHEDULE OF VALUE WORKSHEET'!B66</f>
        <v>SPECIALTIES</v>
      </c>
      <c r="C70" s="143"/>
      <c r="D70" s="104">
        <f>SUM('SCHEDULE OF VALUE WORKSHEET'!E66)</f>
        <v>25109.21</v>
      </c>
      <c r="E70" s="104">
        <f>SUM('Draw #19'!E70:F70)</f>
        <v>0</v>
      </c>
      <c r="F70" s="105">
        <v>0</v>
      </c>
      <c r="G70" s="104">
        <f>SUM('Draw #19'!G70)+F70</f>
        <v>25109.21</v>
      </c>
      <c r="H70" s="109">
        <f t="shared" si="0"/>
        <v>25109.21</v>
      </c>
      <c r="I70" s="110">
        <v>0</v>
      </c>
      <c r="J70" s="109">
        <f>SUM(I70+'Draw #19'!J70)</f>
        <v>0</v>
      </c>
      <c r="K70" s="101" t="str">
        <f t="shared" si="1"/>
        <v/>
      </c>
    </row>
    <row r="71" spans="1:11" ht="14.1" customHeight="1">
      <c r="A71" s="4">
        <f>'SCHEDULE OF VALUE WORKSHEET'!A67</f>
        <v>61</v>
      </c>
      <c r="B71" s="142" t="str">
        <f>'SCHEDULE OF VALUE WORKSHEET'!B67</f>
        <v>EQUIPMENT</v>
      </c>
      <c r="C71" s="143"/>
      <c r="D71" s="104">
        <f>SUM('SCHEDULE OF VALUE WORKSHEET'!E67)</f>
        <v>153636</v>
      </c>
      <c r="E71" s="104">
        <f>SUM('Draw #19'!E71:F71)</f>
        <v>0</v>
      </c>
      <c r="F71" s="105">
        <v>0</v>
      </c>
      <c r="G71" s="104">
        <f>SUM('Draw #19'!G71)+F71</f>
        <v>153636</v>
      </c>
      <c r="H71" s="109">
        <f t="shared" si="0"/>
        <v>153636</v>
      </c>
      <c r="I71" s="110">
        <v>0</v>
      </c>
      <c r="J71" s="109">
        <f>SUM(I71+'Draw #19'!J71)</f>
        <v>0</v>
      </c>
      <c r="K71" s="101" t="str">
        <f t="shared" si="1"/>
        <v/>
      </c>
    </row>
    <row r="72" spans="1:11" ht="14.1" customHeight="1">
      <c r="A72" s="4">
        <f>'SCHEDULE OF VALUE WORKSHEET'!A68</f>
        <v>62</v>
      </c>
      <c r="B72" s="142" t="str">
        <f>'SCHEDULE OF VALUE WORKSHEET'!B68</f>
        <v>FURNISHING</v>
      </c>
      <c r="C72" s="143"/>
      <c r="D72" s="104">
        <f>SUM('SCHEDULE OF VALUE WORKSHEET'!E68)</f>
        <v>0</v>
      </c>
      <c r="E72" s="104">
        <f>SUM('Draw #19'!E72:F72)</f>
        <v>0</v>
      </c>
      <c r="F72" s="105">
        <v>0</v>
      </c>
      <c r="G72" s="104">
        <f>SUM('Draw #19'!G72)+F72</f>
        <v>0</v>
      </c>
      <c r="H72" s="109">
        <f t="shared" si="0"/>
        <v>0</v>
      </c>
      <c r="I72" s="110">
        <v>0</v>
      </c>
      <c r="J72" s="109">
        <f>SUM(I72+'Draw #19'!J72)</f>
        <v>0</v>
      </c>
      <c r="K72" s="101" t="str">
        <f t="shared" si="1"/>
        <v/>
      </c>
    </row>
    <row r="73" spans="1:11" ht="14.1" customHeight="1">
      <c r="A73" s="4">
        <f>'SCHEDULE OF VALUE WORKSHEET'!A69</f>
        <v>63</v>
      </c>
      <c r="B73" s="142" t="str">
        <f>'SCHEDULE OF VALUE WORKSHEET'!B69</f>
        <v>FIRE SPRINKLERS</v>
      </c>
      <c r="C73" s="143"/>
      <c r="D73" s="104">
        <f>SUM('SCHEDULE OF VALUE WORKSHEET'!E69)</f>
        <v>108500</v>
      </c>
      <c r="E73" s="104">
        <f>SUM('Draw #19'!E73:F73)</f>
        <v>0</v>
      </c>
      <c r="F73" s="105">
        <v>0</v>
      </c>
      <c r="G73" s="104">
        <f>SUM('Draw #19'!G73)+F73</f>
        <v>108500</v>
      </c>
      <c r="H73" s="109">
        <f t="shared" si="0"/>
        <v>108500</v>
      </c>
      <c r="I73" s="110">
        <v>0</v>
      </c>
      <c r="J73" s="109">
        <f>SUM(I73+'Draw #19'!J73)</f>
        <v>0</v>
      </c>
      <c r="K73" s="101" t="str">
        <f t="shared" si="1"/>
        <v/>
      </c>
    </row>
    <row r="74" spans="1:11" ht="14.1" customHeight="1">
      <c r="A74" s="4">
        <f>'SCHEDULE OF VALUE WORKSHEET'!A70</f>
        <v>64</v>
      </c>
      <c r="B74" s="142" t="str">
        <f>'SCHEDULE OF VALUE WORKSHEET'!B70</f>
        <v>FIRE ALARM</v>
      </c>
      <c r="C74" s="143"/>
      <c r="D74" s="104">
        <f>SUM('SCHEDULE OF VALUE WORKSHEET'!E70)</f>
        <v>68401</v>
      </c>
      <c r="E74" s="104">
        <f>SUM('Draw #19'!E74:F74)</f>
        <v>0</v>
      </c>
      <c r="F74" s="105">
        <v>0</v>
      </c>
      <c r="G74" s="104">
        <f>SUM('Draw #19'!G74)+F74</f>
        <v>68401</v>
      </c>
      <c r="H74" s="109">
        <f t="shared" si="0"/>
        <v>68401</v>
      </c>
      <c r="I74" s="110">
        <v>0</v>
      </c>
      <c r="J74" s="109">
        <f>SUM(I74+'Draw #19'!J74)</f>
        <v>0</v>
      </c>
      <c r="K74" s="101" t="str">
        <f t="shared" si="1"/>
        <v/>
      </c>
    </row>
    <row r="75" spans="1:11" ht="14.1" customHeight="1">
      <c r="A75" s="4">
        <f>'SCHEDULE OF VALUE WORKSHEET'!A71</f>
        <v>65</v>
      </c>
      <c r="B75" s="142" t="str">
        <f>'SCHEDULE OF VALUE WORKSHEET'!B71</f>
        <v>SOLAR PANELS</v>
      </c>
      <c r="C75" s="143"/>
      <c r="D75" s="104">
        <f>SUM('SCHEDULE OF VALUE WORKSHEET'!E71)</f>
        <v>97000</v>
      </c>
      <c r="E75" s="104">
        <f>SUM('Draw #19'!E75:F75)</f>
        <v>0</v>
      </c>
      <c r="F75" s="105">
        <v>0</v>
      </c>
      <c r="G75" s="104">
        <f>SUM('Draw #19'!G75)+F75</f>
        <v>97000</v>
      </c>
      <c r="H75" s="109">
        <f t="shared" ref="H75:H135" si="2">SUM(G75-J75)</f>
        <v>97000</v>
      </c>
      <c r="I75" s="110">
        <v>0</v>
      </c>
      <c r="J75" s="109">
        <f>SUM(I75+'Draw #19'!J75)</f>
        <v>0</v>
      </c>
      <c r="K75" s="101" t="str">
        <f t="shared" ref="K75:K135" si="3">IF(J75=0,"",J75/G75)</f>
        <v/>
      </c>
    </row>
    <row r="76" spans="1:11" ht="14.1" customHeight="1">
      <c r="A76" s="4">
        <f>'SCHEDULE OF VALUE WORKSHEET'!A72</f>
        <v>66</v>
      </c>
      <c r="B76" s="142" t="str">
        <f>'SCHEDULE OF VALUE WORKSHEET'!B72</f>
        <v>SECURITY ACCESS &amp; SURVEILLANCE</v>
      </c>
      <c r="C76" s="143"/>
      <c r="D76" s="104">
        <f>SUM('SCHEDULE OF VALUE WORKSHEET'!E72)</f>
        <v>136430</v>
      </c>
      <c r="E76" s="104">
        <f>SUM('Draw #19'!E76:F76)</f>
        <v>0</v>
      </c>
      <c r="F76" s="105">
        <v>0</v>
      </c>
      <c r="G76" s="104">
        <f>SUM('Draw #19'!G76)+F76</f>
        <v>136430</v>
      </c>
      <c r="H76" s="109">
        <f t="shared" si="2"/>
        <v>136430</v>
      </c>
      <c r="I76" s="110">
        <v>0</v>
      </c>
      <c r="J76" s="109">
        <f>SUM(I76+'Draw #19'!J76)</f>
        <v>0</v>
      </c>
      <c r="K76" s="101" t="str">
        <f t="shared" si="3"/>
        <v/>
      </c>
    </row>
    <row r="77" spans="1:11" ht="14.1" customHeight="1">
      <c r="A77" s="4">
        <f>'SCHEDULE OF VALUE WORKSHEET'!A73</f>
        <v>67</v>
      </c>
      <c r="B77" s="142" t="str">
        <f>'SCHEDULE OF VALUE WORKSHEET'!B73</f>
        <v>ELEVATORS &amp; LIFT</v>
      </c>
      <c r="C77" s="143"/>
      <c r="D77" s="104">
        <f>SUM('SCHEDULE OF VALUE WORKSHEET'!E73)</f>
        <v>174882</v>
      </c>
      <c r="E77" s="104">
        <f>SUM('Draw #19'!E77:F77)</f>
        <v>0</v>
      </c>
      <c r="F77" s="105">
        <v>0</v>
      </c>
      <c r="G77" s="104">
        <f>SUM('Draw #19'!G77)+F77</f>
        <v>174882</v>
      </c>
      <c r="H77" s="109">
        <f t="shared" si="2"/>
        <v>174882</v>
      </c>
      <c r="I77" s="110">
        <v>0</v>
      </c>
      <c r="J77" s="109">
        <f>SUM(I77+'Draw #19'!J77)</f>
        <v>0</v>
      </c>
      <c r="K77" s="101" t="str">
        <f t="shared" si="3"/>
        <v/>
      </c>
    </row>
    <row r="78" spans="1:11" ht="14.1" customHeight="1">
      <c r="A78" s="4">
        <f>'SCHEDULE OF VALUE WORKSHEET'!A74</f>
        <v>68</v>
      </c>
      <c r="B78" s="142" t="str">
        <f>'SCHEDULE OF VALUE WORKSHEET'!B74</f>
        <v>WATER SUBMETER (material)</v>
      </c>
      <c r="C78" s="143"/>
      <c r="D78" s="104">
        <f>SUM('SCHEDULE OF VALUE WORKSHEET'!E74)</f>
        <v>12273</v>
      </c>
      <c r="E78" s="104">
        <f>SUM('Draw #19'!E78:F78)</f>
        <v>0</v>
      </c>
      <c r="F78" s="105">
        <v>0</v>
      </c>
      <c r="G78" s="104">
        <f>SUM('Draw #19'!G78)+F78</f>
        <v>12273</v>
      </c>
      <c r="H78" s="109">
        <f t="shared" si="2"/>
        <v>12273</v>
      </c>
      <c r="I78" s="110">
        <v>0</v>
      </c>
      <c r="J78" s="109">
        <f>SUM(I78+'Draw #19'!J78)</f>
        <v>0</v>
      </c>
      <c r="K78" s="101" t="str">
        <f t="shared" si="3"/>
        <v/>
      </c>
    </row>
    <row r="79" spans="1:11" ht="14.1" customHeight="1">
      <c r="A79" s="4">
        <f>'SCHEDULE OF VALUE WORKSHEET'!A75</f>
        <v>69</v>
      </c>
      <c r="B79" s="142" t="str">
        <f>'SCHEDULE OF VALUE WORKSHEET'!B75</f>
        <v>WATER SUBMETER (labor)</v>
      </c>
      <c r="C79" s="143"/>
      <c r="D79" s="104">
        <f>SUM('SCHEDULE OF VALUE WORKSHEET'!E75)</f>
        <v>0</v>
      </c>
      <c r="E79" s="104">
        <f>SUM('Draw #19'!E79:F79)</f>
        <v>0</v>
      </c>
      <c r="F79" s="105">
        <v>0</v>
      </c>
      <c r="G79" s="104">
        <f>SUM('Draw #19'!G79)+F79</f>
        <v>0</v>
      </c>
      <c r="H79" s="109">
        <f t="shared" si="2"/>
        <v>0</v>
      </c>
      <c r="I79" s="110">
        <v>0</v>
      </c>
      <c r="J79" s="109">
        <f>SUM(I79+'Draw #19'!J79)</f>
        <v>0</v>
      </c>
      <c r="K79" s="101" t="str">
        <f t="shared" si="3"/>
        <v/>
      </c>
    </row>
    <row r="80" spans="1:11" ht="14.1" customHeight="1">
      <c r="A80" s="4">
        <f>'SCHEDULE OF VALUE WORKSHEET'!A76</f>
        <v>70</v>
      </c>
      <c r="B80" s="142" t="str">
        <f>'SCHEDULE OF VALUE WORKSHEET'!B76</f>
        <v>ROUGH PLUMBING</v>
      </c>
      <c r="C80" s="143"/>
      <c r="D80" s="104">
        <f>SUM('SCHEDULE OF VALUE WORKSHEET'!E76)</f>
        <v>751927</v>
      </c>
      <c r="E80" s="104">
        <f>SUM('Draw #19'!E80:F80)</f>
        <v>0</v>
      </c>
      <c r="F80" s="105">
        <v>0</v>
      </c>
      <c r="G80" s="104">
        <f>SUM('Draw #19'!G80)+F80</f>
        <v>751927</v>
      </c>
      <c r="H80" s="109">
        <f t="shared" si="2"/>
        <v>751927</v>
      </c>
      <c r="I80" s="110">
        <v>0</v>
      </c>
      <c r="J80" s="109">
        <f>SUM(I80+'Draw #19'!J80)</f>
        <v>0</v>
      </c>
      <c r="K80" s="101" t="str">
        <f t="shared" si="3"/>
        <v/>
      </c>
    </row>
    <row r="81" spans="1:11" ht="14.1" customHeight="1">
      <c r="A81" s="4">
        <f>'SCHEDULE OF VALUE WORKSHEET'!A77</f>
        <v>71</v>
      </c>
      <c r="B81" s="142" t="str">
        <f>'SCHEDULE OF VALUE WORKSHEET'!B77</f>
        <v>FINISH PLUMBING</v>
      </c>
      <c r="C81" s="143"/>
      <c r="D81" s="104">
        <f>SUM('SCHEDULE OF VALUE WORKSHEET'!E77)</f>
        <v>90000</v>
      </c>
      <c r="E81" s="104">
        <f>SUM('Draw #19'!E81:F81)</f>
        <v>0</v>
      </c>
      <c r="F81" s="105">
        <v>0</v>
      </c>
      <c r="G81" s="104">
        <f>SUM('Draw #19'!G81)+F81</f>
        <v>90000</v>
      </c>
      <c r="H81" s="109">
        <f t="shared" si="2"/>
        <v>90000</v>
      </c>
      <c r="I81" s="110">
        <v>0</v>
      </c>
      <c r="J81" s="109">
        <f>SUM(I81+'Draw #19'!J81)</f>
        <v>0</v>
      </c>
      <c r="K81" s="101" t="str">
        <f t="shared" si="3"/>
        <v/>
      </c>
    </row>
    <row r="82" spans="1:11" ht="14.1" customHeight="1">
      <c r="A82" s="4">
        <f>'SCHEDULE OF VALUE WORKSHEET'!A78</f>
        <v>72</v>
      </c>
      <c r="B82" s="142" t="str">
        <f>'SCHEDULE OF VALUE WORKSHEET'!B78</f>
        <v>HVAC</v>
      </c>
      <c r="C82" s="143"/>
      <c r="D82" s="104">
        <f>SUM('SCHEDULE OF VALUE WORKSHEET'!E78)</f>
        <v>259000</v>
      </c>
      <c r="E82" s="104">
        <f>SUM('Draw #19'!E82:F82)</f>
        <v>0</v>
      </c>
      <c r="F82" s="105">
        <v>0</v>
      </c>
      <c r="G82" s="104">
        <f>SUM('Draw #19'!G82)+F82</f>
        <v>259000</v>
      </c>
      <c r="H82" s="109">
        <f t="shared" si="2"/>
        <v>259000</v>
      </c>
      <c r="I82" s="110">
        <v>0</v>
      </c>
      <c r="J82" s="109">
        <f>SUM(I82+'Draw #19'!J82)</f>
        <v>0</v>
      </c>
      <c r="K82" s="101" t="str">
        <f t="shared" si="3"/>
        <v/>
      </c>
    </row>
    <row r="83" spans="1:11" ht="14.1" customHeight="1">
      <c r="A83" s="4">
        <f>'SCHEDULE OF VALUE WORKSHEET'!A79</f>
        <v>73</v>
      </c>
      <c r="B83" s="142" t="str">
        <f>'SCHEDULE OF VALUE WORKSHEET'!B79</f>
        <v>ELECTRICAL</v>
      </c>
      <c r="C83" s="143"/>
      <c r="D83" s="104">
        <f>SUM('SCHEDULE OF VALUE WORKSHEET'!E79)</f>
        <v>880486.32</v>
      </c>
      <c r="E83" s="104">
        <f>SUM('Draw #19'!E83:F83)</f>
        <v>0</v>
      </c>
      <c r="F83" s="105">
        <v>0</v>
      </c>
      <c r="G83" s="104">
        <f>SUM('Draw #19'!G83)+F83</f>
        <v>880486.32</v>
      </c>
      <c r="H83" s="109">
        <f t="shared" si="2"/>
        <v>880486.32</v>
      </c>
      <c r="I83" s="110">
        <v>0</v>
      </c>
      <c r="J83" s="109">
        <f>SUM(I83+'Draw #19'!J83)</f>
        <v>0</v>
      </c>
      <c r="K83" s="101" t="str">
        <f t="shared" si="3"/>
        <v/>
      </c>
    </row>
    <row r="84" spans="1:11" ht="14.1" customHeight="1">
      <c r="A84" s="4">
        <f>'SCHEDULE OF VALUE WORKSHEET'!A80</f>
        <v>74</v>
      </c>
      <c r="B84" s="142" t="str">
        <f>'SCHEDULE OF VALUE WORKSHEET'!B80</f>
        <v xml:space="preserve">CONTINGENCY </v>
      </c>
      <c r="C84" s="143"/>
      <c r="D84" s="104">
        <f>SUM('SCHEDULE OF VALUE WORKSHEET'!E80)</f>
        <v>529215.20000000007</v>
      </c>
      <c r="E84" s="104">
        <f>SUM('Draw #19'!E84:F84)</f>
        <v>0</v>
      </c>
      <c r="F84" s="105">
        <v>0</v>
      </c>
      <c r="G84" s="104">
        <f>SUM('Draw #19'!G84)+F84</f>
        <v>529215.20000000007</v>
      </c>
      <c r="H84" s="109">
        <f t="shared" si="2"/>
        <v>529215.20000000007</v>
      </c>
      <c r="I84" s="110">
        <v>0</v>
      </c>
      <c r="J84" s="109">
        <f>SUM(I84+'Draw #19'!J84)</f>
        <v>0</v>
      </c>
      <c r="K84" s="101" t="str">
        <f t="shared" si="3"/>
        <v/>
      </c>
    </row>
    <row r="85" spans="1:11" ht="14.1" customHeight="1">
      <c r="A85" s="4">
        <f>'SCHEDULE OF VALUE WORKSHEET'!A81</f>
        <v>75</v>
      </c>
      <c r="B85" s="142" t="str">
        <f>'SCHEDULE OF VALUE WORKSHEET'!B81</f>
        <v>INSURANCE (GL w/auto, workers compl)</v>
      </c>
      <c r="C85" s="143"/>
      <c r="D85" s="104">
        <f>SUM('SCHEDULE OF VALUE WORKSHEET'!E81)</f>
        <v>97177.07</v>
      </c>
      <c r="E85" s="104">
        <f>SUM('Draw #19'!E85:F85)</f>
        <v>0</v>
      </c>
      <c r="F85" s="105">
        <v>0</v>
      </c>
      <c r="G85" s="104">
        <f>SUM('Draw #19'!G85)+F85</f>
        <v>97177.07</v>
      </c>
      <c r="H85" s="109">
        <f t="shared" si="2"/>
        <v>97177.07</v>
      </c>
      <c r="I85" s="110">
        <v>0</v>
      </c>
      <c r="J85" s="109">
        <f>SUM(I85+'Draw #19'!J85)</f>
        <v>0</v>
      </c>
      <c r="K85" s="101" t="str">
        <f t="shared" si="3"/>
        <v/>
      </c>
    </row>
    <row r="86" spans="1:11" ht="14.1" customHeight="1">
      <c r="A86" s="4">
        <f>'SCHEDULE OF VALUE WORKSHEET'!A82</f>
        <v>76</v>
      </c>
      <c r="B86" s="142" t="str">
        <f>'SCHEDULE OF VALUE WORKSHEET'!B82</f>
        <v>GROSS RECEIPT TAX</v>
      </c>
      <c r="C86" s="143"/>
      <c r="D86" s="104">
        <f>SUM('SCHEDULE OF VALUE WORKSHEET'!E82)</f>
        <v>6543.26</v>
      </c>
      <c r="E86" s="104">
        <f>SUM('Draw #19'!E86:F86)</f>
        <v>0</v>
      </c>
      <c r="F86" s="105">
        <v>0</v>
      </c>
      <c r="G86" s="104">
        <f>SUM('Draw #19'!G86)+F86</f>
        <v>6543.26</v>
      </c>
      <c r="H86" s="109">
        <f t="shared" si="2"/>
        <v>6543.26</v>
      </c>
      <c r="I86" s="110">
        <v>0</v>
      </c>
      <c r="J86" s="109">
        <f>SUM(I86+'Draw #19'!J86)</f>
        <v>0</v>
      </c>
      <c r="K86" s="101" t="str">
        <f t="shared" si="3"/>
        <v/>
      </c>
    </row>
    <row r="87" spans="1:11" ht="14.1" customHeight="1">
      <c r="A87" s="4">
        <f>'SCHEDULE OF VALUE WORKSHEET'!A83</f>
        <v>77</v>
      </c>
      <c r="B87" s="142" t="str">
        <f>'SCHEDULE OF VALUE WORKSHEET'!B83</f>
        <v>GC FEE</v>
      </c>
      <c r="C87" s="143"/>
      <c r="D87" s="104">
        <f>SUM('SCHEDULE OF VALUE WORKSHEET'!E83)</f>
        <v>388708.28</v>
      </c>
      <c r="E87" s="104">
        <f>SUM('Draw #19'!E87:F87)</f>
        <v>0</v>
      </c>
      <c r="F87" s="105">
        <v>0</v>
      </c>
      <c r="G87" s="104">
        <f>SUM('Draw #19'!G87)+F87</f>
        <v>388708.28</v>
      </c>
      <c r="H87" s="109">
        <f t="shared" si="2"/>
        <v>388708.28</v>
      </c>
      <c r="I87" s="110">
        <v>0</v>
      </c>
      <c r="J87" s="109">
        <f>SUM(I87+'Draw #19'!J87)</f>
        <v>0</v>
      </c>
      <c r="K87" s="101" t="str">
        <f t="shared" si="3"/>
        <v/>
      </c>
    </row>
    <row r="88" spans="1:11" ht="14.1" customHeight="1">
      <c r="A88" s="4">
        <f>'SCHEDULE OF VALUE WORKSHEET'!A84</f>
        <v>78</v>
      </c>
      <c r="B88" s="142" t="str">
        <f>'SCHEDULE OF VALUE WORKSHEET'!B84</f>
        <v>DEVELOPMENT FEE</v>
      </c>
      <c r="C88" s="143"/>
      <c r="D88" s="104">
        <f>SUM('SCHEDULE OF VALUE WORKSHEET'!E84)</f>
        <v>180523.5</v>
      </c>
      <c r="E88" s="104">
        <f>SUM('Draw #19'!E88:F88)</f>
        <v>0</v>
      </c>
      <c r="F88" s="105">
        <v>0</v>
      </c>
      <c r="G88" s="104">
        <f>SUM('Draw #19'!G88)+F88</f>
        <v>180523.5</v>
      </c>
      <c r="H88" s="109">
        <f t="shared" si="2"/>
        <v>180523.5</v>
      </c>
      <c r="I88" s="110">
        <v>0</v>
      </c>
      <c r="J88" s="109">
        <f>SUM(I88+'Draw #19'!J88)</f>
        <v>0</v>
      </c>
      <c r="K88" s="101" t="str">
        <f t="shared" si="3"/>
        <v/>
      </c>
    </row>
    <row r="89" spans="1:11" ht="14.1" customHeight="1">
      <c r="A89" s="4">
        <f>'SCHEDULE OF VALUE WORKSHEET'!A85</f>
        <v>79</v>
      </c>
      <c r="B89" s="142" t="str">
        <f>'SCHEDULE OF VALUE WORKSHEET'!B85</f>
        <v>CARRYING COSTS</v>
      </c>
      <c r="C89" s="143"/>
      <c r="D89" s="104">
        <f>SUM('SCHEDULE OF VALUE WORKSHEET'!E85)</f>
        <v>92885.53</v>
      </c>
      <c r="E89" s="104">
        <f>SUM('Draw #19'!E89:F89)</f>
        <v>0</v>
      </c>
      <c r="F89" s="105">
        <v>0</v>
      </c>
      <c r="G89" s="104">
        <f>SUM('Draw #19'!G89)+F89</f>
        <v>92885.53</v>
      </c>
      <c r="H89" s="109">
        <f t="shared" si="2"/>
        <v>92885.53</v>
      </c>
      <c r="I89" s="110">
        <v>0</v>
      </c>
      <c r="J89" s="109">
        <f>SUM(I89+'Draw #19'!J89)</f>
        <v>0</v>
      </c>
      <c r="K89" s="101" t="str">
        <f t="shared" si="3"/>
        <v/>
      </c>
    </row>
    <row r="90" spans="1:11" ht="14.1" customHeight="1">
      <c r="A90" s="4">
        <f>'SCHEDULE OF VALUE WORKSHEET'!A86</f>
        <v>80</v>
      </c>
      <c r="B90" s="142" t="str">
        <f>'SCHEDULE OF VALUE WORKSHEET'!B86</f>
        <v>FINANCING COSTS</v>
      </c>
      <c r="C90" s="143"/>
      <c r="D90" s="104">
        <f>SUM('SCHEDULE OF VALUE WORKSHEET'!E86)</f>
        <v>0</v>
      </c>
      <c r="E90" s="104">
        <f>SUM('Draw #19'!E90:F90)</f>
        <v>0</v>
      </c>
      <c r="F90" s="105">
        <v>0</v>
      </c>
      <c r="G90" s="104">
        <f>SUM('Draw #19'!G90)+F90</f>
        <v>0</v>
      </c>
      <c r="H90" s="109">
        <f t="shared" si="2"/>
        <v>0</v>
      </c>
      <c r="I90" s="110">
        <v>0</v>
      </c>
      <c r="J90" s="109">
        <f>SUM(I90+'Draw #19'!J90)</f>
        <v>0</v>
      </c>
      <c r="K90" s="101" t="str">
        <f t="shared" si="3"/>
        <v/>
      </c>
    </row>
    <row r="91" spans="1:11" ht="14.1" customHeight="1">
      <c r="A91" s="4" t="e">
        <f>'SCHEDULE OF VALUE WORKSHEET'!#REF!</f>
        <v>#REF!</v>
      </c>
      <c r="B91" s="142" t="e">
        <f>'SCHEDULE OF VALUE WORKSHEET'!#REF!</f>
        <v>#REF!</v>
      </c>
      <c r="C91" s="143"/>
      <c r="D91" s="104" t="e">
        <f>SUM('SCHEDULE OF VALUE WORKSHEET'!#REF!)</f>
        <v>#REF!</v>
      </c>
      <c r="E91" s="104">
        <f>SUM('Draw #19'!E91:F91)</f>
        <v>0</v>
      </c>
      <c r="F91" s="105">
        <v>0</v>
      </c>
      <c r="G91" s="104" t="e">
        <f>SUM('Draw #19'!G91)+F91</f>
        <v>#REF!</v>
      </c>
      <c r="H91" s="109" t="e">
        <f t="shared" si="2"/>
        <v>#REF!</v>
      </c>
      <c r="I91" s="110">
        <v>0</v>
      </c>
      <c r="J91" s="109">
        <f>SUM(I91+'Draw #19'!J91)</f>
        <v>0</v>
      </c>
      <c r="K91" s="101" t="str">
        <f t="shared" si="3"/>
        <v/>
      </c>
    </row>
    <row r="92" spans="1:11" ht="14.1" customHeight="1">
      <c r="A92" s="4" t="e">
        <f>'SCHEDULE OF VALUE WORKSHEET'!#REF!</f>
        <v>#REF!</v>
      </c>
      <c r="B92" s="142" t="e">
        <f>'SCHEDULE OF VALUE WORKSHEET'!#REF!</f>
        <v>#REF!</v>
      </c>
      <c r="C92" s="143"/>
      <c r="D92" s="104" t="e">
        <f>SUM('SCHEDULE OF VALUE WORKSHEET'!#REF!)</f>
        <v>#REF!</v>
      </c>
      <c r="E92" s="104">
        <f>SUM('Draw #19'!E92:F92)</f>
        <v>0</v>
      </c>
      <c r="F92" s="105">
        <v>0</v>
      </c>
      <c r="G92" s="104" t="e">
        <f>SUM('Draw #19'!G92)+F92</f>
        <v>#REF!</v>
      </c>
      <c r="H92" s="109" t="e">
        <f t="shared" si="2"/>
        <v>#REF!</v>
      </c>
      <c r="I92" s="110">
        <v>0</v>
      </c>
      <c r="J92" s="109">
        <f>SUM(I92+'Draw #19'!J92)</f>
        <v>0</v>
      </c>
      <c r="K92" s="101" t="str">
        <f t="shared" si="3"/>
        <v/>
      </c>
    </row>
    <row r="93" spans="1:11" ht="14.1" customHeight="1">
      <c r="A93" s="4" t="e">
        <f>'SCHEDULE OF VALUE WORKSHEET'!#REF!</f>
        <v>#REF!</v>
      </c>
      <c r="B93" s="142" t="e">
        <f>'SCHEDULE OF VALUE WORKSHEET'!#REF!</f>
        <v>#REF!</v>
      </c>
      <c r="C93" s="143"/>
      <c r="D93" s="104" t="e">
        <f>SUM('SCHEDULE OF VALUE WORKSHEET'!#REF!)</f>
        <v>#REF!</v>
      </c>
      <c r="E93" s="104">
        <f>SUM('Draw #19'!E93:F93)</f>
        <v>0</v>
      </c>
      <c r="F93" s="105">
        <v>0</v>
      </c>
      <c r="G93" s="104" t="e">
        <f>SUM('Draw #19'!G93)+F93</f>
        <v>#REF!</v>
      </c>
      <c r="H93" s="109" t="e">
        <f t="shared" si="2"/>
        <v>#REF!</v>
      </c>
      <c r="I93" s="110">
        <v>0</v>
      </c>
      <c r="J93" s="109">
        <f>SUM(I93+'Draw #19'!J93)</f>
        <v>0</v>
      </c>
      <c r="K93" s="101" t="str">
        <f t="shared" si="3"/>
        <v/>
      </c>
    </row>
    <row r="94" spans="1:11" ht="14.1" customHeight="1">
      <c r="A94" s="4" t="e">
        <f>'SCHEDULE OF VALUE WORKSHEET'!#REF!</f>
        <v>#REF!</v>
      </c>
      <c r="B94" s="142" t="e">
        <f>'SCHEDULE OF VALUE WORKSHEET'!#REF!</f>
        <v>#REF!</v>
      </c>
      <c r="C94" s="143"/>
      <c r="D94" s="104" t="e">
        <f>SUM('SCHEDULE OF VALUE WORKSHEET'!#REF!)</f>
        <v>#REF!</v>
      </c>
      <c r="E94" s="104">
        <f>SUM('Draw #19'!E94:F94)</f>
        <v>0</v>
      </c>
      <c r="F94" s="105">
        <v>0</v>
      </c>
      <c r="G94" s="104" t="e">
        <f>SUM('Draw #19'!G94)+F94</f>
        <v>#REF!</v>
      </c>
      <c r="H94" s="109" t="e">
        <f t="shared" si="2"/>
        <v>#REF!</v>
      </c>
      <c r="I94" s="110">
        <v>0</v>
      </c>
      <c r="J94" s="109">
        <f>SUM(I94+'Draw #19'!J94)</f>
        <v>0</v>
      </c>
      <c r="K94" s="101" t="str">
        <f t="shared" si="3"/>
        <v/>
      </c>
    </row>
    <row r="95" spans="1:11" ht="14.1" customHeight="1">
      <c r="A95" s="4" t="e">
        <f>'SCHEDULE OF VALUE WORKSHEET'!#REF!</f>
        <v>#REF!</v>
      </c>
      <c r="B95" s="142" t="e">
        <f>'SCHEDULE OF VALUE WORKSHEET'!#REF!</f>
        <v>#REF!</v>
      </c>
      <c r="C95" s="143"/>
      <c r="D95" s="104" t="e">
        <f>SUM('SCHEDULE OF VALUE WORKSHEET'!#REF!)</f>
        <v>#REF!</v>
      </c>
      <c r="E95" s="104">
        <f>SUM('Draw #19'!E95:F95)</f>
        <v>0</v>
      </c>
      <c r="F95" s="105">
        <v>0</v>
      </c>
      <c r="G95" s="104" t="e">
        <f>SUM('Draw #19'!G95)+F95</f>
        <v>#REF!</v>
      </c>
      <c r="H95" s="109" t="e">
        <f t="shared" si="2"/>
        <v>#REF!</v>
      </c>
      <c r="I95" s="110">
        <v>0</v>
      </c>
      <c r="J95" s="109">
        <f>SUM(I95+'Draw #19'!J95)</f>
        <v>0</v>
      </c>
      <c r="K95" s="101" t="str">
        <f t="shared" si="3"/>
        <v/>
      </c>
    </row>
    <row r="96" spans="1:11" ht="14.1" customHeight="1">
      <c r="A96" s="4" t="e">
        <f>'SCHEDULE OF VALUE WORKSHEET'!#REF!</f>
        <v>#REF!</v>
      </c>
      <c r="B96" s="142" t="e">
        <f>'SCHEDULE OF VALUE WORKSHEET'!#REF!</f>
        <v>#REF!</v>
      </c>
      <c r="C96" s="143"/>
      <c r="D96" s="104" t="e">
        <f>SUM('SCHEDULE OF VALUE WORKSHEET'!#REF!)</f>
        <v>#REF!</v>
      </c>
      <c r="E96" s="104">
        <f>SUM('Draw #19'!E96:F96)</f>
        <v>0</v>
      </c>
      <c r="F96" s="105">
        <v>0</v>
      </c>
      <c r="G96" s="104" t="e">
        <f>SUM('Draw #19'!G96)+F96</f>
        <v>#REF!</v>
      </c>
      <c r="H96" s="109" t="e">
        <f t="shared" si="2"/>
        <v>#REF!</v>
      </c>
      <c r="I96" s="110">
        <v>0</v>
      </c>
      <c r="J96" s="109">
        <f>SUM(I96+'Draw #19'!J96)</f>
        <v>0</v>
      </c>
      <c r="K96" s="101" t="str">
        <f t="shared" si="3"/>
        <v/>
      </c>
    </row>
    <row r="97" spans="1:11" ht="14.1" customHeight="1">
      <c r="A97" s="4" t="e">
        <f>'SCHEDULE OF VALUE WORKSHEET'!#REF!</f>
        <v>#REF!</v>
      </c>
      <c r="B97" s="142" t="e">
        <f>'SCHEDULE OF VALUE WORKSHEET'!#REF!</f>
        <v>#REF!</v>
      </c>
      <c r="C97" s="143"/>
      <c r="D97" s="104" t="e">
        <f>SUM('SCHEDULE OF VALUE WORKSHEET'!#REF!)</f>
        <v>#REF!</v>
      </c>
      <c r="E97" s="104">
        <f>SUM('Draw #19'!E97:F97)</f>
        <v>0</v>
      </c>
      <c r="F97" s="105">
        <v>0</v>
      </c>
      <c r="G97" s="104" t="e">
        <f>SUM('Draw #19'!G97)+F97</f>
        <v>#REF!</v>
      </c>
      <c r="H97" s="109" t="e">
        <f t="shared" si="2"/>
        <v>#REF!</v>
      </c>
      <c r="I97" s="110">
        <v>0</v>
      </c>
      <c r="J97" s="109">
        <f>SUM(I97+'Draw #19'!J97)</f>
        <v>0</v>
      </c>
      <c r="K97" s="101" t="str">
        <f t="shared" si="3"/>
        <v/>
      </c>
    </row>
    <row r="98" spans="1:11" ht="14.1" customHeight="1">
      <c r="A98" s="4" t="e">
        <f>'SCHEDULE OF VALUE WORKSHEET'!#REF!</f>
        <v>#REF!</v>
      </c>
      <c r="B98" s="142" t="e">
        <f>'SCHEDULE OF VALUE WORKSHEET'!#REF!</f>
        <v>#REF!</v>
      </c>
      <c r="C98" s="143"/>
      <c r="D98" s="104" t="e">
        <f>SUM('SCHEDULE OF VALUE WORKSHEET'!#REF!)</f>
        <v>#REF!</v>
      </c>
      <c r="E98" s="104">
        <f>SUM('Draw #19'!E98:F98)</f>
        <v>0</v>
      </c>
      <c r="F98" s="105">
        <v>0</v>
      </c>
      <c r="G98" s="104" t="e">
        <f>SUM('Draw #19'!G98)+F98</f>
        <v>#REF!</v>
      </c>
      <c r="H98" s="109" t="e">
        <f t="shared" si="2"/>
        <v>#REF!</v>
      </c>
      <c r="I98" s="110">
        <v>0</v>
      </c>
      <c r="J98" s="109">
        <f>SUM(I98+'Draw #19'!J98)</f>
        <v>0</v>
      </c>
      <c r="K98" s="101" t="str">
        <f t="shared" si="3"/>
        <v/>
      </c>
    </row>
    <row r="99" spans="1:11" ht="14.1" customHeight="1">
      <c r="A99" s="4" t="e">
        <f>'SCHEDULE OF VALUE WORKSHEET'!#REF!</f>
        <v>#REF!</v>
      </c>
      <c r="B99" s="142" t="e">
        <f>'SCHEDULE OF VALUE WORKSHEET'!#REF!</f>
        <v>#REF!</v>
      </c>
      <c r="C99" s="143"/>
      <c r="D99" s="104" t="e">
        <f>SUM('SCHEDULE OF VALUE WORKSHEET'!#REF!)</f>
        <v>#REF!</v>
      </c>
      <c r="E99" s="104">
        <f>SUM('Draw #19'!E99:F99)</f>
        <v>0</v>
      </c>
      <c r="F99" s="105">
        <v>0</v>
      </c>
      <c r="G99" s="104" t="e">
        <f>SUM('Draw #19'!G99)+F99</f>
        <v>#REF!</v>
      </c>
      <c r="H99" s="109" t="e">
        <f t="shared" si="2"/>
        <v>#REF!</v>
      </c>
      <c r="I99" s="110">
        <v>0</v>
      </c>
      <c r="J99" s="109">
        <f>SUM(I99+'Draw #19'!J99)</f>
        <v>0</v>
      </c>
      <c r="K99" s="101" t="str">
        <f t="shared" si="3"/>
        <v/>
      </c>
    </row>
    <row r="100" spans="1:11" ht="14.1" customHeight="1">
      <c r="A100" s="4" t="e">
        <f>'SCHEDULE OF VALUE WORKSHEET'!#REF!</f>
        <v>#REF!</v>
      </c>
      <c r="B100" s="142" t="e">
        <f>'SCHEDULE OF VALUE WORKSHEET'!#REF!</f>
        <v>#REF!</v>
      </c>
      <c r="C100" s="143"/>
      <c r="D100" s="104" t="e">
        <f>SUM('SCHEDULE OF VALUE WORKSHEET'!#REF!)</f>
        <v>#REF!</v>
      </c>
      <c r="E100" s="104">
        <f>SUM('Draw #19'!E100:F100)</f>
        <v>0</v>
      </c>
      <c r="F100" s="105">
        <v>0</v>
      </c>
      <c r="G100" s="104" t="e">
        <f>SUM('Draw #19'!G100)+F100</f>
        <v>#REF!</v>
      </c>
      <c r="H100" s="109" t="e">
        <f t="shared" si="2"/>
        <v>#REF!</v>
      </c>
      <c r="I100" s="110">
        <v>0</v>
      </c>
      <c r="J100" s="109">
        <f>SUM(I100+'Draw #19'!J100)</f>
        <v>0</v>
      </c>
      <c r="K100" s="101" t="str">
        <f t="shared" si="3"/>
        <v/>
      </c>
    </row>
    <row r="101" spans="1:11" ht="14.1" customHeight="1">
      <c r="A101" s="4" t="e">
        <f>'SCHEDULE OF VALUE WORKSHEET'!#REF!</f>
        <v>#REF!</v>
      </c>
      <c r="B101" s="142" t="e">
        <f>'SCHEDULE OF VALUE WORKSHEET'!#REF!</f>
        <v>#REF!</v>
      </c>
      <c r="C101" s="143"/>
      <c r="D101" s="104" t="e">
        <f>SUM('SCHEDULE OF VALUE WORKSHEET'!#REF!)</f>
        <v>#REF!</v>
      </c>
      <c r="E101" s="104">
        <f>SUM('Draw #19'!E101:F101)</f>
        <v>0</v>
      </c>
      <c r="F101" s="105">
        <v>0</v>
      </c>
      <c r="G101" s="104" t="e">
        <f>SUM('Draw #19'!G101)+F101</f>
        <v>#REF!</v>
      </c>
      <c r="H101" s="109" t="e">
        <f t="shared" si="2"/>
        <v>#REF!</v>
      </c>
      <c r="I101" s="110">
        <v>0</v>
      </c>
      <c r="J101" s="109">
        <f>SUM(I101+'Draw #19'!J101)</f>
        <v>0</v>
      </c>
      <c r="K101" s="101" t="str">
        <f t="shared" si="3"/>
        <v/>
      </c>
    </row>
    <row r="102" spans="1:11" ht="14.1" customHeight="1">
      <c r="A102" s="4" t="e">
        <f>'SCHEDULE OF VALUE WORKSHEET'!#REF!</f>
        <v>#REF!</v>
      </c>
      <c r="B102" s="142" t="e">
        <f>'SCHEDULE OF VALUE WORKSHEET'!#REF!</f>
        <v>#REF!</v>
      </c>
      <c r="C102" s="143"/>
      <c r="D102" s="104" t="e">
        <f>SUM('SCHEDULE OF VALUE WORKSHEET'!#REF!)</f>
        <v>#REF!</v>
      </c>
      <c r="E102" s="104">
        <f>SUM('Draw #19'!E102:F102)</f>
        <v>0</v>
      </c>
      <c r="F102" s="105">
        <v>0</v>
      </c>
      <c r="G102" s="104" t="e">
        <f>SUM('Draw #19'!G102)+F102</f>
        <v>#REF!</v>
      </c>
      <c r="H102" s="109" t="e">
        <f t="shared" si="2"/>
        <v>#REF!</v>
      </c>
      <c r="I102" s="110">
        <v>0</v>
      </c>
      <c r="J102" s="109">
        <f>SUM(I102+'Draw #19'!J102)</f>
        <v>0</v>
      </c>
      <c r="K102" s="101" t="str">
        <f t="shared" si="3"/>
        <v/>
      </c>
    </row>
    <row r="103" spans="1:11" ht="14.1" customHeight="1">
      <c r="A103" s="4" t="e">
        <f>'SCHEDULE OF VALUE WORKSHEET'!#REF!</f>
        <v>#REF!</v>
      </c>
      <c r="B103" s="142" t="e">
        <f>'SCHEDULE OF VALUE WORKSHEET'!#REF!</f>
        <v>#REF!</v>
      </c>
      <c r="C103" s="143"/>
      <c r="D103" s="104" t="e">
        <f>SUM('SCHEDULE OF VALUE WORKSHEET'!#REF!)</f>
        <v>#REF!</v>
      </c>
      <c r="E103" s="104">
        <f>SUM('Draw #19'!E103:F103)</f>
        <v>0</v>
      </c>
      <c r="F103" s="105">
        <v>0</v>
      </c>
      <c r="G103" s="104" t="e">
        <f>SUM('Draw #19'!G103)+F103</f>
        <v>#REF!</v>
      </c>
      <c r="H103" s="109" t="e">
        <f t="shared" si="2"/>
        <v>#REF!</v>
      </c>
      <c r="I103" s="110">
        <v>0</v>
      </c>
      <c r="J103" s="109">
        <f>SUM(I103+'Draw #19'!J103)</f>
        <v>0</v>
      </c>
      <c r="K103" s="101" t="str">
        <f t="shared" si="3"/>
        <v/>
      </c>
    </row>
    <row r="104" spans="1:11" ht="14.1" customHeight="1">
      <c r="A104" s="4" t="e">
        <f>'SCHEDULE OF VALUE WORKSHEET'!#REF!</f>
        <v>#REF!</v>
      </c>
      <c r="B104" s="142" t="e">
        <f>'SCHEDULE OF VALUE WORKSHEET'!#REF!</f>
        <v>#REF!</v>
      </c>
      <c r="C104" s="143"/>
      <c r="D104" s="104" t="e">
        <f>SUM('SCHEDULE OF VALUE WORKSHEET'!#REF!)</f>
        <v>#REF!</v>
      </c>
      <c r="E104" s="104">
        <f>SUM('Draw #19'!E104:F104)</f>
        <v>0</v>
      </c>
      <c r="F104" s="105">
        <v>0</v>
      </c>
      <c r="G104" s="104" t="e">
        <f>SUM('Draw #19'!G104)+F104</f>
        <v>#REF!</v>
      </c>
      <c r="H104" s="109" t="e">
        <f t="shared" si="2"/>
        <v>#REF!</v>
      </c>
      <c r="I104" s="110">
        <v>0</v>
      </c>
      <c r="J104" s="109">
        <f>SUM(I104+'Draw #19'!J104)</f>
        <v>0</v>
      </c>
      <c r="K104" s="101" t="str">
        <f t="shared" si="3"/>
        <v/>
      </c>
    </row>
    <row r="105" spans="1:11" ht="14.1" customHeight="1">
      <c r="A105" s="4" t="e">
        <f>'SCHEDULE OF VALUE WORKSHEET'!#REF!</f>
        <v>#REF!</v>
      </c>
      <c r="B105" s="142" t="e">
        <f>'SCHEDULE OF VALUE WORKSHEET'!#REF!</f>
        <v>#REF!</v>
      </c>
      <c r="C105" s="143"/>
      <c r="D105" s="104" t="e">
        <f>SUM('SCHEDULE OF VALUE WORKSHEET'!#REF!)</f>
        <v>#REF!</v>
      </c>
      <c r="E105" s="104">
        <f>SUM('Draw #19'!E105:F105)</f>
        <v>0</v>
      </c>
      <c r="F105" s="105">
        <v>0</v>
      </c>
      <c r="G105" s="104" t="e">
        <f>SUM('Draw #19'!G105)+F105</f>
        <v>#REF!</v>
      </c>
      <c r="H105" s="109" t="e">
        <f t="shared" si="2"/>
        <v>#REF!</v>
      </c>
      <c r="I105" s="110">
        <v>0</v>
      </c>
      <c r="J105" s="109">
        <f>SUM(I105+'Draw #19'!J105)</f>
        <v>0</v>
      </c>
      <c r="K105" s="101" t="str">
        <f t="shared" si="3"/>
        <v/>
      </c>
    </row>
    <row r="106" spans="1:11" ht="14.1" customHeight="1">
      <c r="A106" s="4" t="e">
        <f>'SCHEDULE OF VALUE WORKSHEET'!#REF!</f>
        <v>#REF!</v>
      </c>
      <c r="B106" s="142" t="e">
        <f>'SCHEDULE OF VALUE WORKSHEET'!#REF!</f>
        <v>#REF!</v>
      </c>
      <c r="C106" s="143"/>
      <c r="D106" s="104" t="e">
        <f>SUM('SCHEDULE OF VALUE WORKSHEET'!#REF!)</f>
        <v>#REF!</v>
      </c>
      <c r="E106" s="104">
        <f>SUM('Draw #19'!E106:F106)</f>
        <v>0</v>
      </c>
      <c r="F106" s="105">
        <v>0</v>
      </c>
      <c r="G106" s="104" t="e">
        <f>SUM('Draw #19'!G106)+F106</f>
        <v>#REF!</v>
      </c>
      <c r="H106" s="109" t="e">
        <f t="shared" si="2"/>
        <v>#REF!</v>
      </c>
      <c r="I106" s="110">
        <v>0</v>
      </c>
      <c r="J106" s="109">
        <f>SUM(I106+'Draw #19'!J106)</f>
        <v>0</v>
      </c>
      <c r="K106" s="101" t="str">
        <f t="shared" si="3"/>
        <v/>
      </c>
    </row>
    <row r="107" spans="1:11" ht="14.1" customHeight="1">
      <c r="A107" s="4" t="e">
        <f>'SCHEDULE OF VALUE WORKSHEET'!#REF!</f>
        <v>#REF!</v>
      </c>
      <c r="B107" s="142" t="e">
        <f>'SCHEDULE OF VALUE WORKSHEET'!#REF!</f>
        <v>#REF!</v>
      </c>
      <c r="C107" s="143"/>
      <c r="D107" s="104" t="e">
        <f>SUM('SCHEDULE OF VALUE WORKSHEET'!#REF!)</f>
        <v>#REF!</v>
      </c>
      <c r="E107" s="104">
        <f>SUM('Draw #19'!E107:F107)</f>
        <v>0</v>
      </c>
      <c r="F107" s="105">
        <v>0</v>
      </c>
      <c r="G107" s="104" t="e">
        <f>SUM('Draw #19'!G107)+F107</f>
        <v>#REF!</v>
      </c>
      <c r="H107" s="109" t="e">
        <f t="shared" si="2"/>
        <v>#REF!</v>
      </c>
      <c r="I107" s="110">
        <v>0</v>
      </c>
      <c r="J107" s="109">
        <f>SUM(I107+'Draw #19'!J107)</f>
        <v>0</v>
      </c>
      <c r="K107" s="101" t="str">
        <f t="shared" si="3"/>
        <v/>
      </c>
    </row>
    <row r="108" spans="1:11" ht="14.1" customHeight="1">
      <c r="A108" s="4" t="e">
        <f>'SCHEDULE OF VALUE WORKSHEET'!#REF!</f>
        <v>#REF!</v>
      </c>
      <c r="B108" s="142" t="e">
        <f>'SCHEDULE OF VALUE WORKSHEET'!#REF!</f>
        <v>#REF!</v>
      </c>
      <c r="C108" s="143"/>
      <c r="D108" s="104" t="e">
        <f>SUM('SCHEDULE OF VALUE WORKSHEET'!#REF!)</f>
        <v>#REF!</v>
      </c>
      <c r="E108" s="104">
        <f>SUM('Draw #19'!E108:F108)</f>
        <v>0</v>
      </c>
      <c r="F108" s="105">
        <v>0</v>
      </c>
      <c r="G108" s="104" t="e">
        <f>SUM('Draw #19'!G108)+F108</f>
        <v>#REF!</v>
      </c>
      <c r="H108" s="109" t="e">
        <f t="shared" si="2"/>
        <v>#REF!</v>
      </c>
      <c r="I108" s="110">
        <v>0</v>
      </c>
      <c r="J108" s="109">
        <f>SUM(I108+'Draw #19'!J108)</f>
        <v>0</v>
      </c>
      <c r="K108" s="101" t="str">
        <f t="shared" si="3"/>
        <v/>
      </c>
    </row>
    <row r="109" spans="1:11" ht="14.1" customHeight="1">
      <c r="A109" s="4" t="e">
        <f>'SCHEDULE OF VALUE WORKSHEET'!#REF!</f>
        <v>#REF!</v>
      </c>
      <c r="B109" s="142" t="e">
        <f>'SCHEDULE OF VALUE WORKSHEET'!#REF!</f>
        <v>#REF!</v>
      </c>
      <c r="C109" s="143"/>
      <c r="D109" s="104" t="e">
        <f>SUM('SCHEDULE OF VALUE WORKSHEET'!#REF!)</f>
        <v>#REF!</v>
      </c>
      <c r="E109" s="104">
        <f>SUM('Draw #19'!E109:F109)</f>
        <v>0</v>
      </c>
      <c r="F109" s="105">
        <v>0</v>
      </c>
      <c r="G109" s="104" t="e">
        <f>SUM('Draw #19'!G109)+F109</f>
        <v>#REF!</v>
      </c>
      <c r="H109" s="109" t="e">
        <f t="shared" si="2"/>
        <v>#REF!</v>
      </c>
      <c r="I109" s="110">
        <v>0</v>
      </c>
      <c r="J109" s="109">
        <f>SUM(I109+'Draw #19'!J109)</f>
        <v>0</v>
      </c>
      <c r="K109" s="101" t="str">
        <f t="shared" si="3"/>
        <v/>
      </c>
    </row>
    <row r="110" spans="1:11" ht="14.1" customHeight="1">
      <c r="A110" s="4" t="e">
        <f>'SCHEDULE OF VALUE WORKSHEET'!#REF!</f>
        <v>#REF!</v>
      </c>
      <c r="B110" s="142" t="e">
        <f>'SCHEDULE OF VALUE WORKSHEET'!#REF!</f>
        <v>#REF!</v>
      </c>
      <c r="C110" s="143"/>
      <c r="D110" s="104" t="e">
        <f>SUM('SCHEDULE OF VALUE WORKSHEET'!#REF!)</f>
        <v>#REF!</v>
      </c>
      <c r="E110" s="104">
        <f>SUM('Draw #19'!E110:F110)</f>
        <v>0</v>
      </c>
      <c r="F110" s="105">
        <v>0</v>
      </c>
      <c r="G110" s="104" t="e">
        <f>SUM('Draw #19'!G110)+F110</f>
        <v>#REF!</v>
      </c>
      <c r="H110" s="109" t="e">
        <f t="shared" si="2"/>
        <v>#REF!</v>
      </c>
      <c r="I110" s="110">
        <v>0</v>
      </c>
      <c r="J110" s="109">
        <f>SUM(I110+'Draw #19'!J110)</f>
        <v>0</v>
      </c>
      <c r="K110" s="101" t="str">
        <f t="shared" si="3"/>
        <v/>
      </c>
    </row>
    <row r="111" spans="1:11" ht="14.1" customHeight="1">
      <c r="A111" s="4" t="e">
        <f>'SCHEDULE OF VALUE WORKSHEET'!#REF!</f>
        <v>#REF!</v>
      </c>
      <c r="B111" s="142" t="e">
        <f>'SCHEDULE OF VALUE WORKSHEET'!#REF!</f>
        <v>#REF!</v>
      </c>
      <c r="C111" s="143"/>
      <c r="D111" s="104" t="e">
        <f>SUM('SCHEDULE OF VALUE WORKSHEET'!#REF!)</f>
        <v>#REF!</v>
      </c>
      <c r="E111" s="104">
        <f>SUM('Draw #19'!E111:F111)</f>
        <v>0</v>
      </c>
      <c r="F111" s="105">
        <v>0</v>
      </c>
      <c r="G111" s="104" t="e">
        <f>SUM('Draw #19'!G111)+F111</f>
        <v>#REF!</v>
      </c>
      <c r="H111" s="109" t="e">
        <f t="shared" si="2"/>
        <v>#REF!</v>
      </c>
      <c r="I111" s="110">
        <v>0</v>
      </c>
      <c r="J111" s="109">
        <f>SUM(I111+'Draw #19'!J111)</f>
        <v>0</v>
      </c>
      <c r="K111" s="101" t="str">
        <f t="shared" si="3"/>
        <v/>
      </c>
    </row>
    <row r="112" spans="1:11" ht="14.1" customHeight="1">
      <c r="A112" s="4" t="e">
        <f>'SCHEDULE OF VALUE WORKSHEET'!#REF!</f>
        <v>#REF!</v>
      </c>
      <c r="B112" s="142" t="e">
        <f>'SCHEDULE OF VALUE WORKSHEET'!#REF!</f>
        <v>#REF!</v>
      </c>
      <c r="C112" s="143"/>
      <c r="D112" s="104" t="e">
        <f>SUM('SCHEDULE OF VALUE WORKSHEET'!#REF!)</f>
        <v>#REF!</v>
      </c>
      <c r="E112" s="104">
        <f>SUM('Draw #19'!E112:F112)</f>
        <v>0</v>
      </c>
      <c r="F112" s="105">
        <v>0</v>
      </c>
      <c r="G112" s="104" t="e">
        <f>SUM('Draw #19'!G112)+F112</f>
        <v>#REF!</v>
      </c>
      <c r="H112" s="109" t="e">
        <f t="shared" si="2"/>
        <v>#REF!</v>
      </c>
      <c r="I112" s="110">
        <v>0</v>
      </c>
      <c r="J112" s="109">
        <f>SUM(I112+'Draw #19'!J112)</f>
        <v>0</v>
      </c>
      <c r="K112" s="101" t="str">
        <f t="shared" si="3"/>
        <v/>
      </c>
    </row>
    <row r="113" spans="1:11" ht="14.1" customHeight="1">
      <c r="A113" s="4" t="e">
        <f>'SCHEDULE OF VALUE WORKSHEET'!#REF!</f>
        <v>#REF!</v>
      </c>
      <c r="B113" s="142" t="e">
        <f>'SCHEDULE OF VALUE WORKSHEET'!#REF!</f>
        <v>#REF!</v>
      </c>
      <c r="C113" s="143"/>
      <c r="D113" s="104" t="e">
        <f>SUM('SCHEDULE OF VALUE WORKSHEET'!#REF!)</f>
        <v>#REF!</v>
      </c>
      <c r="E113" s="104">
        <f>SUM('Draw #19'!E113:F113)</f>
        <v>0</v>
      </c>
      <c r="F113" s="105">
        <v>0</v>
      </c>
      <c r="G113" s="104" t="e">
        <f>SUM('Draw #19'!G113)+F113</f>
        <v>#REF!</v>
      </c>
      <c r="H113" s="109" t="e">
        <f t="shared" si="2"/>
        <v>#REF!</v>
      </c>
      <c r="I113" s="110">
        <v>0</v>
      </c>
      <c r="J113" s="109">
        <f>SUM(I113+'Draw #19'!J113)</f>
        <v>0</v>
      </c>
      <c r="K113" s="101" t="str">
        <f t="shared" si="3"/>
        <v/>
      </c>
    </row>
    <row r="114" spans="1:11" ht="14.1" customHeight="1">
      <c r="A114" s="4" t="e">
        <f>'SCHEDULE OF VALUE WORKSHEET'!#REF!</f>
        <v>#REF!</v>
      </c>
      <c r="B114" s="142" t="e">
        <f>'SCHEDULE OF VALUE WORKSHEET'!#REF!</f>
        <v>#REF!</v>
      </c>
      <c r="C114" s="143"/>
      <c r="D114" s="104" t="e">
        <f>SUM('SCHEDULE OF VALUE WORKSHEET'!#REF!)</f>
        <v>#REF!</v>
      </c>
      <c r="E114" s="104">
        <f>SUM('Draw #19'!E114:F114)</f>
        <v>0</v>
      </c>
      <c r="F114" s="105">
        <v>0</v>
      </c>
      <c r="G114" s="104" t="e">
        <f>SUM('Draw #19'!G114)+F114</f>
        <v>#REF!</v>
      </c>
      <c r="H114" s="109" t="e">
        <f t="shared" si="2"/>
        <v>#REF!</v>
      </c>
      <c r="I114" s="110">
        <v>0</v>
      </c>
      <c r="J114" s="109">
        <f>SUM(I114+'Draw #19'!J114)</f>
        <v>0</v>
      </c>
      <c r="K114" s="101" t="str">
        <f t="shared" si="3"/>
        <v/>
      </c>
    </row>
    <row r="115" spans="1:11" ht="14.1" customHeight="1">
      <c r="A115" s="4" t="e">
        <f>'SCHEDULE OF VALUE WORKSHEET'!#REF!</f>
        <v>#REF!</v>
      </c>
      <c r="B115" s="142" t="e">
        <f>'SCHEDULE OF VALUE WORKSHEET'!#REF!</f>
        <v>#REF!</v>
      </c>
      <c r="C115" s="143"/>
      <c r="D115" s="104" t="e">
        <f>SUM('SCHEDULE OF VALUE WORKSHEET'!#REF!)</f>
        <v>#REF!</v>
      </c>
      <c r="E115" s="104">
        <f>SUM('Draw #19'!E115:F115)</f>
        <v>0</v>
      </c>
      <c r="F115" s="105">
        <v>0</v>
      </c>
      <c r="G115" s="104" t="e">
        <f>SUM('Draw #19'!G115)+F115</f>
        <v>#REF!</v>
      </c>
      <c r="H115" s="109" t="e">
        <f t="shared" si="2"/>
        <v>#REF!</v>
      </c>
      <c r="I115" s="110">
        <v>0</v>
      </c>
      <c r="J115" s="109">
        <f>SUM(I115+'Draw #19'!J115)</f>
        <v>0</v>
      </c>
      <c r="K115" s="101" t="str">
        <f t="shared" si="3"/>
        <v/>
      </c>
    </row>
    <row r="116" spans="1:11" ht="14.1" customHeight="1">
      <c r="A116" s="4" t="e">
        <f>'SCHEDULE OF VALUE WORKSHEET'!#REF!</f>
        <v>#REF!</v>
      </c>
      <c r="B116" s="142" t="e">
        <f>'SCHEDULE OF VALUE WORKSHEET'!#REF!</f>
        <v>#REF!</v>
      </c>
      <c r="C116" s="143"/>
      <c r="D116" s="104" t="e">
        <f>SUM('SCHEDULE OF VALUE WORKSHEET'!#REF!)</f>
        <v>#REF!</v>
      </c>
      <c r="E116" s="104">
        <f>SUM('Draw #19'!E116:F116)</f>
        <v>0</v>
      </c>
      <c r="F116" s="105">
        <v>0</v>
      </c>
      <c r="G116" s="104" t="e">
        <f>SUM('Draw #19'!G116)+F116</f>
        <v>#REF!</v>
      </c>
      <c r="H116" s="109" t="e">
        <f t="shared" si="2"/>
        <v>#REF!</v>
      </c>
      <c r="I116" s="110">
        <v>0</v>
      </c>
      <c r="J116" s="109">
        <f>SUM(I116+'Draw #19'!J116)</f>
        <v>0</v>
      </c>
      <c r="K116" s="101" t="str">
        <f t="shared" si="3"/>
        <v/>
      </c>
    </row>
    <row r="117" spans="1:11" ht="14.1" customHeight="1">
      <c r="A117" s="4">
        <f>'SCHEDULE OF VALUE WORKSHEET'!A87</f>
        <v>82</v>
      </c>
      <c r="B117" s="142" t="str">
        <f>'SCHEDULE OF VALUE WORKSHEET'!B87</f>
        <v xml:space="preserve">Open Item </v>
      </c>
      <c r="C117" s="143"/>
      <c r="D117" s="104">
        <f>SUM('SCHEDULE OF VALUE WORKSHEET'!E87)</f>
        <v>0</v>
      </c>
      <c r="E117" s="104">
        <f>SUM('Draw #19'!E117:F117)</f>
        <v>0</v>
      </c>
      <c r="F117" s="105">
        <v>0</v>
      </c>
      <c r="G117" s="104">
        <f>SUM('Draw #19'!G117)+F117</f>
        <v>0</v>
      </c>
      <c r="H117" s="109">
        <f t="shared" si="2"/>
        <v>0</v>
      </c>
      <c r="I117" s="110">
        <v>0</v>
      </c>
      <c r="J117" s="109">
        <f>SUM(I117+'Draw #19'!J117)</f>
        <v>0</v>
      </c>
      <c r="K117" s="101" t="str">
        <f t="shared" si="3"/>
        <v/>
      </c>
    </row>
    <row r="118" spans="1:11" ht="14.1" customHeight="1">
      <c r="A118" s="4">
        <f>'SCHEDULE OF VALUE WORKSHEET'!A88</f>
        <v>83</v>
      </c>
      <c r="B118" s="142" t="str">
        <f>'SCHEDULE OF VALUE WORKSHEET'!B88</f>
        <v xml:space="preserve">Open Item </v>
      </c>
      <c r="C118" s="143"/>
      <c r="D118" s="104">
        <f>SUM('SCHEDULE OF VALUE WORKSHEET'!E88)</f>
        <v>0</v>
      </c>
      <c r="E118" s="104">
        <f>SUM('Draw #19'!E118:F118)</f>
        <v>0</v>
      </c>
      <c r="F118" s="105">
        <v>0</v>
      </c>
      <c r="G118" s="104">
        <f>SUM('Draw #19'!G118)+F118</f>
        <v>0</v>
      </c>
      <c r="H118" s="109">
        <f t="shared" si="2"/>
        <v>0</v>
      </c>
      <c r="I118" s="110">
        <v>0</v>
      </c>
      <c r="J118" s="109">
        <f>SUM(I118+'Draw #19'!J118)</f>
        <v>0</v>
      </c>
      <c r="K118" s="101" t="str">
        <f t="shared" si="3"/>
        <v/>
      </c>
    </row>
    <row r="119" spans="1:11" ht="14.1" customHeight="1">
      <c r="A119" s="4">
        <f>'SCHEDULE OF VALUE WORKSHEET'!A89</f>
        <v>84</v>
      </c>
      <c r="B119" s="142" t="str">
        <f>'SCHEDULE OF VALUE WORKSHEET'!B89</f>
        <v xml:space="preserve">Open Item </v>
      </c>
      <c r="C119" s="143"/>
      <c r="D119" s="104">
        <f>SUM('SCHEDULE OF VALUE WORKSHEET'!E89)</f>
        <v>0</v>
      </c>
      <c r="E119" s="104">
        <f>SUM('Draw #19'!E119:F119)</f>
        <v>0</v>
      </c>
      <c r="F119" s="105">
        <v>0</v>
      </c>
      <c r="G119" s="104">
        <f>SUM('Draw #19'!G119)+F119</f>
        <v>0</v>
      </c>
      <c r="H119" s="109">
        <f t="shared" si="2"/>
        <v>0</v>
      </c>
      <c r="I119" s="110">
        <v>0</v>
      </c>
      <c r="J119" s="109">
        <f>SUM(I119+'Draw #19'!J119)</f>
        <v>0</v>
      </c>
      <c r="K119" s="101" t="str">
        <f t="shared" si="3"/>
        <v/>
      </c>
    </row>
    <row r="120" spans="1:11" ht="14.1" customHeight="1">
      <c r="A120" s="4">
        <f>'SCHEDULE OF VALUE WORKSHEET'!A90</f>
        <v>85</v>
      </c>
      <c r="B120" s="142" t="str">
        <f>'SCHEDULE OF VALUE WORKSHEET'!B90</f>
        <v xml:space="preserve">Open Item </v>
      </c>
      <c r="C120" s="143"/>
      <c r="D120" s="104">
        <f>SUM('SCHEDULE OF VALUE WORKSHEET'!E90)</f>
        <v>0</v>
      </c>
      <c r="E120" s="104">
        <f>SUM('Draw #19'!E120:F120)</f>
        <v>0</v>
      </c>
      <c r="F120" s="105">
        <v>0</v>
      </c>
      <c r="G120" s="104">
        <f>SUM('Draw #19'!G120)+F120</f>
        <v>0</v>
      </c>
      <c r="H120" s="109">
        <f t="shared" si="2"/>
        <v>0</v>
      </c>
      <c r="I120" s="110">
        <v>0</v>
      </c>
      <c r="J120" s="109">
        <f>SUM(I120+'Draw #19'!J120)</f>
        <v>0</v>
      </c>
      <c r="K120" s="101" t="str">
        <f t="shared" si="3"/>
        <v/>
      </c>
    </row>
    <row r="121" spans="1:11" ht="14.1" customHeight="1">
      <c r="A121" s="4">
        <f>'SCHEDULE OF VALUE WORKSHEET'!A91</f>
        <v>86</v>
      </c>
      <c r="B121" s="142" t="str">
        <f>'SCHEDULE OF VALUE WORKSHEET'!B91</f>
        <v xml:space="preserve">Open Item </v>
      </c>
      <c r="C121" s="143"/>
      <c r="D121" s="104">
        <f>SUM('SCHEDULE OF VALUE WORKSHEET'!E91)</f>
        <v>0</v>
      </c>
      <c r="E121" s="104">
        <f>SUM('Draw #19'!E121:F121)</f>
        <v>0</v>
      </c>
      <c r="F121" s="105">
        <v>0</v>
      </c>
      <c r="G121" s="104">
        <f>SUM('Draw #19'!G121)+F121</f>
        <v>0</v>
      </c>
      <c r="H121" s="109">
        <f t="shared" si="2"/>
        <v>0</v>
      </c>
      <c r="I121" s="110">
        <v>0</v>
      </c>
      <c r="J121" s="109">
        <f>SUM(I121+'Draw #19'!J121)</f>
        <v>0</v>
      </c>
      <c r="K121" s="101" t="str">
        <f t="shared" si="3"/>
        <v/>
      </c>
    </row>
    <row r="122" spans="1:11" ht="14.1" customHeight="1">
      <c r="A122" s="4">
        <f>'SCHEDULE OF VALUE WORKSHEET'!A92</f>
        <v>87</v>
      </c>
      <c r="B122" s="142" t="str">
        <f>'SCHEDULE OF VALUE WORKSHEET'!B92</f>
        <v xml:space="preserve">Open Item </v>
      </c>
      <c r="C122" s="143"/>
      <c r="D122" s="104">
        <f>SUM('SCHEDULE OF VALUE WORKSHEET'!E92)</f>
        <v>0</v>
      </c>
      <c r="E122" s="104">
        <f>SUM('Draw #19'!E122:F122)</f>
        <v>0</v>
      </c>
      <c r="F122" s="105">
        <v>0</v>
      </c>
      <c r="G122" s="104">
        <f>SUM('Draw #19'!G122)+F122</f>
        <v>0</v>
      </c>
      <c r="H122" s="109">
        <f t="shared" si="2"/>
        <v>0</v>
      </c>
      <c r="I122" s="110">
        <v>0</v>
      </c>
      <c r="J122" s="109">
        <f>SUM(I122+'Draw #19'!J122)</f>
        <v>0</v>
      </c>
      <c r="K122" s="101" t="str">
        <f t="shared" si="3"/>
        <v/>
      </c>
    </row>
    <row r="123" spans="1:11" ht="14.1" customHeight="1">
      <c r="A123" s="4">
        <f>'SCHEDULE OF VALUE WORKSHEET'!A93</f>
        <v>88</v>
      </c>
      <c r="B123" s="142" t="str">
        <f>'SCHEDULE OF VALUE WORKSHEET'!B93</f>
        <v xml:space="preserve">Open Item </v>
      </c>
      <c r="C123" s="143"/>
      <c r="D123" s="104">
        <f>SUM('SCHEDULE OF VALUE WORKSHEET'!E93)</f>
        <v>0</v>
      </c>
      <c r="E123" s="104">
        <f>SUM('Draw #19'!E123:F123)</f>
        <v>0</v>
      </c>
      <c r="F123" s="105">
        <v>0</v>
      </c>
      <c r="G123" s="104">
        <f>SUM('Draw #19'!G123)+F123</f>
        <v>0</v>
      </c>
      <c r="H123" s="109">
        <f t="shared" si="2"/>
        <v>0</v>
      </c>
      <c r="I123" s="110">
        <v>0</v>
      </c>
      <c r="J123" s="109">
        <f>SUM(I123+'Draw #19'!J123)</f>
        <v>0</v>
      </c>
      <c r="K123" s="101" t="str">
        <f t="shared" si="3"/>
        <v/>
      </c>
    </row>
    <row r="124" spans="1:11" ht="14.1" customHeight="1">
      <c r="A124" s="4">
        <f>'SCHEDULE OF VALUE WORKSHEET'!A94</f>
        <v>89</v>
      </c>
      <c r="B124" s="142" t="str">
        <f>'SCHEDULE OF VALUE WORKSHEET'!B94</f>
        <v xml:space="preserve">Open Item </v>
      </c>
      <c r="C124" s="143"/>
      <c r="D124" s="104">
        <f>SUM('SCHEDULE OF VALUE WORKSHEET'!E94)</f>
        <v>0</v>
      </c>
      <c r="E124" s="104">
        <f>SUM('Draw #19'!E124:F124)</f>
        <v>0</v>
      </c>
      <c r="F124" s="105">
        <v>0</v>
      </c>
      <c r="G124" s="104">
        <f>SUM('Draw #19'!G124)+F124</f>
        <v>0</v>
      </c>
      <c r="H124" s="109">
        <f t="shared" si="2"/>
        <v>0</v>
      </c>
      <c r="I124" s="110">
        <v>0</v>
      </c>
      <c r="J124" s="109">
        <f>SUM(I124+'Draw #19'!J124)</f>
        <v>0</v>
      </c>
      <c r="K124" s="101" t="str">
        <f t="shared" si="3"/>
        <v/>
      </c>
    </row>
    <row r="125" spans="1:11" ht="14.1" customHeight="1">
      <c r="A125" s="4">
        <f>'SCHEDULE OF VALUE WORKSHEET'!A95</f>
        <v>90</v>
      </c>
      <c r="B125" s="142" t="str">
        <f>'SCHEDULE OF VALUE WORKSHEET'!B95</f>
        <v xml:space="preserve">Open Item </v>
      </c>
      <c r="C125" s="143"/>
      <c r="D125" s="104">
        <f>SUM('SCHEDULE OF VALUE WORKSHEET'!E95)</f>
        <v>0</v>
      </c>
      <c r="E125" s="104">
        <f>SUM('Draw #19'!E125:F125)</f>
        <v>0</v>
      </c>
      <c r="F125" s="105">
        <v>0</v>
      </c>
      <c r="G125" s="104">
        <f>SUM('Draw #19'!G125)+F125</f>
        <v>0</v>
      </c>
      <c r="H125" s="109">
        <f t="shared" si="2"/>
        <v>0</v>
      </c>
      <c r="I125" s="110">
        <v>0</v>
      </c>
      <c r="J125" s="109">
        <f>SUM(I125+'Draw #19'!J125)</f>
        <v>0</v>
      </c>
      <c r="K125" s="101" t="str">
        <f t="shared" si="3"/>
        <v/>
      </c>
    </row>
    <row r="126" spans="1:11" ht="14.1" customHeight="1">
      <c r="A126" s="4">
        <f>'SCHEDULE OF VALUE WORKSHEET'!A96</f>
        <v>91</v>
      </c>
      <c r="B126" s="142" t="str">
        <f>'SCHEDULE OF VALUE WORKSHEET'!B96</f>
        <v xml:space="preserve">Open Item </v>
      </c>
      <c r="C126" s="143"/>
      <c r="D126" s="104">
        <f>SUM('SCHEDULE OF VALUE WORKSHEET'!E96)</f>
        <v>0</v>
      </c>
      <c r="E126" s="104">
        <f>SUM('Draw #19'!E126:F126)</f>
        <v>0</v>
      </c>
      <c r="F126" s="105">
        <v>0</v>
      </c>
      <c r="G126" s="104">
        <f>SUM('Draw #19'!G126)+F126</f>
        <v>0</v>
      </c>
      <c r="H126" s="109">
        <f t="shared" si="2"/>
        <v>0</v>
      </c>
      <c r="I126" s="110">
        <v>0</v>
      </c>
      <c r="J126" s="109">
        <f>SUM(I126+'Draw #19'!J126)</f>
        <v>0</v>
      </c>
      <c r="K126" s="101" t="str">
        <f t="shared" si="3"/>
        <v/>
      </c>
    </row>
    <row r="127" spans="1:11" ht="14.1" customHeight="1">
      <c r="A127" s="4">
        <f>'SCHEDULE OF VALUE WORKSHEET'!A97</f>
        <v>92</v>
      </c>
      <c r="B127" s="142" t="str">
        <f>'SCHEDULE OF VALUE WORKSHEET'!B97</f>
        <v xml:space="preserve">Open Item </v>
      </c>
      <c r="C127" s="143"/>
      <c r="D127" s="104">
        <f>SUM('SCHEDULE OF VALUE WORKSHEET'!E97)</f>
        <v>0</v>
      </c>
      <c r="E127" s="104">
        <f>SUM('Draw #19'!E127:F127)</f>
        <v>0</v>
      </c>
      <c r="F127" s="105">
        <v>0</v>
      </c>
      <c r="G127" s="104">
        <f>SUM('Draw #19'!G127)+F127</f>
        <v>0</v>
      </c>
      <c r="H127" s="109">
        <f t="shared" si="2"/>
        <v>0</v>
      </c>
      <c r="I127" s="110">
        <v>0</v>
      </c>
      <c r="J127" s="109">
        <f>SUM(I127+'Draw #19'!J127)</f>
        <v>0</v>
      </c>
      <c r="K127" s="101" t="str">
        <f t="shared" si="3"/>
        <v/>
      </c>
    </row>
    <row r="128" spans="1:11" ht="14.1" customHeight="1">
      <c r="A128" s="4">
        <f>'SCHEDULE OF VALUE WORKSHEET'!A98</f>
        <v>93</v>
      </c>
      <c r="B128" s="142" t="str">
        <f>'SCHEDULE OF VALUE WORKSHEET'!B98</f>
        <v xml:space="preserve">Open Item </v>
      </c>
      <c r="C128" s="143"/>
      <c r="D128" s="104">
        <f>SUM('SCHEDULE OF VALUE WORKSHEET'!E98)</f>
        <v>0</v>
      </c>
      <c r="E128" s="104">
        <f>SUM('Draw #19'!E128:F128)</f>
        <v>0</v>
      </c>
      <c r="F128" s="105">
        <v>0</v>
      </c>
      <c r="G128" s="104">
        <f>SUM('Draw #19'!G128)+F128</f>
        <v>0</v>
      </c>
      <c r="H128" s="109">
        <f t="shared" si="2"/>
        <v>0</v>
      </c>
      <c r="I128" s="110">
        <v>0</v>
      </c>
      <c r="J128" s="109">
        <f>SUM(I128+'Draw #19'!J128)</f>
        <v>0</v>
      </c>
      <c r="K128" s="101" t="str">
        <f t="shared" si="3"/>
        <v/>
      </c>
    </row>
    <row r="129" spans="1:11" ht="14.1" customHeight="1">
      <c r="A129" s="4">
        <f>'SCHEDULE OF VALUE WORKSHEET'!A99</f>
        <v>94</v>
      </c>
      <c r="B129" s="142" t="str">
        <f>'SCHEDULE OF VALUE WORKSHEET'!B99</f>
        <v xml:space="preserve">Open Item </v>
      </c>
      <c r="C129" s="143"/>
      <c r="D129" s="104">
        <f>SUM('SCHEDULE OF VALUE WORKSHEET'!E99)</f>
        <v>0</v>
      </c>
      <c r="E129" s="104">
        <f>SUM('Draw #19'!E129:F129)</f>
        <v>0</v>
      </c>
      <c r="F129" s="105">
        <v>0</v>
      </c>
      <c r="G129" s="104">
        <f>SUM('Draw #19'!G129)+F129</f>
        <v>0</v>
      </c>
      <c r="H129" s="109">
        <f t="shared" si="2"/>
        <v>0</v>
      </c>
      <c r="I129" s="110">
        <v>0</v>
      </c>
      <c r="J129" s="109">
        <f>SUM(I129+'Draw #19'!J129)</f>
        <v>0</v>
      </c>
      <c r="K129" s="101" t="str">
        <f t="shared" si="3"/>
        <v/>
      </c>
    </row>
    <row r="130" spans="1:11" ht="14.1" customHeight="1">
      <c r="A130" s="4">
        <f>'SCHEDULE OF VALUE WORKSHEET'!A100</f>
        <v>95</v>
      </c>
      <c r="B130" s="142" t="str">
        <f>'SCHEDULE OF VALUE WORKSHEET'!B100</f>
        <v xml:space="preserve">Open Item </v>
      </c>
      <c r="C130" s="143"/>
      <c r="D130" s="104">
        <f>SUM('SCHEDULE OF VALUE WORKSHEET'!E100)</f>
        <v>0</v>
      </c>
      <c r="E130" s="104">
        <f>SUM('Draw #19'!E130:F130)</f>
        <v>0</v>
      </c>
      <c r="F130" s="105">
        <v>0</v>
      </c>
      <c r="G130" s="104">
        <f>SUM('Draw #19'!G130)+F130</f>
        <v>0</v>
      </c>
      <c r="H130" s="109">
        <f t="shared" si="2"/>
        <v>0</v>
      </c>
      <c r="I130" s="110">
        <v>0</v>
      </c>
      <c r="J130" s="109">
        <f>SUM(I130+'Draw #19'!J130)</f>
        <v>0</v>
      </c>
      <c r="K130" s="101" t="str">
        <f t="shared" si="3"/>
        <v/>
      </c>
    </row>
    <row r="131" spans="1:11" ht="14.1" customHeight="1">
      <c r="A131" s="4">
        <f>'SCHEDULE OF VALUE WORKSHEET'!A101</f>
        <v>96</v>
      </c>
      <c r="B131" s="142" t="str">
        <f>'SCHEDULE OF VALUE WORKSHEET'!B101</f>
        <v xml:space="preserve">Open Item </v>
      </c>
      <c r="C131" s="143"/>
      <c r="D131" s="104">
        <f>SUM('SCHEDULE OF VALUE WORKSHEET'!E101)</f>
        <v>0</v>
      </c>
      <c r="E131" s="104">
        <f>SUM('Draw #19'!E131:F131)</f>
        <v>0</v>
      </c>
      <c r="F131" s="105">
        <v>0</v>
      </c>
      <c r="G131" s="104">
        <f>SUM('Draw #19'!G131)+F131</f>
        <v>0</v>
      </c>
      <c r="H131" s="109">
        <f t="shared" si="2"/>
        <v>0</v>
      </c>
      <c r="I131" s="110">
        <v>0</v>
      </c>
      <c r="J131" s="109">
        <f>SUM(I131+'Draw #19'!J131)</f>
        <v>0</v>
      </c>
      <c r="K131" s="101" t="str">
        <f t="shared" si="3"/>
        <v/>
      </c>
    </row>
    <row r="132" spans="1:11" ht="14.1" customHeight="1">
      <c r="A132" s="4">
        <f>'SCHEDULE OF VALUE WORKSHEET'!A102</f>
        <v>97</v>
      </c>
      <c r="B132" s="142" t="str">
        <f>'SCHEDULE OF VALUE WORKSHEET'!B102</f>
        <v xml:space="preserve">Open Item </v>
      </c>
      <c r="C132" s="143"/>
      <c r="D132" s="104">
        <f>SUM('SCHEDULE OF VALUE WORKSHEET'!E102)</f>
        <v>0</v>
      </c>
      <c r="E132" s="104">
        <f>SUM('Draw #19'!E132:F132)</f>
        <v>0</v>
      </c>
      <c r="F132" s="105">
        <v>0</v>
      </c>
      <c r="G132" s="104">
        <f>SUM('Draw #19'!G132)+F132</f>
        <v>0</v>
      </c>
      <c r="H132" s="109">
        <f t="shared" si="2"/>
        <v>0</v>
      </c>
      <c r="I132" s="110">
        <v>0</v>
      </c>
      <c r="J132" s="109">
        <f>SUM(I132+'Draw #19'!J132)</f>
        <v>0</v>
      </c>
      <c r="K132" s="101" t="str">
        <f t="shared" si="3"/>
        <v/>
      </c>
    </row>
    <row r="133" spans="1:11" ht="14.1" customHeight="1">
      <c r="A133" s="4">
        <f>'SCHEDULE OF VALUE WORKSHEET'!A103</f>
        <v>98</v>
      </c>
      <c r="B133" s="142" t="str">
        <f>'SCHEDULE OF VALUE WORKSHEET'!B103</f>
        <v xml:space="preserve">Open Item </v>
      </c>
      <c r="C133" s="143"/>
      <c r="D133" s="104">
        <f>SUM('SCHEDULE OF VALUE WORKSHEET'!E103)</f>
        <v>0</v>
      </c>
      <c r="E133" s="104">
        <f>SUM('Draw #19'!E133:F133)</f>
        <v>0</v>
      </c>
      <c r="F133" s="105">
        <v>0</v>
      </c>
      <c r="G133" s="104">
        <f>SUM('Draw #19'!G133)+F133</f>
        <v>0</v>
      </c>
      <c r="H133" s="109">
        <f t="shared" si="2"/>
        <v>0</v>
      </c>
      <c r="I133" s="110">
        <v>0</v>
      </c>
      <c r="J133" s="109">
        <f>SUM(I133+'Draw #19'!J133)</f>
        <v>0</v>
      </c>
      <c r="K133" s="101" t="str">
        <f t="shared" si="3"/>
        <v/>
      </c>
    </row>
    <row r="134" spans="1:11" ht="14.1" customHeight="1">
      <c r="A134" s="4">
        <f>'SCHEDULE OF VALUE WORKSHEET'!A104</f>
        <v>99</v>
      </c>
      <c r="B134" s="142" t="str">
        <f>'SCHEDULE OF VALUE WORKSHEET'!B104</f>
        <v xml:space="preserve">Open Item </v>
      </c>
      <c r="C134" s="143"/>
      <c r="D134" s="104">
        <f>SUM('SCHEDULE OF VALUE WORKSHEET'!E104)</f>
        <v>0</v>
      </c>
      <c r="E134" s="104">
        <f>SUM('Draw #19'!E134:F134)</f>
        <v>0</v>
      </c>
      <c r="F134" s="105">
        <v>0</v>
      </c>
      <c r="G134" s="104">
        <f>SUM('Draw #19'!G134)+F134</f>
        <v>0</v>
      </c>
      <c r="H134" s="109">
        <f t="shared" si="2"/>
        <v>0</v>
      </c>
      <c r="I134" s="110">
        <v>0</v>
      </c>
      <c r="J134" s="109">
        <f>SUM(I134+'Draw #19'!J134)</f>
        <v>0</v>
      </c>
      <c r="K134" s="101" t="str">
        <f t="shared" si="3"/>
        <v/>
      </c>
    </row>
    <row r="135" spans="1:11" ht="14.1" customHeight="1">
      <c r="A135" s="4" t="e">
        <f>'SCHEDULE OF VALUE WORKSHEET'!#REF!</f>
        <v>#REF!</v>
      </c>
      <c r="B135" s="142" t="e">
        <f>'SCHEDULE OF VALUE WORKSHEET'!#REF!</f>
        <v>#REF!</v>
      </c>
      <c r="C135" s="143"/>
      <c r="D135" s="104" t="e">
        <f>SUM('SCHEDULE OF VALUE WORKSHEET'!#REF!)</f>
        <v>#REF!</v>
      </c>
      <c r="E135" s="104">
        <f>SUM('Draw #19'!E135:F135)</f>
        <v>0</v>
      </c>
      <c r="F135" s="105">
        <v>0</v>
      </c>
      <c r="G135" s="104" t="e">
        <f>SUM('Draw #19'!G135)+F135</f>
        <v>#REF!</v>
      </c>
      <c r="H135" s="109" t="e">
        <f t="shared" si="2"/>
        <v>#REF!</v>
      </c>
      <c r="I135" s="110">
        <v>0</v>
      </c>
      <c r="J135" s="109">
        <f>SUM(I135+'Draw #19'!J135)</f>
        <v>0</v>
      </c>
      <c r="K135" s="101" t="str">
        <f t="shared" si="3"/>
        <v/>
      </c>
    </row>
    <row r="136" spans="1:11" ht="14.1" customHeight="1">
      <c r="A136" s="165"/>
      <c r="B136" s="166"/>
      <c r="C136" s="166"/>
      <c r="D136" s="166"/>
      <c r="E136" s="166"/>
      <c r="F136" s="166"/>
      <c r="G136" s="166"/>
      <c r="H136" s="166"/>
      <c r="I136" s="166"/>
      <c r="J136" s="166"/>
      <c r="K136" s="167"/>
    </row>
    <row r="137" spans="1:11" ht="18.75" customHeight="1">
      <c r="A137" s="7"/>
      <c r="B137" s="168" t="s">
        <v>2</v>
      </c>
      <c r="C137" s="168"/>
      <c r="D137" s="25" t="e">
        <f t="shared" ref="D137:J137" si="4">SUM(D10:D135)</f>
        <v>#REF!</v>
      </c>
      <c r="E137" s="25">
        <f t="shared" si="4"/>
        <v>0</v>
      </c>
      <c r="F137" s="25">
        <f t="shared" si="4"/>
        <v>0</v>
      </c>
      <c r="G137" s="25" t="e">
        <f t="shared" si="4"/>
        <v>#REF!</v>
      </c>
      <c r="H137" s="25" t="e">
        <f t="shared" si="4"/>
        <v>#REF!</v>
      </c>
      <c r="I137" s="25">
        <f t="shared" si="4"/>
        <v>0</v>
      </c>
      <c r="J137" s="25">
        <f t="shared" si="4"/>
        <v>0</v>
      </c>
      <c r="K137" s="17"/>
    </row>
    <row r="138" spans="1:11" ht="14.1" customHeight="1">
      <c r="A138" s="2"/>
      <c r="B138" s="2"/>
      <c r="C138" s="2"/>
      <c r="D138" s="2"/>
      <c r="E138" s="2"/>
      <c r="F138" s="2"/>
      <c r="G138" s="2"/>
    </row>
    <row r="139" spans="1:11" ht="14.1" customHeight="1">
      <c r="G139" s="2"/>
      <c r="H139" s="140"/>
      <c r="I139" s="140"/>
      <c r="J139" s="140"/>
    </row>
    <row r="140" spans="1:11" ht="14.1" customHeight="1">
      <c r="G140" s="2"/>
    </row>
    <row r="141" spans="1:11" ht="14.1" customHeight="1">
      <c r="G141" s="2"/>
      <c r="H141" s="8"/>
    </row>
    <row r="142" spans="1:11" ht="14.1" customHeight="1">
      <c r="G142" s="2"/>
      <c r="H142" s="8"/>
    </row>
    <row r="143" spans="1:11" ht="14.1" customHeight="1">
      <c r="G143" s="2"/>
    </row>
    <row r="144" spans="1:11" ht="14.1" customHeight="1">
      <c r="G144" s="2"/>
    </row>
    <row r="145" spans="7:7" ht="14.1" customHeight="1">
      <c r="G145" s="2"/>
    </row>
    <row r="146" spans="7:7" ht="14.1" customHeight="1">
      <c r="G146" s="2"/>
    </row>
    <row r="147" spans="7:7" ht="14.1" customHeight="1">
      <c r="G147" s="2"/>
    </row>
    <row r="148" spans="7:7" ht="14.1" customHeight="1">
      <c r="G148" s="3"/>
    </row>
  </sheetData>
  <sheetProtection algorithmName="SHA-512" hashValue="IDi/zjlVogoA93JHWVpYvAfBcS4y7Q7PQXH5LxkYOyhNvJ4t44CzFbXwyyVOLKQGoc+CoJXP++1Q/EckkQmBEQ==" saltValue="R0fn2KX6GcQ6JhkeoXIT8Q==" spinCount="100000" sheet="1" selectLockedCells="1"/>
  <mergeCells count="136">
    <mergeCell ref="A1:K2"/>
    <mergeCell ref="B47:C47"/>
    <mergeCell ref="B48:C48"/>
    <mergeCell ref="B49:C49"/>
    <mergeCell ref="B50:C50"/>
    <mergeCell ref="B8:C9"/>
    <mergeCell ref="D8:D9"/>
    <mergeCell ref="G8:G9"/>
    <mergeCell ref="J8:K8"/>
    <mergeCell ref="J9:K9"/>
    <mergeCell ref="F8:F9"/>
    <mergeCell ref="B10:C10"/>
    <mergeCell ref="B11:C11"/>
    <mergeCell ref="B12:C12"/>
    <mergeCell ref="B13:C13"/>
    <mergeCell ref="B26:C26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4:C34"/>
    <mergeCell ref="B35:C35"/>
    <mergeCell ref="B32:C32"/>
    <mergeCell ref="B33:C33"/>
    <mergeCell ref="B27:C27"/>
    <mergeCell ref="B36:C36"/>
    <mergeCell ref="B37:C37"/>
    <mergeCell ref="B46:C46"/>
    <mergeCell ref="A136:K136"/>
    <mergeCell ref="B38:C38"/>
    <mergeCell ref="B39:C39"/>
    <mergeCell ref="B51:C51"/>
    <mergeCell ref="B52:C52"/>
    <mergeCell ref="B53:C53"/>
    <mergeCell ref="B54:C54"/>
    <mergeCell ref="B130:C130"/>
    <mergeCell ref="B119:C119"/>
    <mergeCell ref="B120:C120"/>
    <mergeCell ref="B121:C121"/>
    <mergeCell ref="B122:C122"/>
    <mergeCell ref="B123:C123"/>
    <mergeCell ref="B124:C124"/>
    <mergeCell ref="B131:C131"/>
    <mergeCell ref="B132:C132"/>
    <mergeCell ref="B133:C133"/>
    <mergeCell ref="B134:C134"/>
    <mergeCell ref="B135:C135"/>
    <mergeCell ref="B125:C125"/>
    <mergeCell ref="B126:C126"/>
    <mergeCell ref="B137:C137"/>
    <mergeCell ref="H139:J139"/>
    <mergeCell ref="B40:C40"/>
    <mergeCell ref="B41:C41"/>
    <mergeCell ref="B42:C42"/>
    <mergeCell ref="B43:C43"/>
    <mergeCell ref="B44:C44"/>
    <mergeCell ref="B45:C45"/>
    <mergeCell ref="B55:C55"/>
    <mergeCell ref="B56:C56"/>
    <mergeCell ref="B127:C127"/>
    <mergeCell ref="B128:C128"/>
    <mergeCell ref="B129:C129"/>
    <mergeCell ref="B63:C63"/>
    <mergeCell ref="B64:C64"/>
    <mergeCell ref="B65:C65"/>
    <mergeCell ref="B66:C66"/>
    <mergeCell ref="B67:C67"/>
    <mergeCell ref="B68:C68"/>
    <mergeCell ref="B57:C57"/>
    <mergeCell ref="B58:C58"/>
    <mergeCell ref="B59:C59"/>
    <mergeCell ref="B60:C60"/>
    <mergeCell ref="B61:C61"/>
    <mergeCell ref="B62:C62"/>
    <mergeCell ref="B75:C75"/>
    <mergeCell ref="B76:C76"/>
    <mergeCell ref="B77:C77"/>
    <mergeCell ref="B78:C78"/>
    <mergeCell ref="B79:C79"/>
    <mergeCell ref="B80:C80"/>
    <mergeCell ref="B69:C69"/>
    <mergeCell ref="B70:C70"/>
    <mergeCell ref="B71:C71"/>
    <mergeCell ref="B72:C72"/>
    <mergeCell ref="B73:C73"/>
    <mergeCell ref="B74:C74"/>
    <mergeCell ref="B87:C87"/>
    <mergeCell ref="B88:C88"/>
    <mergeCell ref="B89:C89"/>
    <mergeCell ref="B90:C90"/>
    <mergeCell ref="B91:C91"/>
    <mergeCell ref="B92:C92"/>
    <mergeCell ref="B81:C81"/>
    <mergeCell ref="B82:C82"/>
    <mergeCell ref="B83:C83"/>
    <mergeCell ref="B84:C84"/>
    <mergeCell ref="B85:C85"/>
    <mergeCell ref="B86:C86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7:C117"/>
    <mergeCell ref="B118:C118"/>
    <mergeCell ref="B111:C111"/>
    <mergeCell ref="B112:C112"/>
    <mergeCell ref="B113:C113"/>
    <mergeCell ref="B114:C114"/>
    <mergeCell ref="B115:C115"/>
    <mergeCell ref="B116:C116"/>
    <mergeCell ref="B105:C105"/>
    <mergeCell ref="B106:C106"/>
    <mergeCell ref="B107:C107"/>
    <mergeCell ref="B108:C108"/>
    <mergeCell ref="B109:C109"/>
    <mergeCell ref="B110:C110"/>
  </mergeCells>
  <conditionalFormatting sqref="B10:K135">
    <cfRule type="expression" dxfId="3" priority="3" stopIfTrue="1">
      <formula>$I10&gt;0</formula>
    </cfRule>
    <cfRule type="expression" dxfId="2" priority="4" stopIfTrue="1">
      <formula>$K10=100%</formula>
    </cfRule>
  </conditionalFormatting>
  <conditionalFormatting sqref="D10:K135">
    <cfRule type="expression" dxfId="1" priority="1" stopIfTrue="1">
      <formula>$K10=""</formula>
    </cfRule>
    <cfRule type="expression" dxfId="0" priority="2" stopIfTrue="1">
      <formula>$K10&gt;100%</formula>
    </cfRule>
  </conditionalFormatting>
  <pageMargins left="0.7" right="0.7" top="0.75" bottom="0.75" header="0.3" footer="0.3"/>
  <pageSetup scale="7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660E04EB608849A5C0E8F82FF4C57E" ma:contentTypeVersion="8" ma:contentTypeDescription="Create a new document." ma:contentTypeScope="" ma:versionID="be42cb5ced04ac86569ff8b001ea17e0">
  <xsd:schema xmlns:xsd="http://www.w3.org/2001/XMLSchema" xmlns:xs="http://www.w3.org/2001/XMLSchema" xmlns:p="http://schemas.microsoft.com/office/2006/metadata/properties" xmlns:ns2="55293c48-2576-4779-8156-d795e7aad330" xmlns:ns3="a995501d-b9bf-477d-bec0-463ce145d043" targetNamespace="http://schemas.microsoft.com/office/2006/metadata/properties" ma:root="true" ma:fieldsID="7fd4d520516a83383affb5352794249b" ns2:_="" ns3:_="">
    <xsd:import namespace="55293c48-2576-4779-8156-d795e7aad330"/>
    <xsd:import namespace="a995501d-b9bf-477d-bec0-463ce145d0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93c48-2576-4779-8156-d795e7aad3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95501d-b9bf-477d-bec0-463ce145d04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BD8D75-7B54-43B8-95BB-3F7CF2FE12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0D9853-DCE3-4A41-BDFD-75075D8B93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293c48-2576-4779-8156-d795e7aad330"/>
    <ds:schemaRef ds:uri="a995501d-b9bf-477d-bec0-463ce145d0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21</vt:i4>
      </vt:variant>
    </vt:vector>
  </HeadingPairs>
  <TitlesOfParts>
    <vt:vector size="42" baseType="lpstr">
      <vt:lpstr>SCHEDULE OF VALUE WORKSHEET</vt:lpstr>
      <vt:lpstr>Draw #1</vt:lpstr>
      <vt:lpstr>Draw #2</vt:lpstr>
      <vt:lpstr>Draw #3</vt:lpstr>
      <vt:lpstr>Draw #4</vt:lpstr>
      <vt:lpstr>Draw #5</vt:lpstr>
      <vt:lpstr>Draw #6</vt:lpstr>
      <vt:lpstr>Draw #7</vt:lpstr>
      <vt:lpstr>Draw #8</vt:lpstr>
      <vt:lpstr>Draw #9</vt:lpstr>
      <vt:lpstr>Draw #10</vt:lpstr>
      <vt:lpstr>Draw #11</vt:lpstr>
      <vt:lpstr>Draw #12</vt:lpstr>
      <vt:lpstr>Draw #13</vt:lpstr>
      <vt:lpstr>Draw #14</vt:lpstr>
      <vt:lpstr>Draw #15</vt:lpstr>
      <vt:lpstr>Draw #16</vt:lpstr>
      <vt:lpstr>Draw #17</vt:lpstr>
      <vt:lpstr>Draw #18</vt:lpstr>
      <vt:lpstr>Draw #19</vt:lpstr>
      <vt:lpstr>Draw #20</vt:lpstr>
      <vt:lpstr>'Draw #1'!Print_Area</vt:lpstr>
      <vt:lpstr>'Draw #10'!Print_Area</vt:lpstr>
      <vt:lpstr>'Draw #11'!Print_Area</vt:lpstr>
      <vt:lpstr>'Draw #12'!Print_Area</vt:lpstr>
      <vt:lpstr>'Draw #13'!Print_Area</vt:lpstr>
      <vt:lpstr>'Draw #14'!Print_Area</vt:lpstr>
      <vt:lpstr>'Draw #15'!Print_Area</vt:lpstr>
      <vt:lpstr>'Draw #16'!Print_Area</vt:lpstr>
      <vt:lpstr>'Draw #17'!Print_Area</vt:lpstr>
      <vt:lpstr>'Draw #18'!Print_Area</vt:lpstr>
      <vt:lpstr>'Draw #19'!Print_Area</vt:lpstr>
      <vt:lpstr>'Draw #2'!Print_Area</vt:lpstr>
      <vt:lpstr>'Draw #20'!Print_Area</vt:lpstr>
      <vt:lpstr>'Draw #3'!Print_Area</vt:lpstr>
      <vt:lpstr>'Draw #4'!Print_Area</vt:lpstr>
      <vt:lpstr>'Draw #5'!Print_Area</vt:lpstr>
      <vt:lpstr>'Draw #6'!Print_Area</vt:lpstr>
      <vt:lpstr>'Draw #7'!Print_Area</vt:lpstr>
      <vt:lpstr>'Draw #8'!Print_Area</vt:lpstr>
      <vt:lpstr>'Draw #9'!Print_Area</vt:lpstr>
      <vt:lpstr>'SCHEDULE OF VALUE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</dc:creator>
  <cp:lastModifiedBy>Jared Phelps</cp:lastModifiedBy>
  <cp:lastPrinted>2020-01-15T22:29:19Z</cp:lastPrinted>
  <dcterms:created xsi:type="dcterms:W3CDTF">2014-03-28T16:14:37Z</dcterms:created>
  <dcterms:modified xsi:type="dcterms:W3CDTF">2025-11-17T18:29:02Z</dcterms:modified>
</cp:coreProperties>
</file>